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ink/ink4.xml" ContentType="application/inkml+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tables/table4.xml" ContentType="application/vnd.openxmlformats-officedocument.spreadsheetml.table+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HP\JAY ASSIGMENT\Excel Project\"/>
    </mc:Choice>
  </mc:AlternateContent>
  <xr:revisionPtr revIDLastSave="0" documentId="13_ncr:1_{D6F12088-AB54-4145-ACDC-387146A06235}" xr6:coauthVersionLast="47" xr6:coauthVersionMax="47" xr10:uidLastSave="{00000000-0000-0000-0000-000000000000}"/>
  <bookViews>
    <workbookView xWindow="-108" yWindow="-108" windowWidth="23256" windowHeight="12456" activeTab="6" xr2:uid="{D3174B96-B874-4587-8FA6-17C658AECA05}"/>
  </bookViews>
  <sheets>
    <sheet name="Detail1" sheetId="3" r:id="rId1"/>
    <sheet name="Sales_Data" sheetId="1" r:id="rId2"/>
    <sheet name="CATEGORYWISE" sheetId="2" r:id="rId3"/>
    <sheet name="MONTHWISE" sheetId="5" r:id="rId4"/>
    <sheet name="PRODUCTWISE" sheetId="7" r:id="rId5"/>
    <sheet name="STATEWISE" sheetId="8" r:id="rId6"/>
    <sheet name="DASHBOARD" sheetId="4" r:id="rId7"/>
    <sheet name="Sheet1" sheetId="10" r:id="rId8"/>
  </sheets>
  <definedNames>
    <definedName name="_xlnm._FilterDatabase" localSheetId="1" hidden="1">Sales_Data!$A$1:$K$993</definedName>
    <definedName name="_xlchart.v1.0" hidden="1">PRODUCTWISE!$H$5:$H$15</definedName>
    <definedName name="_xlchart.v1.1" hidden="1">PRODUCTWISE!$I$4</definedName>
    <definedName name="_xlchart.v1.11" hidden="1">PRODUCTWISE!$H$5:$H$15</definedName>
    <definedName name="_xlchart.v1.12" hidden="1">PRODUCTWISE!$I$4</definedName>
    <definedName name="_xlchart.v1.13" hidden="1">PRODUCTWISE!$I$5:$I$15</definedName>
    <definedName name="_xlchart.v1.2" hidden="1">PRODUCTWISE!$I$5:$I$15</definedName>
    <definedName name="_xlchart.v5.10" hidden="1">STATEWISE!$I$8:$I$27</definedName>
    <definedName name="_xlchart.v5.3" hidden="1">STATEWISE!$H$7</definedName>
    <definedName name="_xlchart.v5.4" hidden="1">STATEWISE!$H$8:$H$27</definedName>
    <definedName name="_xlchart.v5.5" hidden="1">STATEWISE!$I$7</definedName>
    <definedName name="_xlchart.v5.6" hidden="1">STATEWISE!$I$8:$I$27</definedName>
    <definedName name="_xlchart.v5.7" hidden="1">STATEWISE!$H$7</definedName>
    <definedName name="_xlchart.v5.8" hidden="1">STATEWISE!$H$8:$H$27</definedName>
    <definedName name="_xlchart.v5.9" hidden="1">STATEWISE!$I$7</definedName>
    <definedName name="Slicer_Category">#N/A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993" i="1" l="1"/>
  <c r="J993" i="1"/>
  <c r="I993" i="1"/>
  <c r="K992" i="1"/>
  <c r="J992" i="1"/>
  <c r="I992" i="1"/>
  <c r="K991" i="1"/>
  <c r="J991" i="1"/>
  <c r="I991" i="1"/>
  <c r="K990" i="1"/>
  <c r="J990" i="1"/>
  <c r="I990" i="1"/>
  <c r="K989" i="1"/>
  <c r="J989" i="1"/>
  <c r="I989" i="1"/>
  <c r="K988" i="1"/>
  <c r="J988" i="1"/>
  <c r="I988" i="1"/>
  <c r="N987" i="1"/>
  <c r="K987" i="1"/>
  <c r="J987" i="1"/>
  <c r="I987" i="1"/>
  <c r="K986" i="1"/>
  <c r="J986" i="1"/>
  <c r="I986" i="1"/>
  <c r="K985" i="1"/>
  <c r="J985" i="1"/>
  <c r="I985" i="1"/>
  <c r="K984" i="1"/>
  <c r="J984" i="1"/>
  <c r="I984" i="1"/>
  <c r="K983" i="1"/>
  <c r="J983" i="1"/>
  <c r="I983" i="1"/>
  <c r="K982" i="1"/>
  <c r="J982" i="1"/>
  <c r="I982" i="1"/>
  <c r="K981" i="1"/>
  <c r="J981" i="1"/>
  <c r="I981" i="1"/>
  <c r="K980" i="1"/>
  <c r="J980" i="1"/>
  <c r="I980" i="1"/>
  <c r="K979" i="1"/>
  <c r="J979" i="1"/>
  <c r="I979" i="1"/>
  <c r="K978" i="1"/>
  <c r="J978" i="1"/>
  <c r="I978" i="1"/>
  <c r="K977" i="1"/>
  <c r="J977" i="1"/>
  <c r="I977" i="1"/>
  <c r="K976" i="1"/>
  <c r="J976" i="1"/>
  <c r="I976" i="1"/>
  <c r="K975" i="1"/>
  <c r="J975" i="1"/>
  <c r="I975" i="1"/>
  <c r="K974" i="1"/>
  <c r="J974" i="1"/>
  <c r="I974" i="1"/>
  <c r="K973" i="1"/>
  <c r="J973" i="1"/>
  <c r="I973" i="1"/>
  <c r="K972" i="1"/>
  <c r="J972" i="1"/>
  <c r="I972" i="1"/>
  <c r="K971" i="1"/>
  <c r="J971" i="1"/>
  <c r="I971" i="1"/>
  <c r="K970" i="1"/>
  <c r="J970" i="1"/>
  <c r="I970" i="1"/>
  <c r="K969" i="1"/>
  <c r="J969" i="1"/>
  <c r="I969" i="1"/>
  <c r="K968" i="1"/>
  <c r="J968" i="1"/>
  <c r="I968" i="1"/>
  <c r="K967" i="1"/>
  <c r="J967" i="1"/>
  <c r="I967" i="1"/>
  <c r="K966" i="1"/>
  <c r="J966" i="1"/>
  <c r="I966" i="1"/>
  <c r="K965" i="1"/>
  <c r="J965" i="1"/>
  <c r="I965" i="1"/>
  <c r="K964" i="1"/>
  <c r="J964" i="1"/>
  <c r="I964" i="1"/>
  <c r="K963" i="1"/>
  <c r="J963" i="1"/>
  <c r="I963" i="1"/>
  <c r="K962" i="1"/>
  <c r="J962" i="1"/>
  <c r="I962" i="1"/>
  <c r="K961" i="1"/>
  <c r="J961" i="1"/>
  <c r="I961" i="1"/>
  <c r="K960" i="1"/>
  <c r="J960" i="1"/>
  <c r="I960" i="1"/>
  <c r="K959" i="1"/>
  <c r="J959" i="1"/>
  <c r="I959" i="1"/>
  <c r="K958" i="1"/>
  <c r="J958" i="1"/>
  <c r="I958" i="1"/>
  <c r="K957" i="1"/>
  <c r="J957" i="1"/>
  <c r="I957" i="1"/>
  <c r="K956" i="1"/>
  <c r="J956" i="1"/>
  <c r="I956" i="1"/>
  <c r="K955" i="1"/>
  <c r="J955" i="1"/>
  <c r="I955" i="1"/>
  <c r="K954" i="1"/>
  <c r="J954" i="1"/>
  <c r="I954" i="1"/>
  <c r="K953" i="1"/>
  <c r="J953" i="1"/>
  <c r="I953" i="1"/>
  <c r="K952" i="1"/>
  <c r="J952" i="1"/>
  <c r="I952" i="1"/>
  <c r="K951" i="1"/>
  <c r="J951" i="1"/>
  <c r="I951" i="1"/>
  <c r="K950" i="1"/>
  <c r="J950" i="1"/>
  <c r="I950" i="1"/>
  <c r="K949" i="1"/>
  <c r="J949" i="1"/>
  <c r="I949" i="1"/>
  <c r="K948" i="1"/>
  <c r="J948" i="1"/>
  <c r="I948" i="1"/>
  <c r="K947" i="1"/>
  <c r="J947" i="1"/>
  <c r="I947" i="1"/>
  <c r="K946" i="1"/>
  <c r="J946" i="1"/>
  <c r="I946" i="1"/>
  <c r="K945" i="1"/>
  <c r="J945" i="1"/>
  <c r="I945" i="1"/>
  <c r="K944" i="1"/>
  <c r="J944" i="1"/>
  <c r="I944" i="1"/>
  <c r="K943" i="1"/>
  <c r="J943" i="1"/>
  <c r="I943" i="1"/>
  <c r="K942" i="1"/>
  <c r="J942" i="1"/>
  <c r="I942" i="1"/>
  <c r="K941" i="1"/>
  <c r="J941" i="1"/>
  <c r="I941" i="1"/>
  <c r="K940" i="1"/>
  <c r="J940" i="1"/>
  <c r="I940" i="1"/>
  <c r="K939" i="1"/>
  <c r="J939" i="1"/>
  <c r="I939" i="1"/>
  <c r="K938" i="1"/>
  <c r="J938" i="1"/>
  <c r="I938" i="1"/>
  <c r="K937" i="1"/>
  <c r="J937" i="1"/>
  <c r="I937" i="1"/>
  <c r="K936" i="1"/>
  <c r="J936" i="1"/>
  <c r="I936" i="1"/>
  <c r="K935" i="1"/>
  <c r="J935" i="1"/>
  <c r="I935" i="1"/>
  <c r="K934" i="1"/>
  <c r="J934" i="1"/>
  <c r="I934" i="1"/>
  <c r="K933" i="1"/>
  <c r="J933" i="1"/>
  <c r="I933" i="1"/>
  <c r="K932" i="1"/>
  <c r="J932" i="1"/>
  <c r="I932" i="1"/>
  <c r="K931" i="1"/>
  <c r="J931" i="1"/>
  <c r="I931" i="1"/>
  <c r="K930" i="1"/>
  <c r="J930" i="1"/>
  <c r="I930" i="1"/>
  <c r="K929" i="1"/>
  <c r="J929" i="1"/>
  <c r="I929" i="1"/>
  <c r="K928" i="1"/>
  <c r="J928" i="1"/>
  <c r="I928" i="1"/>
  <c r="K927" i="1"/>
  <c r="J927" i="1"/>
  <c r="I927" i="1"/>
  <c r="K926" i="1"/>
  <c r="J926" i="1"/>
  <c r="I926" i="1"/>
  <c r="K925" i="1"/>
  <c r="J925" i="1"/>
  <c r="I925" i="1"/>
  <c r="K924" i="1"/>
  <c r="J924" i="1"/>
  <c r="I924" i="1"/>
  <c r="K923" i="1"/>
  <c r="J923" i="1"/>
  <c r="I923" i="1"/>
  <c r="K922" i="1"/>
  <c r="J922" i="1"/>
  <c r="I922" i="1"/>
  <c r="K921" i="1"/>
  <c r="J921" i="1"/>
  <c r="I921" i="1"/>
  <c r="K920" i="1"/>
  <c r="J920" i="1"/>
  <c r="I920" i="1"/>
  <c r="K919" i="1"/>
  <c r="J919" i="1"/>
  <c r="I919" i="1"/>
  <c r="K918" i="1"/>
  <c r="J918" i="1"/>
  <c r="I918" i="1"/>
  <c r="K917" i="1"/>
  <c r="J917" i="1"/>
  <c r="I917" i="1"/>
  <c r="K916" i="1"/>
  <c r="J916" i="1"/>
  <c r="I916" i="1"/>
  <c r="K915" i="1"/>
  <c r="J915" i="1"/>
  <c r="I915" i="1"/>
  <c r="K914" i="1"/>
  <c r="J914" i="1"/>
  <c r="I914" i="1"/>
  <c r="K913" i="1"/>
  <c r="J913" i="1"/>
  <c r="I913" i="1"/>
  <c r="K912" i="1"/>
  <c r="J912" i="1"/>
  <c r="I912" i="1"/>
  <c r="K911" i="1"/>
  <c r="J911" i="1"/>
  <c r="I911" i="1"/>
  <c r="K910" i="1"/>
  <c r="J910" i="1"/>
  <c r="I910" i="1"/>
  <c r="K909" i="1"/>
  <c r="J909" i="1"/>
  <c r="I909" i="1"/>
  <c r="K908" i="1"/>
  <c r="J908" i="1"/>
  <c r="I908" i="1"/>
  <c r="K907" i="1"/>
  <c r="J907" i="1"/>
  <c r="I907" i="1"/>
  <c r="K906" i="1"/>
  <c r="J906" i="1"/>
  <c r="I906" i="1"/>
  <c r="K905" i="1"/>
  <c r="J905" i="1"/>
  <c r="I905" i="1"/>
  <c r="K904" i="1"/>
  <c r="J904" i="1"/>
  <c r="I904" i="1"/>
  <c r="K903" i="1"/>
  <c r="J903" i="1"/>
  <c r="I903" i="1"/>
  <c r="K902" i="1"/>
  <c r="J902" i="1"/>
  <c r="I902" i="1"/>
  <c r="K901" i="1"/>
  <c r="J901" i="1"/>
  <c r="I901" i="1"/>
  <c r="K900" i="1"/>
  <c r="J900" i="1"/>
  <c r="I900" i="1"/>
  <c r="K899" i="1"/>
  <c r="J899" i="1"/>
  <c r="I899" i="1"/>
  <c r="K898" i="1"/>
  <c r="J898" i="1"/>
  <c r="I898" i="1"/>
  <c r="K897" i="1"/>
  <c r="J897" i="1"/>
  <c r="I897" i="1"/>
  <c r="K896" i="1"/>
  <c r="J896" i="1"/>
  <c r="I896" i="1"/>
  <c r="K895" i="1"/>
  <c r="J895" i="1"/>
  <c r="I895" i="1"/>
  <c r="K894" i="1"/>
  <c r="J894" i="1"/>
  <c r="I894" i="1"/>
  <c r="K893" i="1"/>
  <c r="J893" i="1"/>
  <c r="I893" i="1"/>
  <c r="K892" i="1"/>
  <c r="J892" i="1"/>
  <c r="I892" i="1"/>
  <c r="K891" i="1"/>
  <c r="J891" i="1"/>
  <c r="I891" i="1"/>
  <c r="K890" i="1"/>
  <c r="J890" i="1"/>
  <c r="I890" i="1"/>
  <c r="K889" i="1"/>
  <c r="J889" i="1"/>
  <c r="I889" i="1"/>
  <c r="K888" i="1"/>
  <c r="J888" i="1"/>
  <c r="I888" i="1"/>
  <c r="K887" i="1"/>
  <c r="J887" i="1"/>
  <c r="I887" i="1"/>
  <c r="K886" i="1"/>
  <c r="J886" i="1"/>
  <c r="I886" i="1"/>
  <c r="K885" i="1"/>
  <c r="J885" i="1"/>
  <c r="I885" i="1"/>
  <c r="K884" i="1"/>
  <c r="J884" i="1"/>
  <c r="I884" i="1"/>
  <c r="K883" i="1"/>
  <c r="J883" i="1"/>
  <c r="I883" i="1"/>
  <c r="K882" i="1"/>
  <c r="J882" i="1"/>
  <c r="I882" i="1"/>
  <c r="K881" i="1"/>
  <c r="J881" i="1"/>
  <c r="I881" i="1"/>
  <c r="K880" i="1"/>
  <c r="J880" i="1"/>
  <c r="I880" i="1"/>
  <c r="K879" i="1"/>
  <c r="J879" i="1"/>
  <c r="I879" i="1"/>
  <c r="K878" i="1"/>
  <c r="J878" i="1"/>
  <c r="I878" i="1"/>
  <c r="K877" i="1"/>
  <c r="J877" i="1"/>
  <c r="I877" i="1"/>
  <c r="K876" i="1"/>
  <c r="J876" i="1"/>
  <c r="I876" i="1"/>
  <c r="K875" i="1"/>
  <c r="J875" i="1"/>
  <c r="I875" i="1"/>
  <c r="K874" i="1"/>
  <c r="J874" i="1"/>
  <c r="I874" i="1"/>
  <c r="K873" i="1"/>
  <c r="J873" i="1"/>
  <c r="I873" i="1"/>
  <c r="K872" i="1"/>
  <c r="J872" i="1"/>
  <c r="I872" i="1"/>
  <c r="K871" i="1"/>
  <c r="J871" i="1"/>
  <c r="I871" i="1"/>
  <c r="K870" i="1"/>
  <c r="J870" i="1"/>
  <c r="I870" i="1"/>
  <c r="K869" i="1"/>
  <c r="J869" i="1"/>
  <c r="I869" i="1"/>
  <c r="K868" i="1"/>
  <c r="J868" i="1"/>
  <c r="I868" i="1"/>
  <c r="K867" i="1"/>
  <c r="J867" i="1"/>
  <c r="I867" i="1"/>
  <c r="K866" i="1"/>
  <c r="J866" i="1"/>
  <c r="I866" i="1"/>
  <c r="K865" i="1"/>
  <c r="J865" i="1"/>
  <c r="I865" i="1"/>
  <c r="K864" i="1"/>
  <c r="J864" i="1"/>
  <c r="I864" i="1"/>
  <c r="K863" i="1"/>
  <c r="J863" i="1"/>
  <c r="I863" i="1"/>
  <c r="K862" i="1"/>
  <c r="J862" i="1"/>
  <c r="I862" i="1"/>
  <c r="K861" i="1"/>
  <c r="J861" i="1"/>
  <c r="I861" i="1"/>
  <c r="K860" i="1"/>
  <c r="J860" i="1"/>
  <c r="I860" i="1"/>
  <c r="K859" i="1"/>
  <c r="J859" i="1"/>
  <c r="I859" i="1"/>
  <c r="K858" i="1"/>
  <c r="J858" i="1"/>
  <c r="I858" i="1"/>
  <c r="K857" i="1"/>
  <c r="J857" i="1"/>
  <c r="I857" i="1"/>
  <c r="K856" i="1"/>
  <c r="J856" i="1"/>
  <c r="I856" i="1"/>
  <c r="K855" i="1"/>
  <c r="J855" i="1"/>
  <c r="I855" i="1"/>
  <c r="K854" i="1"/>
  <c r="J854" i="1"/>
  <c r="I854" i="1"/>
  <c r="K853" i="1"/>
  <c r="J853" i="1"/>
  <c r="I853" i="1"/>
  <c r="K852" i="1"/>
  <c r="J852" i="1"/>
  <c r="I852" i="1"/>
  <c r="K851" i="1"/>
  <c r="J851" i="1"/>
  <c r="I851" i="1"/>
  <c r="K850" i="1"/>
  <c r="J850" i="1"/>
  <c r="I850" i="1"/>
  <c r="K849" i="1"/>
  <c r="J849" i="1"/>
  <c r="I849" i="1"/>
  <c r="K848" i="1"/>
  <c r="J848" i="1"/>
  <c r="I848" i="1"/>
  <c r="K847" i="1"/>
  <c r="J847" i="1"/>
  <c r="I847" i="1"/>
  <c r="K846" i="1"/>
  <c r="J846" i="1"/>
  <c r="I846" i="1"/>
  <c r="K845" i="1"/>
  <c r="J845" i="1"/>
  <c r="I845" i="1"/>
  <c r="K844" i="1"/>
  <c r="J844" i="1"/>
  <c r="I844" i="1"/>
  <c r="K843" i="1"/>
  <c r="J843" i="1"/>
  <c r="I843" i="1"/>
  <c r="K842" i="1"/>
  <c r="J842" i="1"/>
  <c r="I842" i="1"/>
  <c r="K841" i="1"/>
  <c r="J841" i="1"/>
  <c r="I841" i="1"/>
  <c r="K840" i="1"/>
  <c r="J840" i="1"/>
  <c r="I840" i="1"/>
  <c r="K839" i="1"/>
  <c r="J839" i="1"/>
  <c r="I839" i="1"/>
  <c r="K838" i="1"/>
  <c r="J838" i="1"/>
  <c r="I838" i="1"/>
  <c r="K837" i="1"/>
  <c r="J837" i="1"/>
  <c r="I837" i="1"/>
  <c r="K836" i="1"/>
  <c r="J836" i="1"/>
  <c r="I836" i="1"/>
  <c r="K835" i="1"/>
  <c r="J835" i="1"/>
  <c r="I835" i="1"/>
  <c r="K834" i="1"/>
  <c r="J834" i="1"/>
  <c r="I834" i="1"/>
  <c r="K833" i="1"/>
  <c r="J833" i="1"/>
  <c r="I833" i="1"/>
  <c r="K832" i="1"/>
  <c r="J832" i="1"/>
  <c r="I832" i="1"/>
  <c r="K831" i="1"/>
  <c r="J831" i="1"/>
  <c r="I831" i="1"/>
  <c r="K830" i="1"/>
  <c r="J830" i="1"/>
  <c r="I830" i="1"/>
  <c r="K829" i="1"/>
  <c r="J829" i="1"/>
  <c r="I829" i="1"/>
  <c r="K828" i="1"/>
  <c r="J828" i="1"/>
  <c r="I828" i="1"/>
  <c r="K827" i="1"/>
  <c r="J827" i="1"/>
  <c r="I827" i="1"/>
  <c r="K826" i="1"/>
  <c r="J826" i="1"/>
  <c r="I826" i="1"/>
  <c r="K825" i="1"/>
  <c r="J825" i="1"/>
  <c r="I825" i="1"/>
  <c r="K824" i="1"/>
  <c r="J824" i="1"/>
  <c r="I824" i="1"/>
  <c r="K823" i="1"/>
  <c r="J823" i="1"/>
  <c r="I823" i="1"/>
  <c r="K822" i="1"/>
  <c r="J822" i="1"/>
  <c r="I822" i="1"/>
  <c r="K821" i="1"/>
  <c r="J821" i="1"/>
  <c r="I821" i="1"/>
  <c r="K820" i="1"/>
  <c r="J820" i="1"/>
  <c r="I820" i="1"/>
  <c r="K819" i="1"/>
  <c r="J819" i="1"/>
  <c r="I819" i="1"/>
  <c r="K818" i="1"/>
  <c r="J818" i="1"/>
  <c r="I818" i="1"/>
  <c r="K817" i="1"/>
  <c r="J817" i="1"/>
  <c r="I817" i="1"/>
  <c r="K816" i="1"/>
  <c r="J816" i="1"/>
  <c r="I816" i="1"/>
  <c r="K815" i="1"/>
  <c r="J815" i="1"/>
  <c r="I815" i="1"/>
  <c r="K814" i="1"/>
  <c r="J814" i="1"/>
  <c r="I814" i="1"/>
  <c r="K813" i="1"/>
  <c r="J813" i="1"/>
  <c r="I813" i="1"/>
  <c r="K812" i="1"/>
  <c r="J812" i="1"/>
  <c r="I812" i="1"/>
  <c r="K811" i="1"/>
  <c r="J811" i="1"/>
  <c r="I811" i="1"/>
  <c r="K810" i="1"/>
  <c r="J810" i="1"/>
  <c r="I810" i="1"/>
  <c r="K809" i="1"/>
  <c r="J809" i="1"/>
  <c r="I809" i="1"/>
  <c r="K808" i="1"/>
  <c r="J808" i="1"/>
  <c r="I808" i="1"/>
  <c r="K807" i="1"/>
  <c r="J807" i="1"/>
  <c r="I807" i="1"/>
  <c r="K806" i="1"/>
  <c r="J806" i="1"/>
  <c r="I806" i="1"/>
  <c r="K805" i="1"/>
  <c r="J805" i="1"/>
  <c r="I805" i="1"/>
  <c r="K804" i="1"/>
  <c r="J804" i="1"/>
  <c r="I804" i="1"/>
  <c r="K803" i="1"/>
  <c r="J803" i="1"/>
  <c r="I803" i="1"/>
  <c r="K802" i="1"/>
  <c r="J802" i="1"/>
  <c r="I802" i="1"/>
  <c r="K801" i="1"/>
  <c r="J801" i="1"/>
  <c r="I801" i="1"/>
  <c r="K800" i="1"/>
  <c r="J800" i="1"/>
  <c r="I800" i="1"/>
  <c r="K799" i="1"/>
  <c r="J799" i="1"/>
  <c r="I799" i="1"/>
  <c r="K798" i="1"/>
  <c r="J798" i="1"/>
  <c r="I798" i="1"/>
  <c r="K797" i="1"/>
  <c r="J797" i="1"/>
  <c r="I797" i="1"/>
  <c r="K796" i="1"/>
  <c r="J796" i="1"/>
  <c r="I796" i="1"/>
  <c r="K795" i="1"/>
  <c r="J795" i="1"/>
  <c r="I795" i="1"/>
  <c r="K794" i="1"/>
  <c r="J794" i="1"/>
  <c r="I794" i="1"/>
  <c r="K793" i="1"/>
  <c r="J793" i="1"/>
  <c r="I793" i="1"/>
  <c r="K792" i="1"/>
  <c r="J792" i="1"/>
  <c r="I792" i="1"/>
  <c r="K791" i="1"/>
  <c r="J791" i="1"/>
  <c r="I791" i="1"/>
  <c r="K790" i="1"/>
  <c r="J790" i="1"/>
  <c r="I790" i="1"/>
  <c r="K789" i="1"/>
  <c r="J789" i="1"/>
  <c r="I789" i="1"/>
  <c r="K788" i="1"/>
  <c r="J788" i="1"/>
  <c r="I788" i="1"/>
  <c r="K787" i="1"/>
  <c r="J787" i="1"/>
  <c r="I787" i="1"/>
  <c r="K786" i="1"/>
  <c r="J786" i="1"/>
  <c r="I786" i="1"/>
  <c r="K785" i="1"/>
  <c r="J785" i="1"/>
  <c r="I785" i="1"/>
  <c r="K784" i="1"/>
  <c r="J784" i="1"/>
  <c r="I784" i="1"/>
  <c r="K783" i="1"/>
  <c r="J783" i="1"/>
  <c r="I783" i="1"/>
  <c r="K782" i="1"/>
  <c r="J782" i="1"/>
  <c r="I782" i="1"/>
  <c r="K781" i="1"/>
  <c r="J781" i="1"/>
  <c r="I781" i="1"/>
  <c r="K780" i="1"/>
  <c r="J780" i="1"/>
  <c r="I780" i="1"/>
  <c r="K779" i="1"/>
  <c r="J779" i="1"/>
  <c r="I779" i="1"/>
  <c r="K778" i="1"/>
  <c r="J778" i="1"/>
  <c r="I778" i="1"/>
  <c r="K777" i="1"/>
  <c r="J777" i="1"/>
  <c r="I777" i="1"/>
  <c r="K776" i="1"/>
  <c r="J776" i="1"/>
  <c r="I776" i="1"/>
  <c r="K775" i="1"/>
  <c r="J775" i="1"/>
  <c r="I775" i="1"/>
  <c r="K774" i="1"/>
  <c r="J774" i="1"/>
  <c r="I774" i="1"/>
  <c r="K773" i="1"/>
  <c r="J773" i="1"/>
  <c r="I773" i="1"/>
  <c r="K772" i="1"/>
  <c r="J772" i="1"/>
  <c r="I772" i="1"/>
  <c r="K771" i="1"/>
  <c r="J771" i="1"/>
  <c r="I771" i="1"/>
  <c r="K770" i="1"/>
  <c r="J770" i="1"/>
  <c r="I770" i="1"/>
  <c r="K769" i="1"/>
  <c r="J769" i="1"/>
  <c r="I769" i="1"/>
  <c r="K768" i="1"/>
  <c r="J768" i="1"/>
  <c r="I768" i="1"/>
  <c r="K767" i="1"/>
  <c r="J767" i="1"/>
  <c r="I767" i="1"/>
  <c r="K766" i="1"/>
  <c r="J766" i="1"/>
  <c r="I766" i="1"/>
  <c r="K765" i="1"/>
  <c r="J765" i="1"/>
  <c r="I765" i="1"/>
  <c r="K764" i="1"/>
  <c r="J764" i="1"/>
  <c r="I764" i="1"/>
  <c r="K763" i="1"/>
  <c r="J763" i="1"/>
  <c r="I763" i="1"/>
  <c r="K762" i="1"/>
  <c r="J762" i="1"/>
  <c r="I762" i="1"/>
  <c r="K761" i="1"/>
  <c r="J761" i="1"/>
  <c r="I761" i="1"/>
  <c r="K760" i="1"/>
  <c r="J760" i="1"/>
  <c r="I760" i="1"/>
  <c r="K759" i="1"/>
  <c r="J759" i="1"/>
  <c r="I759" i="1"/>
  <c r="K758" i="1"/>
  <c r="J758" i="1"/>
  <c r="I758" i="1"/>
  <c r="K757" i="1"/>
  <c r="J757" i="1"/>
  <c r="I757" i="1"/>
  <c r="K756" i="1"/>
  <c r="J756" i="1"/>
  <c r="I756" i="1"/>
  <c r="K755" i="1"/>
  <c r="J755" i="1"/>
  <c r="I755" i="1"/>
  <c r="K754" i="1"/>
  <c r="J754" i="1"/>
  <c r="I754" i="1"/>
  <c r="K753" i="1"/>
  <c r="J753" i="1"/>
  <c r="I753" i="1"/>
  <c r="K752" i="1"/>
  <c r="J752" i="1"/>
  <c r="I752" i="1"/>
  <c r="K751" i="1"/>
  <c r="J751" i="1"/>
  <c r="I751" i="1"/>
  <c r="K750" i="1"/>
  <c r="J750" i="1"/>
  <c r="I750" i="1"/>
  <c r="K749" i="1"/>
  <c r="J749" i="1"/>
  <c r="I749" i="1"/>
  <c r="K748" i="1"/>
  <c r="J748" i="1"/>
  <c r="I748" i="1"/>
  <c r="K747" i="1"/>
  <c r="J747" i="1"/>
  <c r="I747" i="1"/>
  <c r="K746" i="1"/>
  <c r="J746" i="1"/>
  <c r="I746" i="1"/>
  <c r="K745" i="1"/>
  <c r="J745" i="1"/>
  <c r="I745" i="1"/>
  <c r="K744" i="1"/>
  <c r="J744" i="1"/>
  <c r="I744" i="1"/>
  <c r="K743" i="1"/>
  <c r="J743" i="1"/>
  <c r="I743" i="1"/>
  <c r="K742" i="1"/>
  <c r="J742" i="1"/>
  <c r="I742" i="1"/>
  <c r="K741" i="1"/>
  <c r="J741" i="1"/>
  <c r="I741" i="1"/>
  <c r="K740" i="1"/>
  <c r="J740" i="1"/>
  <c r="I740" i="1"/>
  <c r="K739" i="1"/>
  <c r="J739" i="1"/>
  <c r="I739" i="1"/>
  <c r="K738" i="1"/>
  <c r="J738" i="1"/>
  <c r="I738" i="1"/>
  <c r="K737" i="1"/>
  <c r="J737" i="1"/>
  <c r="I737" i="1"/>
  <c r="K736" i="1"/>
  <c r="J736" i="1"/>
  <c r="I736" i="1"/>
  <c r="K735" i="1"/>
  <c r="J735" i="1"/>
  <c r="I735" i="1"/>
  <c r="K734" i="1"/>
  <c r="J734" i="1"/>
  <c r="I734" i="1"/>
  <c r="K733" i="1"/>
  <c r="J733" i="1"/>
  <c r="I733" i="1"/>
  <c r="K732" i="1"/>
  <c r="J732" i="1"/>
  <c r="I732" i="1"/>
  <c r="K731" i="1"/>
  <c r="J731" i="1"/>
  <c r="I731" i="1"/>
  <c r="K730" i="1"/>
  <c r="J730" i="1"/>
  <c r="I730" i="1"/>
  <c r="K729" i="1"/>
  <c r="J729" i="1"/>
  <c r="I729" i="1"/>
  <c r="K728" i="1"/>
  <c r="J728" i="1"/>
  <c r="I728" i="1"/>
  <c r="K727" i="1"/>
  <c r="J727" i="1"/>
  <c r="I727" i="1"/>
  <c r="K726" i="1"/>
  <c r="J726" i="1"/>
  <c r="I726" i="1"/>
  <c r="K725" i="1"/>
  <c r="J725" i="1"/>
  <c r="I725" i="1"/>
  <c r="K724" i="1"/>
  <c r="J724" i="1"/>
  <c r="I724" i="1"/>
  <c r="K723" i="1"/>
  <c r="J723" i="1"/>
  <c r="I723" i="1"/>
  <c r="K722" i="1"/>
  <c r="J722" i="1"/>
  <c r="I722" i="1"/>
  <c r="K721" i="1"/>
  <c r="J721" i="1"/>
  <c r="I721" i="1"/>
  <c r="K720" i="1"/>
  <c r="J720" i="1"/>
  <c r="I720" i="1"/>
  <c r="K719" i="1"/>
  <c r="J719" i="1"/>
  <c r="I719" i="1"/>
  <c r="K718" i="1"/>
  <c r="J718" i="1"/>
  <c r="I718" i="1"/>
  <c r="K717" i="1"/>
  <c r="J717" i="1"/>
  <c r="I717" i="1"/>
  <c r="K716" i="1"/>
  <c r="J716" i="1"/>
  <c r="I716" i="1"/>
  <c r="K715" i="1"/>
  <c r="J715" i="1"/>
  <c r="I715" i="1"/>
  <c r="K714" i="1"/>
  <c r="J714" i="1"/>
  <c r="I714" i="1"/>
  <c r="K713" i="1"/>
  <c r="J713" i="1"/>
  <c r="I713" i="1"/>
  <c r="K712" i="1"/>
  <c r="J712" i="1"/>
  <c r="I712" i="1"/>
  <c r="K711" i="1"/>
  <c r="J711" i="1"/>
  <c r="I711" i="1"/>
  <c r="K710" i="1"/>
  <c r="J710" i="1"/>
  <c r="I710" i="1"/>
  <c r="K709" i="1"/>
  <c r="J709" i="1"/>
  <c r="I709" i="1"/>
  <c r="K708" i="1"/>
  <c r="J708" i="1"/>
  <c r="I708" i="1"/>
  <c r="K707" i="1"/>
  <c r="J707" i="1"/>
  <c r="I707" i="1"/>
  <c r="K706" i="1"/>
  <c r="J706" i="1"/>
  <c r="I706" i="1"/>
  <c r="K705" i="1"/>
  <c r="J705" i="1"/>
  <c r="I705" i="1"/>
  <c r="K704" i="1"/>
  <c r="J704" i="1"/>
  <c r="I704" i="1"/>
  <c r="K703" i="1"/>
  <c r="J703" i="1"/>
  <c r="I703" i="1"/>
  <c r="K702" i="1"/>
  <c r="J702" i="1"/>
  <c r="I702" i="1"/>
  <c r="K701" i="1"/>
  <c r="J701" i="1"/>
  <c r="I701" i="1"/>
  <c r="K700" i="1"/>
  <c r="J700" i="1"/>
  <c r="I700" i="1"/>
  <c r="K699" i="1"/>
  <c r="J699" i="1"/>
  <c r="I699" i="1"/>
  <c r="K698" i="1"/>
  <c r="J698" i="1"/>
  <c r="I698" i="1"/>
  <c r="K697" i="1"/>
  <c r="J697" i="1"/>
  <c r="I697" i="1"/>
  <c r="K696" i="1"/>
  <c r="J696" i="1"/>
  <c r="I696" i="1"/>
  <c r="K695" i="1"/>
  <c r="J695" i="1"/>
  <c r="I695" i="1"/>
  <c r="K694" i="1"/>
  <c r="J694" i="1"/>
  <c r="I694" i="1"/>
  <c r="K693" i="1"/>
  <c r="J693" i="1"/>
  <c r="I693" i="1"/>
  <c r="K692" i="1"/>
  <c r="J692" i="1"/>
  <c r="I692" i="1"/>
  <c r="K691" i="1"/>
  <c r="J691" i="1"/>
  <c r="I691" i="1"/>
  <c r="K690" i="1"/>
  <c r="J690" i="1"/>
  <c r="I690" i="1"/>
  <c r="K689" i="1"/>
  <c r="J689" i="1"/>
  <c r="I689" i="1"/>
  <c r="K688" i="1"/>
  <c r="J688" i="1"/>
  <c r="I688" i="1"/>
  <c r="K687" i="1"/>
  <c r="J687" i="1"/>
  <c r="I687" i="1"/>
  <c r="K686" i="1"/>
  <c r="J686" i="1"/>
  <c r="I686" i="1"/>
  <c r="K685" i="1"/>
  <c r="J685" i="1"/>
  <c r="I685" i="1"/>
  <c r="K684" i="1"/>
  <c r="J684" i="1"/>
  <c r="I684" i="1"/>
  <c r="K683" i="1"/>
  <c r="J683" i="1"/>
  <c r="I683" i="1"/>
  <c r="K682" i="1"/>
  <c r="J682" i="1"/>
  <c r="I682" i="1"/>
  <c r="K681" i="1"/>
  <c r="J681" i="1"/>
  <c r="I681" i="1"/>
  <c r="K680" i="1"/>
  <c r="J680" i="1"/>
  <c r="I680" i="1"/>
  <c r="K679" i="1"/>
  <c r="J679" i="1"/>
  <c r="I679" i="1"/>
  <c r="K678" i="1"/>
  <c r="J678" i="1"/>
  <c r="I678" i="1"/>
  <c r="K677" i="1"/>
  <c r="J677" i="1"/>
  <c r="I677" i="1"/>
  <c r="K676" i="1"/>
  <c r="J676" i="1"/>
  <c r="I676" i="1"/>
  <c r="K675" i="1"/>
  <c r="J675" i="1"/>
  <c r="I675" i="1"/>
  <c r="K674" i="1"/>
  <c r="J674" i="1"/>
  <c r="I674" i="1"/>
  <c r="K673" i="1"/>
  <c r="J673" i="1"/>
  <c r="I673" i="1"/>
  <c r="K672" i="1"/>
  <c r="J672" i="1"/>
  <c r="I672" i="1"/>
  <c r="K671" i="1"/>
  <c r="J671" i="1"/>
  <c r="I671" i="1"/>
  <c r="K670" i="1"/>
  <c r="J670" i="1"/>
  <c r="I670" i="1"/>
  <c r="K669" i="1"/>
  <c r="J669" i="1"/>
  <c r="I669" i="1"/>
  <c r="K668" i="1"/>
  <c r="J668" i="1"/>
  <c r="I668" i="1"/>
  <c r="K667" i="1"/>
  <c r="J667" i="1"/>
  <c r="I667" i="1"/>
  <c r="K666" i="1"/>
  <c r="J666" i="1"/>
  <c r="I666" i="1"/>
  <c r="K665" i="1"/>
  <c r="J665" i="1"/>
  <c r="I665" i="1"/>
  <c r="K664" i="1"/>
  <c r="J664" i="1"/>
  <c r="I664" i="1"/>
  <c r="K663" i="1"/>
  <c r="J663" i="1"/>
  <c r="I663" i="1"/>
  <c r="K662" i="1"/>
  <c r="J662" i="1"/>
  <c r="I662" i="1"/>
  <c r="K661" i="1"/>
  <c r="J661" i="1"/>
  <c r="I661" i="1"/>
  <c r="K660" i="1"/>
  <c r="J660" i="1"/>
  <c r="I660" i="1"/>
  <c r="K659" i="1"/>
  <c r="J659" i="1"/>
  <c r="I659" i="1"/>
  <c r="K658" i="1"/>
  <c r="J658" i="1"/>
  <c r="I658" i="1"/>
  <c r="K657" i="1"/>
  <c r="J657" i="1"/>
  <c r="I657" i="1"/>
  <c r="K656" i="1"/>
  <c r="J656" i="1"/>
  <c r="I656" i="1"/>
  <c r="K655" i="1"/>
  <c r="J655" i="1"/>
  <c r="I655" i="1"/>
  <c r="K654" i="1"/>
  <c r="J654" i="1"/>
  <c r="I654" i="1"/>
  <c r="K653" i="1"/>
  <c r="J653" i="1"/>
  <c r="I653" i="1"/>
  <c r="K652" i="1"/>
  <c r="J652" i="1"/>
  <c r="I652" i="1"/>
  <c r="K651" i="1"/>
  <c r="J651" i="1"/>
  <c r="I651" i="1"/>
  <c r="K650" i="1"/>
  <c r="J650" i="1"/>
  <c r="I650" i="1"/>
  <c r="K649" i="1"/>
  <c r="J649" i="1"/>
  <c r="I649" i="1"/>
  <c r="K648" i="1"/>
  <c r="J648" i="1"/>
  <c r="I648" i="1"/>
  <c r="K647" i="1"/>
  <c r="J647" i="1"/>
  <c r="I647" i="1"/>
  <c r="K646" i="1"/>
  <c r="J646" i="1"/>
  <c r="I646" i="1"/>
  <c r="K645" i="1"/>
  <c r="J645" i="1"/>
  <c r="I645" i="1"/>
  <c r="K644" i="1"/>
  <c r="J644" i="1"/>
  <c r="I644" i="1"/>
  <c r="K643" i="1"/>
  <c r="J643" i="1"/>
  <c r="I643" i="1"/>
  <c r="K642" i="1"/>
  <c r="J642" i="1"/>
  <c r="I642" i="1"/>
  <c r="K641" i="1"/>
  <c r="J641" i="1"/>
  <c r="I641" i="1"/>
  <c r="K640" i="1"/>
  <c r="J640" i="1"/>
  <c r="I640" i="1"/>
  <c r="K639" i="1"/>
  <c r="J639" i="1"/>
  <c r="I639" i="1"/>
  <c r="K638" i="1"/>
  <c r="J638" i="1"/>
  <c r="I638" i="1"/>
  <c r="K637" i="1"/>
  <c r="J637" i="1"/>
  <c r="I637" i="1"/>
  <c r="K636" i="1"/>
  <c r="J636" i="1"/>
  <c r="I636" i="1"/>
  <c r="K635" i="1"/>
  <c r="J635" i="1"/>
  <c r="I635" i="1"/>
  <c r="K634" i="1"/>
  <c r="J634" i="1"/>
  <c r="I634" i="1"/>
  <c r="K633" i="1"/>
  <c r="J633" i="1"/>
  <c r="I633" i="1"/>
  <c r="K632" i="1"/>
  <c r="J632" i="1"/>
  <c r="I632" i="1"/>
  <c r="K631" i="1"/>
  <c r="J631" i="1"/>
  <c r="I631" i="1"/>
  <c r="K630" i="1"/>
  <c r="J630" i="1"/>
  <c r="I630" i="1"/>
  <c r="K629" i="1"/>
  <c r="J629" i="1"/>
  <c r="I629" i="1"/>
  <c r="K628" i="1"/>
  <c r="J628" i="1"/>
  <c r="I628" i="1"/>
  <c r="K627" i="1"/>
  <c r="J627" i="1"/>
  <c r="I627" i="1"/>
  <c r="K626" i="1"/>
  <c r="J626" i="1"/>
  <c r="I626" i="1"/>
  <c r="K625" i="1"/>
  <c r="J625" i="1"/>
  <c r="I625" i="1"/>
  <c r="K624" i="1"/>
  <c r="J624" i="1"/>
  <c r="I624" i="1"/>
  <c r="K623" i="1"/>
  <c r="J623" i="1"/>
  <c r="I623" i="1"/>
  <c r="K622" i="1"/>
  <c r="J622" i="1"/>
  <c r="I622" i="1"/>
  <c r="K621" i="1"/>
  <c r="J621" i="1"/>
  <c r="I621" i="1"/>
  <c r="K620" i="1"/>
  <c r="J620" i="1"/>
  <c r="I620" i="1"/>
  <c r="K619" i="1"/>
  <c r="J619" i="1"/>
  <c r="I619" i="1"/>
  <c r="K618" i="1"/>
  <c r="J618" i="1"/>
  <c r="I618" i="1"/>
  <c r="K617" i="1"/>
  <c r="J617" i="1"/>
  <c r="I617" i="1"/>
  <c r="K616" i="1"/>
  <c r="J616" i="1"/>
  <c r="I616" i="1"/>
  <c r="K615" i="1"/>
  <c r="J615" i="1"/>
  <c r="I615" i="1"/>
  <c r="K614" i="1"/>
  <c r="J614" i="1"/>
  <c r="I614" i="1"/>
  <c r="K613" i="1"/>
  <c r="J613" i="1"/>
  <c r="I613" i="1"/>
  <c r="K612" i="1"/>
  <c r="J612" i="1"/>
  <c r="I612" i="1"/>
  <c r="K611" i="1"/>
  <c r="J611" i="1"/>
  <c r="I611" i="1"/>
  <c r="K610" i="1"/>
  <c r="J610" i="1"/>
  <c r="I610" i="1"/>
  <c r="K609" i="1"/>
  <c r="J609" i="1"/>
  <c r="I609" i="1"/>
  <c r="K608" i="1"/>
  <c r="J608" i="1"/>
  <c r="I608" i="1"/>
  <c r="K607" i="1"/>
  <c r="J607" i="1"/>
  <c r="I607" i="1"/>
  <c r="K606" i="1"/>
  <c r="J606" i="1"/>
  <c r="I606" i="1"/>
  <c r="K605" i="1"/>
  <c r="J605" i="1"/>
  <c r="I605" i="1"/>
  <c r="K604" i="1"/>
  <c r="J604" i="1"/>
  <c r="I604" i="1"/>
  <c r="K603" i="1"/>
  <c r="J603" i="1"/>
  <c r="I603" i="1"/>
  <c r="K602" i="1"/>
  <c r="J602" i="1"/>
  <c r="I602" i="1"/>
  <c r="K601" i="1"/>
  <c r="J601" i="1"/>
  <c r="I601" i="1"/>
  <c r="K600" i="1"/>
  <c r="J600" i="1"/>
  <c r="I600" i="1"/>
  <c r="K599" i="1"/>
  <c r="J599" i="1"/>
  <c r="I599" i="1"/>
  <c r="K598" i="1"/>
  <c r="J598" i="1"/>
  <c r="I598" i="1"/>
  <c r="K597" i="1"/>
  <c r="J597" i="1"/>
  <c r="I597" i="1"/>
  <c r="K596" i="1"/>
  <c r="J596" i="1"/>
  <c r="I596" i="1"/>
  <c r="K595" i="1"/>
  <c r="J595" i="1"/>
  <c r="I595" i="1"/>
  <c r="K594" i="1"/>
  <c r="J594" i="1"/>
  <c r="I594" i="1"/>
  <c r="K593" i="1"/>
  <c r="J593" i="1"/>
  <c r="I593" i="1"/>
  <c r="K592" i="1"/>
  <c r="J592" i="1"/>
  <c r="I592" i="1"/>
  <c r="K591" i="1"/>
  <c r="J591" i="1"/>
  <c r="I591" i="1"/>
  <c r="K590" i="1"/>
  <c r="J590" i="1"/>
  <c r="I590" i="1"/>
  <c r="K589" i="1"/>
  <c r="J589" i="1"/>
  <c r="I589" i="1"/>
  <c r="K588" i="1"/>
  <c r="J588" i="1"/>
  <c r="I588" i="1"/>
  <c r="K587" i="1"/>
  <c r="J587" i="1"/>
  <c r="I587" i="1"/>
  <c r="K586" i="1"/>
  <c r="J586" i="1"/>
  <c r="I586" i="1"/>
  <c r="K585" i="1"/>
  <c r="J585" i="1"/>
  <c r="I585" i="1"/>
  <c r="K584" i="1"/>
  <c r="J584" i="1"/>
  <c r="I584" i="1"/>
  <c r="K583" i="1"/>
  <c r="J583" i="1"/>
  <c r="I583" i="1"/>
  <c r="K582" i="1"/>
  <c r="J582" i="1"/>
  <c r="I582" i="1"/>
  <c r="K581" i="1"/>
  <c r="J581" i="1"/>
  <c r="I581" i="1"/>
  <c r="K580" i="1"/>
  <c r="J580" i="1"/>
  <c r="I580" i="1"/>
  <c r="K579" i="1"/>
  <c r="J579" i="1"/>
  <c r="I579" i="1"/>
  <c r="K578" i="1"/>
  <c r="J578" i="1"/>
  <c r="I578" i="1"/>
  <c r="K577" i="1"/>
  <c r="J577" i="1"/>
  <c r="I577" i="1"/>
  <c r="K576" i="1"/>
  <c r="J576" i="1"/>
  <c r="I576" i="1"/>
  <c r="K575" i="1"/>
  <c r="J575" i="1"/>
  <c r="I575" i="1"/>
  <c r="K574" i="1"/>
  <c r="J574" i="1"/>
  <c r="I574" i="1"/>
  <c r="K573" i="1"/>
  <c r="J573" i="1"/>
  <c r="I573" i="1"/>
  <c r="K572" i="1"/>
  <c r="J572" i="1"/>
  <c r="I572" i="1"/>
  <c r="K571" i="1"/>
  <c r="J571" i="1"/>
  <c r="I571" i="1"/>
  <c r="K570" i="1"/>
  <c r="J570" i="1"/>
  <c r="I570" i="1"/>
  <c r="K569" i="1"/>
  <c r="J569" i="1"/>
  <c r="I569" i="1"/>
  <c r="K568" i="1"/>
  <c r="J568" i="1"/>
  <c r="I568" i="1"/>
  <c r="K567" i="1"/>
  <c r="J567" i="1"/>
  <c r="I567" i="1"/>
  <c r="K566" i="1"/>
  <c r="J566" i="1"/>
  <c r="I566" i="1"/>
  <c r="K565" i="1"/>
  <c r="J565" i="1"/>
  <c r="I565" i="1"/>
  <c r="K564" i="1"/>
  <c r="J564" i="1"/>
  <c r="I564" i="1"/>
  <c r="K563" i="1"/>
  <c r="J563" i="1"/>
  <c r="I563" i="1"/>
  <c r="K562" i="1"/>
  <c r="J562" i="1"/>
  <c r="I562" i="1"/>
  <c r="K561" i="1"/>
  <c r="J561" i="1"/>
  <c r="I561" i="1"/>
  <c r="K560" i="1"/>
  <c r="J560" i="1"/>
  <c r="I560" i="1"/>
  <c r="K559" i="1"/>
  <c r="J559" i="1"/>
  <c r="I559" i="1"/>
  <c r="K558" i="1"/>
  <c r="J558" i="1"/>
  <c r="I558" i="1"/>
  <c r="K557" i="1"/>
  <c r="J557" i="1"/>
  <c r="I557" i="1"/>
  <c r="K556" i="1"/>
  <c r="J556" i="1"/>
  <c r="I556" i="1"/>
  <c r="K555" i="1"/>
  <c r="J555" i="1"/>
  <c r="I555" i="1"/>
  <c r="K554" i="1"/>
  <c r="J554" i="1"/>
  <c r="I554" i="1"/>
  <c r="K553" i="1"/>
  <c r="J553" i="1"/>
  <c r="I553" i="1"/>
  <c r="K552" i="1"/>
  <c r="J552" i="1"/>
  <c r="I552" i="1"/>
  <c r="K551" i="1"/>
  <c r="J551" i="1"/>
  <c r="I551" i="1"/>
  <c r="K550" i="1"/>
  <c r="J550" i="1"/>
  <c r="I550" i="1"/>
  <c r="K549" i="1"/>
  <c r="J549" i="1"/>
  <c r="I549" i="1"/>
  <c r="K548" i="1"/>
  <c r="J548" i="1"/>
  <c r="I548" i="1"/>
  <c r="K547" i="1"/>
  <c r="J547" i="1"/>
  <c r="I547" i="1"/>
  <c r="K546" i="1"/>
  <c r="J546" i="1"/>
  <c r="I546" i="1"/>
  <c r="K545" i="1"/>
  <c r="J545" i="1"/>
  <c r="I545" i="1"/>
  <c r="K544" i="1"/>
  <c r="J544" i="1"/>
  <c r="I544" i="1"/>
  <c r="K543" i="1"/>
  <c r="J543" i="1"/>
  <c r="I543" i="1"/>
  <c r="K542" i="1"/>
  <c r="J542" i="1"/>
  <c r="I542" i="1"/>
  <c r="K541" i="1"/>
  <c r="J541" i="1"/>
  <c r="I541" i="1"/>
  <c r="K540" i="1"/>
  <c r="J540" i="1"/>
  <c r="I540" i="1"/>
  <c r="K539" i="1"/>
  <c r="J539" i="1"/>
  <c r="I539" i="1"/>
  <c r="K538" i="1"/>
  <c r="J538" i="1"/>
  <c r="I538" i="1"/>
  <c r="K537" i="1"/>
  <c r="J537" i="1"/>
  <c r="I537" i="1"/>
  <c r="K536" i="1"/>
  <c r="J536" i="1"/>
  <c r="I536" i="1"/>
  <c r="K535" i="1"/>
  <c r="J535" i="1"/>
  <c r="I535" i="1"/>
  <c r="K534" i="1"/>
  <c r="J534" i="1"/>
  <c r="I534" i="1"/>
  <c r="K533" i="1"/>
  <c r="J533" i="1"/>
  <c r="I533" i="1"/>
  <c r="K532" i="1"/>
  <c r="J532" i="1"/>
  <c r="I532" i="1"/>
  <c r="K531" i="1"/>
  <c r="J531" i="1"/>
  <c r="I531" i="1"/>
  <c r="K530" i="1"/>
  <c r="J530" i="1"/>
  <c r="I530" i="1"/>
  <c r="K529" i="1"/>
  <c r="J529" i="1"/>
  <c r="I529" i="1"/>
  <c r="K528" i="1"/>
  <c r="J528" i="1"/>
  <c r="I528" i="1"/>
  <c r="K527" i="1"/>
  <c r="J527" i="1"/>
  <c r="I527" i="1"/>
  <c r="K526" i="1"/>
  <c r="J526" i="1"/>
  <c r="I526" i="1"/>
  <c r="K525" i="1"/>
  <c r="J525" i="1"/>
  <c r="I525" i="1"/>
  <c r="K524" i="1"/>
  <c r="J524" i="1"/>
  <c r="I524" i="1"/>
  <c r="K523" i="1"/>
  <c r="J523" i="1"/>
  <c r="I523" i="1"/>
  <c r="K522" i="1"/>
  <c r="J522" i="1"/>
  <c r="I522" i="1"/>
  <c r="K521" i="1"/>
  <c r="J521" i="1"/>
  <c r="I521" i="1"/>
  <c r="K520" i="1"/>
  <c r="J520" i="1"/>
  <c r="I520" i="1"/>
  <c r="K519" i="1"/>
  <c r="J519" i="1"/>
  <c r="I519" i="1"/>
  <c r="K518" i="1"/>
  <c r="J518" i="1"/>
  <c r="I518" i="1"/>
  <c r="K517" i="1"/>
  <c r="J517" i="1"/>
  <c r="I517" i="1"/>
  <c r="K516" i="1"/>
  <c r="J516" i="1"/>
  <c r="I516" i="1"/>
  <c r="K515" i="1"/>
  <c r="J515" i="1"/>
  <c r="I515" i="1"/>
  <c r="K514" i="1"/>
  <c r="J514" i="1"/>
  <c r="I514" i="1"/>
  <c r="K513" i="1"/>
  <c r="J513" i="1"/>
  <c r="I513" i="1"/>
  <c r="K512" i="1"/>
  <c r="J512" i="1"/>
  <c r="I512" i="1"/>
  <c r="K511" i="1"/>
  <c r="J511" i="1"/>
  <c r="I511" i="1"/>
  <c r="K510" i="1"/>
  <c r="J510" i="1"/>
  <c r="I510" i="1"/>
  <c r="K509" i="1"/>
  <c r="J509" i="1"/>
  <c r="I509" i="1"/>
  <c r="K508" i="1"/>
  <c r="J508" i="1"/>
  <c r="I508" i="1"/>
  <c r="K507" i="1"/>
  <c r="J507" i="1"/>
  <c r="I507" i="1"/>
  <c r="K506" i="1"/>
  <c r="J506" i="1"/>
  <c r="I506" i="1"/>
  <c r="K505" i="1"/>
  <c r="J505" i="1"/>
  <c r="I505" i="1"/>
  <c r="K504" i="1"/>
  <c r="J504" i="1"/>
  <c r="I504" i="1"/>
  <c r="K503" i="1"/>
  <c r="J503" i="1"/>
  <c r="I503" i="1"/>
  <c r="K502" i="1"/>
  <c r="J502" i="1"/>
  <c r="I502" i="1"/>
  <c r="K501" i="1"/>
  <c r="J501" i="1"/>
  <c r="I501" i="1"/>
  <c r="K500" i="1"/>
  <c r="J500" i="1"/>
  <c r="I500" i="1"/>
  <c r="K499" i="1"/>
  <c r="J499" i="1"/>
  <c r="I499" i="1"/>
  <c r="K498" i="1"/>
  <c r="J498" i="1"/>
  <c r="I498" i="1"/>
  <c r="K497" i="1"/>
  <c r="J497" i="1"/>
  <c r="I497" i="1"/>
  <c r="K496" i="1"/>
  <c r="J496" i="1"/>
  <c r="I496" i="1"/>
  <c r="K495" i="1"/>
  <c r="J495" i="1"/>
  <c r="I495" i="1"/>
  <c r="K494" i="1"/>
  <c r="J494" i="1"/>
  <c r="I494" i="1"/>
  <c r="K493" i="1"/>
  <c r="J493" i="1"/>
  <c r="I493" i="1"/>
  <c r="K492" i="1"/>
  <c r="J492" i="1"/>
  <c r="I492" i="1"/>
  <c r="K491" i="1"/>
  <c r="J491" i="1"/>
  <c r="I491" i="1"/>
  <c r="K490" i="1"/>
  <c r="J490" i="1"/>
  <c r="I490" i="1"/>
  <c r="K489" i="1"/>
  <c r="J489" i="1"/>
  <c r="I489" i="1"/>
  <c r="K488" i="1"/>
  <c r="J488" i="1"/>
  <c r="I488" i="1"/>
  <c r="K487" i="1"/>
  <c r="J487" i="1"/>
  <c r="I487" i="1"/>
  <c r="K486" i="1"/>
  <c r="J486" i="1"/>
  <c r="I486" i="1"/>
  <c r="K485" i="1"/>
  <c r="J485" i="1"/>
  <c r="I485" i="1"/>
  <c r="K484" i="1"/>
  <c r="J484" i="1"/>
  <c r="I484" i="1"/>
  <c r="K483" i="1"/>
  <c r="J483" i="1"/>
  <c r="I483" i="1"/>
  <c r="K482" i="1"/>
  <c r="J482" i="1"/>
  <c r="I482" i="1"/>
  <c r="K481" i="1"/>
  <c r="J481" i="1"/>
  <c r="I481" i="1"/>
  <c r="K480" i="1"/>
  <c r="J480" i="1"/>
  <c r="I480" i="1"/>
  <c r="K479" i="1"/>
  <c r="J479" i="1"/>
  <c r="I479" i="1"/>
  <c r="K478" i="1"/>
  <c r="J478" i="1"/>
  <c r="I478" i="1"/>
  <c r="K477" i="1"/>
  <c r="J477" i="1"/>
  <c r="I477" i="1"/>
  <c r="K476" i="1"/>
  <c r="J476" i="1"/>
  <c r="I476" i="1"/>
  <c r="K475" i="1"/>
  <c r="J475" i="1"/>
  <c r="I475" i="1"/>
  <c r="K474" i="1"/>
  <c r="J474" i="1"/>
  <c r="I474" i="1"/>
  <c r="K473" i="1"/>
  <c r="J473" i="1"/>
  <c r="I473" i="1"/>
  <c r="K472" i="1"/>
  <c r="J472" i="1"/>
  <c r="I472" i="1"/>
  <c r="K471" i="1"/>
  <c r="J471" i="1"/>
  <c r="I471" i="1"/>
  <c r="K470" i="1"/>
  <c r="J470" i="1"/>
  <c r="I470" i="1"/>
  <c r="K469" i="1"/>
  <c r="J469" i="1"/>
  <c r="I469" i="1"/>
  <c r="K468" i="1"/>
  <c r="J468" i="1"/>
  <c r="I468" i="1"/>
  <c r="K467" i="1"/>
  <c r="J467" i="1"/>
  <c r="I467" i="1"/>
  <c r="K466" i="1"/>
  <c r="J466" i="1"/>
  <c r="I466" i="1"/>
  <c r="K465" i="1"/>
  <c r="J465" i="1"/>
  <c r="I465" i="1"/>
  <c r="K464" i="1"/>
  <c r="J464" i="1"/>
  <c r="I464" i="1"/>
  <c r="K463" i="1"/>
  <c r="J463" i="1"/>
  <c r="I463" i="1"/>
  <c r="K462" i="1"/>
  <c r="J462" i="1"/>
  <c r="I462" i="1"/>
  <c r="K461" i="1"/>
  <c r="J461" i="1"/>
  <c r="I461" i="1"/>
  <c r="K460" i="1"/>
  <c r="J460" i="1"/>
  <c r="I460" i="1"/>
  <c r="K459" i="1"/>
  <c r="J459" i="1"/>
  <c r="I459" i="1"/>
  <c r="K458" i="1"/>
  <c r="J458" i="1"/>
  <c r="I458" i="1"/>
  <c r="K457" i="1"/>
  <c r="J457" i="1"/>
  <c r="I457" i="1"/>
  <c r="K456" i="1"/>
  <c r="J456" i="1"/>
  <c r="I456" i="1"/>
  <c r="K455" i="1"/>
  <c r="J455" i="1"/>
  <c r="I455" i="1"/>
  <c r="K454" i="1"/>
  <c r="J454" i="1"/>
  <c r="I454" i="1"/>
  <c r="K453" i="1"/>
  <c r="J453" i="1"/>
  <c r="I453" i="1"/>
  <c r="K452" i="1"/>
  <c r="J452" i="1"/>
  <c r="I452" i="1"/>
  <c r="K451" i="1"/>
  <c r="J451" i="1"/>
  <c r="I451" i="1"/>
  <c r="K450" i="1"/>
  <c r="J450" i="1"/>
  <c r="I450" i="1"/>
  <c r="K449" i="1"/>
  <c r="J449" i="1"/>
  <c r="I449" i="1"/>
  <c r="K448" i="1"/>
  <c r="J448" i="1"/>
  <c r="I448" i="1"/>
  <c r="K447" i="1"/>
  <c r="J447" i="1"/>
  <c r="I447" i="1"/>
  <c r="K446" i="1"/>
  <c r="J446" i="1"/>
  <c r="I446" i="1"/>
  <c r="K445" i="1"/>
  <c r="J445" i="1"/>
  <c r="I445" i="1"/>
  <c r="K444" i="1"/>
  <c r="J444" i="1"/>
  <c r="I444" i="1"/>
  <c r="K443" i="1"/>
  <c r="J443" i="1"/>
  <c r="I443" i="1"/>
  <c r="K442" i="1"/>
  <c r="J442" i="1"/>
  <c r="I442" i="1"/>
  <c r="K441" i="1"/>
  <c r="J441" i="1"/>
  <c r="I441" i="1"/>
  <c r="K440" i="1"/>
  <c r="J440" i="1"/>
  <c r="I440" i="1"/>
  <c r="K439" i="1"/>
  <c r="J439" i="1"/>
  <c r="I439" i="1"/>
  <c r="K438" i="1"/>
  <c r="J438" i="1"/>
  <c r="I438" i="1"/>
  <c r="K437" i="1"/>
  <c r="J437" i="1"/>
  <c r="I437" i="1"/>
  <c r="K436" i="1"/>
  <c r="J436" i="1"/>
  <c r="I436" i="1"/>
  <c r="K435" i="1"/>
  <c r="J435" i="1"/>
  <c r="I435" i="1"/>
  <c r="K434" i="1"/>
  <c r="J434" i="1"/>
  <c r="I434" i="1"/>
  <c r="K433" i="1"/>
  <c r="J433" i="1"/>
  <c r="I433" i="1"/>
  <c r="K432" i="1"/>
  <c r="J432" i="1"/>
  <c r="I432" i="1"/>
  <c r="K431" i="1"/>
  <c r="J431" i="1"/>
  <c r="I431" i="1"/>
  <c r="K430" i="1"/>
  <c r="J430" i="1"/>
  <c r="I430" i="1"/>
  <c r="K429" i="1"/>
  <c r="J429" i="1"/>
  <c r="I429" i="1"/>
  <c r="K428" i="1"/>
  <c r="J428" i="1"/>
  <c r="I428" i="1"/>
  <c r="K427" i="1"/>
  <c r="J427" i="1"/>
  <c r="I427" i="1"/>
  <c r="K426" i="1"/>
  <c r="J426" i="1"/>
  <c r="I426" i="1"/>
  <c r="K425" i="1"/>
  <c r="J425" i="1"/>
  <c r="I425" i="1"/>
  <c r="K424" i="1"/>
  <c r="J424" i="1"/>
  <c r="I424" i="1"/>
  <c r="K423" i="1"/>
  <c r="J423" i="1"/>
  <c r="I423" i="1"/>
  <c r="K422" i="1"/>
  <c r="J422" i="1"/>
  <c r="I422" i="1"/>
  <c r="K421" i="1"/>
  <c r="J421" i="1"/>
  <c r="I421" i="1"/>
  <c r="K420" i="1"/>
  <c r="J420" i="1"/>
  <c r="I420" i="1"/>
  <c r="K419" i="1"/>
  <c r="J419" i="1"/>
  <c r="I419" i="1"/>
  <c r="K418" i="1"/>
  <c r="J418" i="1"/>
  <c r="I418" i="1"/>
  <c r="K417" i="1"/>
  <c r="J417" i="1"/>
  <c r="I417" i="1"/>
  <c r="K416" i="1"/>
  <c r="J416" i="1"/>
  <c r="I416" i="1"/>
  <c r="K415" i="1"/>
  <c r="J415" i="1"/>
  <c r="I415" i="1"/>
  <c r="K414" i="1"/>
  <c r="J414" i="1"/>
  <c r="I414" i="1"/>
  <c r="K413" i="1"/>
  <c r="J413" i="1"/>
  <c r="I413" i="1"/>
  <c r="K412" i="1"/>
  <c r="J412" i="1"/>
  <c r="I412" i="1"/>
  <c r="K411" i="1"/>
  <c r="J411" i="1"/>
  <c r="I411" i="1"/>
  <c r="K410" i="1"/>
  <c r="J410" i="1"/>
  <c r="I410" i="1"/>
  <c r="K409" i="1"/>
  <c r="J409" i="1"/>
  <c r="I409" i="1"/>
  <c r="K408" i="1"/>
  <c r="J408" i="1"/>
  <c r="I408" i="1"/>
  <c r="K407" i="1"/>
  <c r="J407" i="1"/>
  <c r="I407" i="1"/>
  <c r="K406" i="1"/>
  <c r="J406" i="1"/>
  <c r="I406" i="1"/>
  <c r="K405" i="1"/>
  <c r="J405" i="1"/>
  <c r="I405" i="1"/>
  <c r="K404" i="1"/>
  <c r="J404" i="1"/>
  <c r="I404" i="1"/>
  <c r="K403" i="1"/>
  <c r="J403" i="1"/>
  <c r="I403" i="1"/>
  <c r="K402" i="1"/>
  <c r="J402" i="1"/>
  <c r="I402" i="1"/>
  <c r="K401" i="1"/>
  <c r="J401" i="1"/>
  <c r="I401" i="1"/>
  <c r="K400" i="1"/>
  <c r="J400" i="1"/>
  <c r="I400" i="1"/>
  <c r="K399" i="1"/>
  <c r="J399" i="1"/>
  <c r="I399" i="1"/>
  <c r="K398" i="1"/>
  <c r="J398" i="1"/>
  <c r="I398" i="1"/>
  <c r="K397" i="1"/>
  <c r="J397" i="1"/>
  <c r="I397" i="1"/>
  <c r="K396" i="1"/>
  <c r="J396" i="1"/>
  <c r="I396" i="1"/>
  <c r="K395" i="1"/>
  <c r="J395" i="1"/>
  <c r="I395" i="1"/>
  <c r="K394" i="1"/>
  <c r="J394" i="1"/>
  <c r="I394" i="1"/>
  <c r="K393" i="1"/>
  <c r="J393" i="1"/>
  <c r="I393" i="1"/>
  <c r="K392" i="1"/>
  <c r="J392" i="1"/>
  <c r="I392" i="1"/>
  <c r="K391" i="1"/>
  <c r="J391" i="1"/>
  <c r="I391" i="1"/>
  <c r="K390" i="1"/>
  <c r="J390" i="1"/>
  <c r="I390" i="1"/>
  <c r="K389" i="1"/>
  <c r="J389" i="1"/>
  <c r="I389" i="1"/>
  <c r="K388" i="1"/>
  <c r="J388" i="1"/>
  <c r="I388" i="1"/>
  <c r="K387" i="1"/>
  <c r="J387" i="1"/>
  <c r="I387" i="1"/>
  <c r="K386" i="1"/>
  <c r="J386" i="1"/>
  <c r="I386" i="1"/>
  <c r="K385" i="1"/>
  <c r="J385" i="1"/>
  <c r="I385" i="1"/>
  <c r="K384" i="1"/>
  <c r="J384" i="1"/>
  <c r="I384" i="1"/>
  <c r="K383" i="1"/>
  <c r="J383" i="1"/>
  <c r="I383" i="1"/>
  <c r="K382" i="1"/>
  <c r="J382" i="1"/>
  <c r="I382" i="1"/>
  <c r="K381" i="1"/>
  <c r="J381" i="1"/>
  <c r="I381" i="1"/>
  <c r="K380" i="1"/>
  <c r="J380" i="1"/>
  <c r="I380" i="1"/>
  <c r="K379" i="1"/>
  <c r="J379" i="1"/>
  <c r="I379" i="1"/>
  <c r="K378" i="1"/>
  <c r="J378" i="1"/>
  <c r="I378" i="1"/>
  <c r="K377" i="1"/>
  <c r="J377" i="1"/>
  <c r="I377" i="1"/>
  <c r="K376" i="1"/>
  <c r="J376" i="1"/>
  <c r="I376" i="1"/>
  <c r="K375" i="1"/>
  <c r="J375" i="1"/>
  <c r="I375" i="1"/>
  <c r="K374" i="1"/>
  <c r="J374" i="1"/>
  <c r="I374" i="1"/>
  <c r="K373" i="1"/>
  <c r="J373" i="1"/>
  <c r="I373" i="1"/>
  <c r="K372" i="1"/>
  <c r="J372" i="1"/>
  <c r="I372" i="1"/>
  <c r="K371" i="1"/>
  <c r="J371" i="1"/>
  <c r="I371" i="1"/>
  <c r="K370" i="1"/>
  <c r="J370" i="1"/>
  <c r="I370" i="1"/>
  <c r="K369" i="1"/>
  <c r="J369" i="1"/>
  <c r="I369" i="1"/>
  <c r="K368" i="1"/>
  <c r="J368" i="1"/>
  <c r="I368" i="1"/>
  <c r="K367" i="1"/>
  <c r="J367" i="1"/>
  <c r="I367" i="1"/>
  <c r="K366" i="1"/>
  <c r="J366" i="1"/>
  <c r="I366" i="1"/>
  <c r="K365" i="1"/>
  <c r="J365" i="1"/>
  <c r="I365" i="1"/>
  <c r="K364" i="1"/>
  <c r="J364" i="1"/>
  <c r="I364" i="1"/>
  <c r="K363" i="1"/>
  <c r="J363" i="1"/>
  <c r="I363" i="1"/>
  <c r="K362" i="1"/>
  <c r="J362" i="1"/>
  <c r="I362" i="1"/>
  <c r="K361" i="1"/>
  <c r="J361" i="1"/>
  <c r="I361" i="1"/>
  <c r="K360" i="1"/>
  <c r="J360" i="1"/>
  <c r="I360" i="1"/>
  <c r="K359" i="1"/>
  <c r="J359" i="1"/>
  <c r="I359" i="1"/>
  <c r="K358" i="1"/>
  <c r="J358" i="1"/>
  <c r="I358" i="1"/>
  <c r="K357" i="1"/>
  <c r="J357" i="1"/>
  <c r="I357" i="1"/>
  <c r="K356" i="1"/>
  <c r="J356" i="1"/>
  <c r="I356" i="1"/>
  <c r="K355" i="1"/>
  <c r="J355" i="1"/>
  <c r="I355" i="1"/>
  <c r="K354" i="1"/>
  <c r="J354" i="1"/>
  <c r="I354" i="1"/>
  <c r="K353" i="1"/>
  <c r="J353" i="1"/>
  <c r="I353" i="1"/>
  <c r="K352" i="1"/>
  <c r="J352" i="1"/>
  <c r="I352" i="1"/>
  <c r="K351" i="1"/>
  <c r="J351" i="1"/>
  <c r="I351" i="1"/>
  <c r="K350" i="1"/>
  <c r="J350" i="1"/>
  <c r="I350" i="1"/>
  <c r="K349" i="1"/>
  <c r="J349" i="1"/>
  <c r="I349" i="1"/>
  <c r="K348" i="1"/>
  <c r="J348" i="1"/>
  <c r="I348" i="1"/>
  <c r="K347" i="1"/>
  <c r="J347" i="1"/>
  <c r="I347" i="1"/>
  <c r="K346" i="1"/>
  <c r="J346" i="1"/>
  <c r="I346" i="1"/>
  <c r="K345" i="1"/>
  <c r="J345" i="1"/>
  <c r="I345" i="1"/>
  <c r="K344" i="1"/>
  <c r="J344" i="1"/>
  <c r="I344" i="1"/>
  <c r="K343" i="1"/>
  <c r="J343" i="1"/>
  <c r="I343" i="1"/>
  <c r="K342" i="1"/>
  <c r="J342" i="1"/>
  <c r="I342" i="1"/>
  <c r="K341" i="1"/>
  <c r="J341" i="1"/>
  <c r="I341" i="1"/>
  <c r="K340" i="1"/>
  <c r="J340" i="1"/>
  <c r="I340" i="1"/>
  <c r="K339" i="1"/>
  <c r="J339" i="1"/>
  <c r="I339" i="1"/>
  <c r="K338" i="1"/>
  <c r="J338" i="1"/>
  <c r="I338" i="1"/>
  <c r="K337" i="1"/>
  <c r="J337" i="1"/>
  <c r="I337" i="1"/>
  <c r="K336" i="1"/>
  <c r="J336" i="1"/>
  <c r="I336" i="1"/>
  <c r="K335" i="1"/>
  <c r="J335" i="1"/>
  <c r="I335" i="1"/>
  <c r="K334" i="1"/>
  <c r="J334" i="1"/>
  <c r="I334" i="1"/>
  <c r="K333" i="1"/>
  <c r="J333" i="1"/>
  <c r="I333" i="1"/>
  <c r="K332" i="1"/>
  <c r="J332" i="1"/>
  <c r="I332" i="1"/>
  <c r="K331" i="1"/>
  <c r="J331" i="1"/>
  <c r="I331" i="1"/>
  <c r="K330" i="1"/>
  <c r="J330" i="1"/>
  <c r="I330" i="1"/>
  <c r="K329" i="1"/>
  <c r="J329" i="1"/>
  <c r="I329" i="1"/>
  <c r="K328" i="1"/>
  <c r="J328" i="1"/>
  <c r="I328" i="1"/>
  <c r="K327" i="1"/>
  <c r="J327" i="1"/>
  <c r="I327" i="1"/>
  <c r="K326" i="1"/>
  <c r="J326" i="1"/>
  <c r="I326" i="1"/>
  <c r="K325" i="1"/>
  <c r="J325" i="1"/>
  <c r="I325" i="1"/>
  <c r="K324" i="1"/>
  <c r="J324" i="1"/>
  <c r="I324" i="1"/>
  <c r="K323" i="1"/>
  <c r="J323" i="1"/>
  <c r="I323" i="1"/>
  <c r="K322" i="1"/>
  <c r="J322" i="1"/>
  <c r="I322" i="1"/>
  <c r="K321" i="1"/>
  <c r="J321" i="1"/>
  <c r="I321" i="1"/>
  <c r="K320" i="1"/>
  <c r="J320" i="1"/>
  <c r="I320" i="1"/>
  <c r="K319" i="1"/>
  <c r="J319" i="1"/>
  <c r="I319" i="1"/>
  <c r="K318" i="1"/>
  <c r="J318" i="1"/>
  <c r="I318" i="1"/>
  <c r="K317" i="1"/>
  <c r="J317" i="1"/>
  <c r="I317" i="1"/>
  <c r="K316" i="1"/>
  <c r="J316" i="1"/>
  <c r="I316" i="1"/>
  <c r="K315" i="1"/>
  <c r="J315" i="1"/>
  <c r="I315" i="1"/>
  <c r="K314" i="1"/>
  <c r="J314" i="1"/>
  <c r="I314" i="1"/>
  <c r="K313" i="1"/>
  <c r="J313" i="1"/>
  <c r="I313" i="1"/>
  <c r="K312" i="1"/>
  <c r="J312" i="1"/>
  <c r="I312" i="1"/>
  <c r="K311" i="1"/>
  <c r="J311" i="1"/>
  <c r="I311" i="1"/>
  <c r="K310" i="1"/>
  <c r="J310" i="1"/>
  <c r="I310" i="1"/>
  <c r="K309" i="1"/>
  <c r="J309" i="1"/>
  <c r="I309" i="1"/>
  <c r="K308" i="1"/>
  <c r="J308" i="1"/>
  <c r="I308" i="1"/>
  <c r="K307" i="1"/>
  <c r="J307" i="1"/>
  <c r="I307" i="1"/>
  <c r="K306" i="1"/>
  <c r="J306" i="1"/>
  <c r="I306" i="1"/>
  <c r="K305" i="1"/>
  <c r="J305" i="1"/>
  <c r="I305" i="1"/>
  <c r="K304" i="1"/>
  <c r="J304" i="1"/>
  <c r="I304" i="1"/>
  <c r="K303" i="1"/>
  <c r="J303" i="1"/>
  <c r="I303" i="1"/>
  <c r="K302" i="1"/>
  <c r="J302" i="1"/>
  <c r="I302" i="1"/>
  <c r="K301" i="1"/>
  <c r="J301" i="1"/>
  <c r="I301" i="1"/>
  <c r="K300" i="1"/>
  <c r="J300" i="1"/>
  <c r="I300" i="1"/>
  <c r="K299" i="1"/>
  <c r="J299" i="1"/>
  <c r="I299" i="1"/>
  <c r="K298" i="1"/>
  <c r="J298" i="1"/>
  <c r="I298" i="1"/>
  <c r="K297" i="1"/>
  <c r="J297" i="1"/>
  <c r="I297" i="1"/>
  <c r="K296" i="1"/>
  <c r="J296" i="1"/>
  <c r="I296" i="1"/>
  <c r="K295" i="1"/>
  <c r="J295" i="1"/>
  <c r="I295" i="1"/>
  <c r="K294" i="1"/>
  <c r="J294" i="1"/>
  <c r="I294" i="1"/>
  <c r="K293" i="1"/>
  <c r="J293" i="1"/>
  <c r="I293" i="1"/>
  <c r="K292" i="1"/>
  <c r="J292" i="1"/>
  <c r="I292" i="1"/>
  <c r="K291" i="1"/>
  <c r="J291" i="1"/>
  <c r="I291" i="1"/>
  <c r="K290" i="1"/>
  <c r="J290" i="1"/>
  <c r="I290" i="1"/>
  <c r="K289" i="1"/>
  <c r="J289" i="1"/>
  <c r="I289" i="1"/>
  <c r="K288" i="1"/>
  <c r="J288" i="1"/>
  <c r="I288" i="1"/>
  <c r="K287" i="1"/>
  <c r="J287" i="1"/>
  <c r="I287" i="1"/>
  <c r="K286" i="1"/>
  <c r="J286" i="1"/>
  <c r="I286" i="1"/>
  <c r="K285" i="1"/>
  <c r="J285" i="1"/>
  <c r="I285" i="1"/>
  <c r="K284" i="1"/>
  <c r="J284" i="1"/>
  <c r="I284" i="1"/>
  <c r="K283" i="1"/>
  <c r="J283" i="1"/>
  <c r="I283" i="1"/>
  <c r="K282" i="1"/>
  <c r="J282" i="1"/>
  <c r="I282" i="1"/>
  <c r="K281" i="1"/>
  <c r="J281" i="1"/>
  <c r="I281" i="1"/>
  <c r="K280" i="1"/>
  <c r="J280" i="1"/>
  <c r="I280" i="1"/>
  <c r="K279" i="1"/>
  <c r="J279" i="1"/>
  <c r="I279" i="1"/>
  <c r="K278" i="1"/>
  <c r="J278" i="1"/>
  <c r="I278" i="1"/>
  <c r="K277" i="1"/>
  <c r="J277" i="1"/>
  <c r="I277" i="1"/>
  <c r="K276" i="1"/>
  <c r="J276" i="1"/>
  <c r="I276" i="1"/>
  <c r="K275" i="1"/>
  <c r="J275" i="1"/>
  <c r="I275" i="1"/>
  <c r="K274" i="1"/>
  <c r="J274" i="1"/>
  <c r="I274" i="1"/>
  <c r="K273" i="1"/>
  <c r="J273" i="1"/>
  <c r="I273" i="1"/>
  <c r="K272" i="1"/>
  <c r="J272" i="1"/>
  <c r="I272" i="1"/>
  <c r="K271" i="1"/>
  <c r="J271" i="1"/>
  <c r="I271" i="1"/>
  <c r="K270" i="1"/>
  <c r="J270" i="1"/>
  <c r="I270" i="1"/>
  <c r="K269" i="1"/>
  <c r="J269" i="1"/>
  <c r="I269" i="1"/>
  <c r="K268" i="1"/>
  <c r="J268" i="1"/>
  <c r="I268" i="1"/>
  <c r="K267" i="1"/>
  <c r="J267" i="1"/>
  <c r="I267" i="1"/>
  <c r="K266" i="1"/>
  <c r="J266" i="1"/>
  <c r="I266" i="1"/>
  <c r="K265" i="1"/>
  <c r="J265" i="1"/>
  <c r="I265" i="1"/>
  <c r="K264" i="1"/>
  <c r="J264" i="1"/>
  <c r="I264" i="1"/>
  <c r="K263" i="1"/>
  <c r="J263" i="1"/>
  <c r="I263" i="1"/>
  <c r="K262" i="1"/>
  <c r="J262" i="1"/>
  <c r="I262" i="1"/>
  <c r="K261" i="1"/>
  <c r="J261" i="1"/>
  <c r="I261" i="1"/>
  <c r="K260" i="1"/>
  <c r="J260" i="1"/>
  <c r="I260" i="1"/>
  <c r="K259" i="1"/>
  <c r="J259" i="1"/>
  <c r="I259" i="1"/>
  <c r="K258" i="1"/>
  <c r="J258" i="1"/>
  <c r="I258" i="1"/>
  <c r="K257" i="1"/>
  <c r="J257" i="1"/>
  <c r="I257" i="1"/>
  <c r="K256" i="1"/>
  <c r="J256" i="1"/>
  <c r="I256" i="1"/>
  <c r="K255" i="1"/>
  <c r="J255" i="1"/>
  <c r="I255" i="1"/>
  <c r="K254" i="1"/>
  <c r="J254" i="1"/>
  <c r="I254" i="1"/>
  <c r="K253" i="1"/>
  <c r="J253" i="1"/>
  <c r="I253" i="1"/>
  <c r="K252" i="1"/>
  <c r="J252" i="1"/>
  <c r="I252" i="1"/>
  <c r="K251" i="1"/>
  <c r="J251" i="1"/>
  <c r="I251" i="1"/>
  <c r="K250" i="1"/>
  <c r="J250" i="1"/>
  <c r="I250" i="1"/>
  <c r="K249" i="1"/>
  <c r="J249" i="1"/>
  <c r="I249" i="1"/>
  <c r="K248" i="1"/>
  <c r="J248" i="1"/>
  <c r="I248" i="1"/>
  <c r="K247" i="1"/>
  <c r="J247" i="1"/>
  <c r="I247" i="1"/>
  <c r="K246" i="1"/>
  <c r="J246" i="1"/>
  <c r="I246" i="1"/>
  <c r="K245" i="1"/>
  <c r="J245" i="1"/>
  <c r="I245" i="1"/>
  <c r="K244" i="1"/>
  <c r="J244" i="1"/>
  <c r="I244" i="1"/>
  <c r="K243" i="1"/>
  <c r="J243" i="1"/>
  <c r="I243" i="1"/>
  <c r="K242" i="1"/>
  <c r="J242" i="1"/>
  <c r="I242" i="1"/>
  <c r="K241" i="1"/>
  <c r="J241" i="1"/>
  <c r="I241" i="1"/>
  <c r="K240" i="1"/>
  <c r="J240" i="1"/>
  <c r="I240" i="1"/>
  <c r="K239" i="1"/>
  <c r="J239" i="1"/>
  <c r="I239" i="1"/>
  <c r="K238" i="1"/>
  <c r="J238" i="1"/>
  <c r="I238" i="1"/>
  <c r="K237" i="1"/>
  <c r="J237" i="1"/>
  <c r="I237" i="1"/>
  <c r="K236" i="1"/>
  <c r="J236" i="1"/>
  <c r="I236" i="1"/>
  <c r="K235" i="1"/>
  <c r="J235" i="1"/>
  <c r="I235" i="1"/>
  <c r="K234" i="1"/>
  <c r="J234" i="1"/>
  <c r="I234" i="1"/>
  <c r="K233" i="1"/>
  <c r="J233" i="1"/>
  <c r="I233" i="1"/>
  <c r="K232" i="1"/>
  <c r="J232" i="1"/>
  <c r="I232" i="1"/>
  <c r="K231" i="1"/>
  <c r="J231" i="1"/>
  <c r="I231" i="1"/>
  <c r="K230" i="1"/>
  <c r="J230" i="1"/>
  <c r="I230" i="1"/>
  <c r="K229" i="1"/>
  <c r="J229" i="1"/>
  <c r="I229" i="1"/>
  <c r="K228" i="1"/>
  <c r="J228" i="1"/>
  <c r="I228" i="1"/>
  <c r="K227" i="1"/>
  <c r="J227" i="1"/>
  <c r="I227" i="1"/>
  <c r="K226" i="1"/>
  <c r="J226" i="1"/>
  <c r="I226" i="1"/>
  <c r="K225" i="1"/>
  <c r="J225" i="1"/>
  <c r="I225" i="1"/>
  <c r="K224" i="1"/>
  <c r="J224" i="1"/>
  <c r="I224" i="1"/>
  <c r="K223" i="1"/>
  <c r="J223" i="1"/>
  <c r="I223" i="1"/>
  <c r="K222" i="1"/>
  <c r="J222" i="1"/>
  <c r="I222" i="1"/>
  <c r="K221" i="1"/>
  <c r="J221" i="1"/>
  <c r="I221" i="1"/>
  <c r="K220" i="1"/>
  <c r="J220" i="1"/>
  <c r="I220" i="1"/>
  <c r="K219" i="1"/>
  <c r="J219" i="1"/>
  <c r="I219" i="1"/>
  <c r="K218" i="1"/>
  <c r="J218" i="1"/>
  <c r="I218" i="1"/>
  <c r="K217" i="1"/>
  <c r="J217" i="1"/>
  <c r="I217" i="1"/>
  <c r="K216" i="1"/>
  <c r="J216" i="1"/>
  <c r="I216" i="1"/>
  <c r="K215" i="1"/>
  <c r="J215" i="1"/>
  <c r="I215" i="1"/>
  <c r="K214" i="1"/>
  <c r="J214" i="1"/>
  <c r="I214" i="1"/>
  <c r="K213" i="1"/>
  <c r="J213" i="1"/>
  <c r="I213" i="1"/>
  <c r="K212" i="1"/>
  <c r="J212" i="1"/>
  <c r="I212" i="1"/>
  <c r="K211" i="1"/>
  <c r="J211" i="1"/>
  <c r="I211" i="1"/>
  <c r="K210" i="1"/>
  <c r="J210" i="1"/>
  <c r="I210" i="1"/>
  <c r="K209" i="1"/>
  <c r="J209" i="1"/>
  <c r="I209" i="1"/>
  <c r="K208" i="1"/>
  <c r="J208" i="1"/>
  <c r="I208" i="1"/>
  <c r="K207" i="1"/>
  <c r="J207" i="1"/>
  <c r="I207" i="1"/>
  <c r="K206" i="1"/>
  <c r="J206" i="1"/>
  <c r="I206" i="1"/>
  <c r="K205" i="1"/>
  <c r="J205" i="1"/>
  <c r="I205" i="1"/>
  <c r="K204" i="1"/>
  <c r="J204" i="1"/>
  <c r="I204" i="1"/>
  <c r="K203" i="1"/>
  <c r="J203" i="1"/>
  <c r="I203" i="1"/>
  <c r="K202" i="1"/>
  <c r="J202" i="1"/>
  <c r="I202" i="1"/>
  <c r="K201" i="1"/>
  <c r="J201" i="1"/>
  <c r="I201" i="1"/>
  <c r="K200" i="1"/>
  <c r="J200" i="1"/>
  <c r="I200" i="1"/>
  <c r="K199" i="1"/>
  <c r="J199" i="1"/>
  <c r="I199" i="1"/>
  <c r="K198" i="1"/>
  <c r="J198" i="1"/>
  <c r="I198" i="1"/>
  <c r="K197" i="1"/>
  <c r="J197" i="1"/>
  <c r="I197" i="1"/>
  <c r="K196" i="1"/>
  <c r="J196" i="1"/>
  <c r="I196" i="1"/>
  <c r="K195" i="1"/>
  <c r="J195" i="1"/>
  <c r="I195" i="1"/>
  <c r="K194" i="1"/>
  <c r="J194" i="1"/>
  <c r="I194" i="1"/>
  <c r="K193" i="1"/>
  <c r="J193" i="1"/>
  <c r="I193" i="1"/>
  <c r="K192" i="1"/>
  <c r="J192" i="1"/>
  <c r="I192" i="1"/>
  <c r="K191" i="1"/>
  <c r="J191" i="1"/>
  <c r="I191" i="1"/>
  <c r="K190" i="1"/>
  <c r="J190" i="1"/>
  <c r="I190" i="1"/>
  <c r="K189" i="1"/>
  <c r="J189" i="1"/>
  <c r="I189" i="1"/>
  <c r="K188" i="1"/>
  <c r="J188" i="1"/>
  <c r="I188" i="1"/>
  <c r="K187" i="1"/>
  <c r="J187" i="1"/>
  <c r="I187" i="1"/>
  <c r="K186" i="1"/>
  <c r="J186" i="1"/>
  <c r="I186" i="1"/>
  <c r="K185" i="1"/>
  <c r="J185" i="1"/>
  <c r="I185" i="1"/>
  <c r="K184" i="1"/>
  <c r="J184" i="1"/>
  <c r="I184" i="1"/>
  <c r="K183" i="1"/>
  <c r="J183" i="1"/>
  <c r="I183" i="1"/>
  <c r="K182" i="1"/>
  <c r="J182" i="1"/>
  <c r="I182" i="1"/>
  <c r="K181" i="1"/>
  <c r="J181" i="1"/>
  <c r="I181" i="1"/>
  <c r="K180" i="1"/>
  <c r="J180" i="1"/>
  <c r="I180" i="1"/>
  <c r="K179" i="1"/>
  <c r="J179" i="1"/>
  <c r="I179" i="1"/>
  <c r="K178" i="1"/>
  <c r="J178" i="1"/>
  <c r="I178" i="1"/>
  <c r="K177" i="1"/>
  <c r="J177" i="1"/>
  <c r="I177" i="1"/>
  <c r="K176" i="1"/>
  <c r="J176" i="1"/>
  <c r="I176" i="1"/>
  <c r="K175" i="1"/>
  <c r="J175" i="1"/>
  <c r="I175" i="1"/>
  <c r="K174" i="1"/>
  <c r="J174" i="1"/>
  <c r="I174" i="1"/>
  <c r="K173" i="1"/>
  <c r="J173" i="1"/>
  <c r="I173" i="1"/>
  <c r="K172" i="1"/>
  <c r="J172" i="1"/>
  <c r="I172" i="1"/>
  <c r="K171" i="1"/>
  <c r="J171" i="1"/>
  <c r="I171" i="1"/>
  <c r="K170" i="1"/>
  <c r="J170" i="1"/>
  <c r="I170" i="1"/>
  <c r="K169" i="1"/>
  <c r="J169" i="1"/>
  <c r="I169" i="1"/>
  <c r="K168" i="1"/>
  <c r="J168" i="1"/>
  <c r="I168" i="1"/>
  <c r="K167" i="1"/>
  <c r="J167" i="1"/>
  <c r="I167" i="1"/>
  <c r="K166" i="1"/>
  <c r="J166" i="1"/>
  <c r="I166" i="1"/>
  <c r="K165" i="1"/>
  <c r="J165" i="1"/>
  <c r="I165" i="1"/>
  <c r="K164" i="1"/>
  <c r="J164" i="1"/>
  <c r="I164" i="1"/>
  <c r="K163" i="1"/>
  <c r="J163" i="1"/>
  <c r="I163" i="1"/>
  <c r="K162" i="1"/>
  <c r="J162" i="1"/>
  <c r="I162" i="1"/>
  <c r="K161" i="1"/>
  <c r="J161" i="1"/>
  <c r="I161" i="1"/>
  <c r="K160" i="1"/>
  <c r="J160" i="1"/>
  <c r="I160" i="1"/>
  <c r="K159" i="1"/>
  <c r="J159" i="1"/>
  <c r="I159" i="1"/>
  <c r="K158" i="1"/>
  <c r="J158" i="1"/>
  <c r="I158" i="1"/>
  <c r="K157" i="1"/>
  <c r="J157" i="1"/>
  <c r="I157" i="1"/>
  <c r="K156" i="1"/>
  <c r="J156" i="1"/>
  <c r="I156" i="1"/>
  <c r="K155" i="1"/>
  <c r="J155" i="1"/>
  <c r="I155" i="1"/>
  <c r="K154" i="1"/>
  <c r="J154" i="1"/>
  <c r="I154" i="1"/>
  <c r="K153" i="1"/>
  <c r="J153" i="1"/>
  <c r="I153" i="1"/>
  <c r="K152" i="1"/>
  <c r="J152" i="1"/>
  <c r="I152" i="1"/>
  <c r="K151" i="1"/>
  <c r="J151" i="1"/>
  <c r="I151" i="1"/>
  <c r="K150" i="1"/>
  <c r="J150" i="1"/>
  <c r="I150" i="1"/>
  <c r="K149" i="1"/>
  <c r="J149" i="1"/>
  <c r="I149" i="1"/>
  <c r="K148" i="1"/>
  <c r="J148" i="1"/>
  <c r="I148" i="1"/>
  <c r="K147" i="1"/>
  <c r="J147" i="1"/>
  <c r="I147" i="1"/>
  <c r="K146" i="1"/>
  <c r="J146" i="1"/>
  <c r="I146" i="1"/>
  <c r="K145" i="1"/>
  <c r="J145" i="1"/>
  <c r="I145" i="1"/>
  <c r="K144" i="1"/>
  <c r="J144" i="1"/>
  <c r="I144" i="1"/>
  <c r="K143" i="1"/>
  <c r="J143" i="1"/>
  <c r="I143" i="1"/>
  <c r="K142" i="1"/>
  <c r="J142" i="1"/>
  <c r="I142" i="1"/>
  <c r="K141" i="1"/>
  <c r="J141" i="1"/>
  <c r="I141" i="1"/>
  <c r="K140" i="1"/>
  <c r="J140" i="1"/>
  <c r="I140" i="1"/>
  <c r="K139" i="1"/>
  <c r="J139" i="1"/>
  <c r="I139" i="1"/>
  <c r="K138" i="1"/>
  <c r="J138" i="1"/>
  <c r="I138" i="1"/>
  <c r="K137" i="1"/>
  <c r="J137" i="1"/>
  <c r="I137" i="1"/>
  <c r="K136" i="1"/>
  <c r="J136" i="1"/>
  <c r="I136" i="1"/>
  <c r="K135" i="1"/>
  <c r="J135" i="1"/>
  <c r="I135" i="1"/>
  <c r="K134" i="1"/>
  <c r="J134" i="1"/>
  <c r="I134" i="1"/>
  <c r="K133" i="1"/>
  <c r="J133" i="1"/>
  <c r="I133" i="1"/>
  <c r="K132" i="1"/>
  <c r="J132" i="1"/>
  <c r="I132" i="1"/>
  <c r="K131" i="1"/>
  <c r="J131" i="1"/>
  <c r="I131" i="1"/>
  <c r="K130" i="1"/>
  <c r="J130" i="1"/>
  <c r="I130" i="1"/>
  <c r="K129" i="1"/>
  <c r="J129" i="1"/>
  <c r="I129" i="1"/>
  <c r="K128" i="1"/>
  <c r="J128" i="1"/>
  <c r="I128" i="1"/>
  <c r="K127" i="1"/>
  <c r="J127" i="1"/>
  <c r="I127" i="1"/>
  <c r="K126" i="1"/>
  <c r="J126" i="1"/>
  <c r="I126" i="1"/>
  <c r="K125" i="1"/>
  <c r="J125" i="1"/>
  <c r="I125" i="1"/>
  <c r="K124" i="1"/>
  <c r="J124" i="1"/>
  <c r="I124" i="1"/>
  <c r="K123" i="1"/>
  <c r="J123" i="1"/>
  <c r="I123" i="1"/>
  <c r="K122" i="1"/>
  <c r="J122" i="1"/>
  <c r="I122" i="1"/>
  <c r="K121" i="1"/>
  <c r="J121" i="1"/>
  <c r="I121" i="1"/>
  <c r="K120" i="1"/>
  <c r="J120" i="1"/>
  <c r="I120" i="1"/>
  <c r="K119" i="1"/>
  <c r="J119" i="1"/>
  <c r="I119" i="1"/>
  <c r="K118" i="1"/>
  <c r="J118" i="1"/>
  <c r="I118" i="1"/>
  <c r="K117" i="1"/>
  <c r="J117" i="1"/>
  <c r="I117" i="1"/>
  <c r="K116" i="1"/>
  <c r="J116" i="1"/>
  <c r="I116" i="1"/>
  <c r="K115" i="1"/>
  <c r="J115" i="1"/>
  <c r="I115" i="1"/>
  <c r="K114" i="1"/>
  <c r="J114" i="1"/>
  <c r="I114" i="1"/>
  <c r="K113" i="1"/>
  <c r="J113" i="1"/>
  <c r="I113" i="1"/>
  <c r="K112" i="1"/>
  <c r="J112" i="1"/>
  <c r="I112" i="1"/>
  <c r="K111" i="1"/>
  <c r="J111" i="1"/>
  <c r="I111" i="1"/>
  <c r="K110" i="1"/>
  <c r="J110" i="1"/>
  <c r="I110" i="1"/>
  <c r="K109" i="1"/>
  <c r="J109" i="1"/>
  <c r="I109" i="1"/>
  <c r="K108" i="1"/>
  <c r="J108" i="1"/>
  <c r="I108" i="1"/>
  <c r="K107" i="1"/>
  <c r="J107" i="1"/>
  <c r="I107" i="1"/>
  <c r="K106" i="1"/>
  <c r="J106" i="1"/>
  <c r="I106" i="1"/>
  <c r="K105" i="1"/>
  <c r="J105" i="1"/>
  <c r="I105" i="1"/>
  <c r="K104" i="1"/>
  <c r="J104" i="1"/>
  <c r="I104" i="1"/>
  <c r="K103" i="1"/>
  <c r="J103" i="1"/>
  <c r="I103" i="1"/>
  <c r="K102" i="1"/>
  <c r="J102" i="1"/>
  <c r="I102" i="1"/>
  <c r="K101" i="1"/>
  <c r="J101" i="1"/>
  <c r="I101" i="1"/>
  <c r="K100" i="1"/>
  <c r="J100" i="1"/>
  <c r="I100" i="1"/>
  <c r="K99" i="1"/>
  <c r="J99" i="1"/>
  <c r="I99" i="1"/>
  <c r="K98" i="1"/>
  <c r="J98" i="1"/>
  <c r="I98" i="1"/>
  <c r="K97" i="1"/>
  <c r="J97" i="1"/>
  <c r="I97" i="1"/>
  <c r="K96" i="1"/>
  <c r="J96" i="1"/>
  <c r="I96" i="1"/>
  <c r="K95" i="1"/>
  <c r="J95" i="1"/>
  <c r="I95" i="1"/>
  <c r="K94" i="1"/>
  <c r="J94" i="1"/>
  <c r="I94" i="1"/>
  <c r="K93" i="1"/>
  <c r="J93" i="1"/>
  <c r="I93" i="1"/>
  <c r="K92" i="1"/>
  <c r="J92" i="1"/>
  <c r="I92" i="1"/>
  <c r="K91" i="1"/>
  <c r="J91" i="1"/>
  <c r="I91" i="1"/>
  <c r="K90" i="1"/>
  <c r="J90" i="1"/>
  <c r="I90" i="1"/>
  <c r="K89" i="1"/>
  <c r="J89" i="1"/>
  <c r="I89" i="1"/>
  <c r="K88" i="1"/>
  <c r="J88" i="1"/>
  <c r="I88" i="1"/>
  <c r="K87" i="1"/>
  <c r="J87" i="1"/>
  <c r="I87" i="1"/>
  <c r="K86" i="1"/>
  <c r="J86" i="1"/>
  <c r="I86" i="1"/>
  <c r="K85" i="1"/>
  <c r="J85" i="1"/>
  <c r="I85" i="1"/>
  <c r="K84" i="1"/>
  <c r="J84" i="1"/>
  <c r="I84" i="1"/>
  <c r="K83" i="1"/>
  <c r="J83" i="1"/>
  <c r="I83" i="1"/>
  <c r="K82" i="1"/>
  <c r="J82" i="1"/>
  <c r="I82" i="1"/>
  <c r="K81" i="1"/>
  <c r="J81" i="1"/>
  <c r="I81" i="1"/>
  <c r="K80" i="1"/>
  <c r="J80" i="1"/>
  <c r="I80" i="1"/>
  <c r="K79" i="1"/>
  <c r="J79" i="1"/>
  <c r="I79" i="1"/>
  <c r="K78" i="1"/>
  <c r="J78" i="1"/>
  <c r="I78" i="1"/>
  <c r="K77" i="1"/>
  <c r="J77" i="1"/>
  <c r="I77" i="1"/>
  <c r="K76" i="1"/>
  <c r="J76" i="1"/>
  <c r="I76" i="1"/>
  <c r="K75" i="1"/>
  <c r="J75" i="1"/>
  <c r="I75" i="1"/>
  <c r="K74" i="1"/>
  <c r="J74" i="1"/>
  <c r="I74" i="1"/>
  <c r="K73" i="1"/>
  <c r="J73" i="1"/>
  <c r="I73" i="1"/>
  <c r="K72" i="1"/>
  <c r="J72" i="1"/>
  <c r="I72" i="1"/>
  <c r="K71" i="1"/>
  <c r="J71" i="1"/>
  <c r="I71" i="1"/>
  <c r="K70" i="1"/>
  <c r="J70" i="1"/>
  <c r="I70" i="1"/>
  <c r="K69" i="1"/>
  <c r="J69" i="1"/>
  <c r="I69" i="1"/>
  <c r="K68" i="1"/>
  <c r="J68" i="1"/>
  <c r="I68" i="1"/>
  <c r="K67" i="1"/>
  <c r="J67" i="1"/>
  <c r="I67" i="1"/>
  <c r="K66" i="1"/>
  <c r="J66" i="1"/>
  <c r="I66" i="1"/>
  <c r="K65" i="1"/>
  <c r="J65" i="1"/>
  <c r="I65" i="1"/>
  <c r="K64" i="1"/>
  <c r="J64" i="1"/>
  <c r="I64" i="1"/>
  <c r="K63" i="1"/>
  <c r="J63" i="1"/>
  <c r="I63" i="1"/>
  <c r="K62" i="1"/>
  <c r="J62" i="1"/>
  <c r="I62" i="1"/>
  <c r="K61" i="1"/>
  <c r="J61" i="1"/>
  <c r="I61" i="1"/>
  <c r="K60" i="1"/>
  <c r="J60" i="1"/>
  <c r="I60" i="1"/>
  <c r="K59" i="1"/>
  <c r="J59" i="1"/>
  <c r="I59" i="1"/>
  <c r="K58" i="1"/>
  <c r="J58" i="1"/>
  <c r="I58" i="1"/>
  <c r="K57" i="1"/>
  <c r="J57" i="1"/>
  <c r="I57" i="1"/>
  <c r="K56" i="1"/>
  <c r="J56" i="1"/>
  <c r="I56" i="1"/>
  <c r="K55" i="1"/>
  <c r="J55" i="1"/>
  <c r="I55" i="1"/>
  <c r="K54" i="1"/>
  <c r="J54" i="1"/>
  <c r="I54" i="1"/>
  <c r="K53" i="1"/>
  <c r="J53" i="1"/>
  <c r="I53" i="1"/>
  <c r="K52" i="1"/>
  <c r="J52" i="1"/>
  <c r="I52" i="1"/>
  <c r="K51" i="1"/>
  <c r="J51" i="1"/>
  <c r="I51" i="1"/>
  <c r="K50" i="1"/>
  <c r="J50" i="1"/>
  <c r="I50" i="1"/>
  <c r="K49" i="1"/>
  <c r="J49" i="1"/>
  <c r="I49" i="1"/>
  <c r="K48" i="1"/>
  <c r="J48" i="1"/>
  <c r="I48" i="1"/>
  <c r="K47" i="1"/>
  <c r="J47" i="1"/>
  <c r="I47" i="1"/>
  <c r="K46" i="1"/>
  <c r="J46" i="1"/>
  <c r="I46" i="1"/>
  <c r="K45" i="1"/>
  <c r="J45" i="1"/>
  <c r="I45" i="1"/>
  <c r="K44" i="1"/>
  <c r="J44" i="1"/>
  <c r="I44" i="1"/>
  <c r="K43" i="1"/>
  <c r="J43" i="1"/>
  <c r="I43" i="1"/>
  <c r="K42" i="1"/>
  <c r="J42" i="1"/>
  <c r="I42" i="1"/>
  <c r="K41" i="1"/>
  <c r="J41" i="1"/>
  <c r="I41" i="1"/>
  <c r="K40" i="1"/>
  <c r="J40" i="1"/>
  <c r="I40" i="1"/>
  <c r="K39" i="1"/>
  <c r="J39" i="1"/>
  <c r="I39" i="1"/>
  <c r="K38" i="1"/>
  <c r="J38" i="1"/>
  <c r="I38" i="1"/>
  <c r="K37" i="1"/>
  <c r="J37" i="1"/>
  <c r="I37" i="1"/>
  <c r="K36" i="1"/>
  <c r="J36" i="1"/>
  <c r="I36" i="1"/>
  <c r="K35" i="1"/>
  <c r="J35" i="1"/>
  <c r="I35" i="1"/>
  <c r="K34" i="1"/>
  <c r="J34" i="1"/>
  <c r="I34" i="1"/>
  <c r="K33" i="1"/>
  <c r="J33" i="1"/>
  <c r="I33" i="1"/>
  <c r="K32" i="1"/>
  <c r="J32" i="1"/>
  <c r="I32" i="1"/>
  <c r="K31" i="1"/>
  <c r="J31" i="1"/>
  <c r="I31" i="1"/>
  <c r="K30" i="1"/>
  <c r="J30" i="1"/>
  <c r="I30" i="1"/>
  <c r="K29" i="1"/>
  <c r="J29" i="1"/>
  <c r="I29" i="1"/>
  <c r="K28" i="1"/>
  <c r="J28" i="1"/>
  <c r="I28" i="1"/>
  <c r="K27" i="1"/>
  <c r="J27" i="1"/>
  <c r="I27" i="1"/>
  <c r="K26" i="1"/>
  <c r="J26" i="1"/>
  <c r="I26" i="1"/>
  <c r="K25" i="1"/>
  <c r="J25" i="1"/>
  <c r="I25" i="1"/>
  <c r="K24" i="1"/>
  <c r="J24" i="1"/>
  <c r="I24" i="1"/>
  <c r="K23" i="1"/>
  <c r="J23" i="1"/>
  <c r="I23" i="1"/>
  <c r="K22" i="1"/>
  <c r="J22" i="1"/>
  <c r="I22" i="1"/>
  <c r="K21" i="1"/>
  <c r="J21" i="1"/>
  <c r="I21" i="1"/>
  <c r="K20" i="1"/>
  <c r="J20" i="1"/>
  <c r="I20" i="1"/>
  <c r="K19" i="1"/>
  <c r="J19" i="1"/>
  <c r="I19" i="1"/>
  <c r="K18" i="1"/>
  <c r="J18" i="1"/>
  <c r="I18" i="1"/>
  <c r="K17" i="1"/>
  <c r="J17" i="1"/>
  <c r="I17" i="1"/>
  <c r="K16" i="1"/>
  <c r="J16" i="1"/>
  <c r="I16" i="1"/>
  <c r="K15" i="1"/>
  <c r="J15" i="1"/>
  <c r="I15" i="1"/>
  <c r="K14" i="1"/>
  <c r="J14" i="1"/>
  <c r="I14" i="1"/>
  <c r="K13" i="1"/>
  <c r="J13" i="1"/>
  <c r="I13" i="1"/>
  <c r="K12" i="1"/>
  <c r="J12" i="1"/>
  <c r="I12" i="1"/>
  <c r="K11" i="1"/>
  <c r="J11" i="1"/>
  <c r="I11" i="1"/>
  <c r="K10" i="1"/>
  <c r="J10" i="1"/>
  <c r="I10" i="1"/>
  <c r="K9" i="1"/>
  <c r="J9" i="1"/>
  <c r="I9" i="1"/>
  <c r="K8" i="1"/>
  <c r="J8" i="1"/>
  <c r="I8" i="1"/>
  <c r="K7" i="1"/>
  <c r="J7" i="1"/>
  <c r="I7" i="1"/>
  <c r="K6" i="1"/>
  <c r="J6" i="1"/>
  <c r="I6" i="1"/>
  <c r="K5" i="1"/>
  <c r="J5" i="1"/>
  <c r="I5" i="1"/>
  <c r="K4" i="1"/>
  <c r="J4" i="1"/>
  <c r="I4" i="1"/>
  <c r="K3" i="1"/>
  <c r="J3" i="1"/>
  <c r="I3" i="1"/>
  <c r="K2" i="1"/>
  <c r="J2" i="1"/>
  <c r="I2" i="1"/>
  <c r="I20" i="8"/>
  <c r="I8" i="8"/>
  <c r="I10" i="7"/>
  <c r="G12" i="2"/>
  <c r="I19" i="8"/>
  <c r="J9" i="7"/>
  <c r="B12" i="2"/>
  <c r="I15" i="7"/>
  <c r="J6" i="7"/>
  <c r="J10" i="7"/>
  <c r="J15" i="7"/>
  <c r="I18" i="8"/>
  <c r="I9" i="7"/>
  <c r="I13" i="8"/>
  <c r="I24" i="8"/>
  <c r="I6" i="7"/>
  <c r="I11" i="8"/>
  <c r="J5" i="7"/>
  <c r="I22" i="8"/>
  <c r="I21" i="8"/>
  <c r="J12" i="7"/>
  <c r="I11" i="7"/>
  <c r="I17" i="8"/>
  <c r="J14" i="7"/>
  <c r="J8" i="7"/>
  <c r="I26" i="8"/>
  <c r="I13" i="7"/>
  <c r="I7" i="7"/>
  <c r="I25" i="8"/>
  <c r="I12" i="8"/>
  <c r="I23" i="8"/>
  <c r="J11" i="7"/>
  <c r="I10" i="8"/>
  <c r="I9" i="8"/>
  <c r="L12" i="2"/>
  <c r="I16" i="8"/>
  <c r="I14" i="7"/>
  <c r="I8" i="7"/>
  <c r="I27" i="8"/>
  <c r="I15" i="8"/>
  <c r="J13" i="7"/>
  <c r="J7" i="7"/>
  <c r="I14" i="8"/>
  <c r="I12" i="7"/>
  <c r="I5" i="7"/>
</calcChain>
</file>

<file path=xl/sharedStrings.xml><?xml version="1.0" encoding="utf-8"?>
<sst xmlns="http://schemas.openxmlformats.org/spreadsheetml/2006/main" count="8066" uniqueCount="64">
  <si>
    <t>date</t>
  </si>
  <si>
    <t>Category</t>
  </si>
  <si>
    <t>Product Name</t>
  </si>
  <si>
    <t>State</t>
  </si>
  <si>
    <t>Gender</t>
  </si>
  <si>
    <t>Quantity</t>
  </si>
  <si>
    <t>Cost</t>
  </si>
  <si>
    <t>Price</t>
  </si>
  <si>
    <t>Purchase Cost</t>
  </si>
  <si>
    <t>Sale Price</t>
  </si>
  <si>
    <t>Profit</t>
  </si>
  <si>
    <t>Decor</t>
  </si>
  <si>
    <t>Car accessories</t>
  </si>
  <si>
    <t>Assam</t>
  </si>
  <si>
    <t>Female</t>
  </si>
  <si>
    <t>Punjab</t>
  </si>
  <si>
    <t>Chhattisgarh</t>
  </si>
  <si>
    <t>West Bengal</t>
  </si>
  <si>
    <t>Madhya Pradesh</t>
  </si>
  <si>
    <t>Male</t>
  </si>
  <si>
    <t>Jharkhand</t>
  </si>
  <si>
    <t xml:space="preserve">Fashion </t>
  </si>
  <si>
    <t>Women dress</t>
  </si>
  <si>
    <t>Gujarat</t>
  </si>
  <si>
    <t>Home décor</t>
  </si>
  <si>
    <t>Uttar Pradesh</t>
  </si>
  <si>
    <t>Maharashtra</t>
  </si>
  <si>
    <t>Electronic</t>
  </si>
  <si>
    <t>Speaker</t>
  </si>
  <si>
    <t>Chandigarh</t>
  </si>
  <si>
    <t>Andhra Pradesh</t>
  </si>
  <si>
    <t>Bihar</t>
  </si>
  <si>
    <t>Rajasthan</t>
  </si>
  <si>
    <t>TV</t>
  </si>
  <si>
    <t>Tamil Nadu</t>
  </si>
  <si>
    <t>Delhi</t>
  </si>
  <si>
    <t>Karnataka</t>
  </si>
  <si>
    <t>Telangana</t>
  </si>
  <si>
    <t>Saree</t>
  </si>
  <si>
    <t>Kerala</t>
  </si>
  <si>
    <t>Laptop</t>
  </si>
  <si>
    <t>Suit</t>
  </si>
  <si>
    <t>Earbuds</t>
  </si>
  <si>
    <t>Himachal Pradesh</t>
  </si>
  <si>
    <t>Uttarakhand</t>
  </si>
  <si>
    <t>Male dress</t>
  </si>
  <si>
    <t>CHAIR</t>
  </si>
  <si>
    <t>Sum of Sale Price</t>
  </si>
  <si>
    <t>Details for Sum of Sale Price</t>
  </si>
  <si>
    <t>Sum of Purchase Cost</t>
  </si>
  <si>
    <t>Sum of Profit</t>
  </si>
  <si>
    <t>Row Labels</t>
  </si>
  <si>
    <t>Grand Total</t>
  </si>
  <si>
    <t>Jan</t>
  </si>
  <si>
    <t>Jun</t>
  </si>
  <si>
    <t>Jul</t>
  </si>
  <si>
    <t>Aug</t>
  </si>
  <si>
    <t>Sep</t>
  </si>
  <si>
    <t>Oct</t>
  </si>
  <si>
    <t>Feb</t>
  </si>
  <si>
    <t>Apr</t>
  </si>
  <si>
    <t>May</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</si>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</sst>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 x14ac:knownFonts="1">
    <font>
      <sz val="11"/>
      <color theme="1"/>
      <name val="Calibri"/>
      <family val="2"/>
      <scheme val="minor"/>
    </font>
    <font>
      <b/>
      <sz val="11"/>
      <color theme="1"/>
      <name val="Calibri"/>
      <family val="2"/>
      <scheme val="minor"/>
    </font>
    <font>
      <b/>
      <sz val="16"/>
      <color theme="0"/>
      <name val="Calibri"/>
      <family val="2"/>
      <scheme val="minor"/>
    </font>
    <font>
      <b/>
      <sz val="11"/>
      <color theme="4" tint="-0.249977111117893"/>
      <name val="Calibri"/>
      <family val="2"/>
      <scheme val="minor"/>
    </font>
    <font>
      <sz val="11"/>
      <color theme="4" tint="-0.249977111117893"/>
      <name val="Calibri"/>
      <family val="2"/>
      <scheme val="minor"/>
    </font>
  </fonts>
  <fills count="5">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4" tint="0.79998168889431442"/>
        <bgColor theme="4" tint="0.79998168889431442"/>
      </patternFill>
    </fill>
  </fills>
  <borders count="10">
    <border>
      <left/>
      <right/>
      <top/>
      <bottom/>
      <diagonal/>
    </border>
    <border>
      <left/>
      <right style="double">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medium">
        <color indexed="64"/>
      </right>
      <top style="double">
        <color indexed="64"/>
      </top>
      <bottom style="double">
        <color indexed="64"/>
      </bottom>
      <diagonal/>
    </border>
    <border>
      <left style="double">
        <color indexed="64"/>
      </left>
      <right style="double">
        <color indexed="64"/>
      </right>
      <top style="double">
        <color indexed="64"/>
      </top>
      <bottom style="medium">
        <color indexed="64"/>
      </bottom>
      <diagonal/>
    </border>
    <border>
      <left style="double">
        <color indexed="64"/>
      </left>
      <right style="double">
        <color indexed="64"/>
      </right>
      <top/>
      <bottom/>
      <diagonal/>
    </border>
    <border>
      <left/>
      <right style="double">
        <color indexed="64"/>
      </right>
      <top/>
      <bottom style="double">
        <color indexed="64"/>
      </bottom>
      <diagonal/>
    </border>
    <border>
      <left style="double">
        <color indexed="64"/>
      </left>
      <right style="double">
        <color indexed="64"/>
      </right>
      <top/>
      <bottom style="double">
        <color indexed="64"/>
      </bottom>
      <diagonal/>
    </border>
    <border>
      <left style="double">
        <color indexed="64"/>
      </left>
      <right style="medium">
        <color indexed="64"/>
      </right>
      <top/>
      <bottom style="double">
        <color indexed="64"/>
      </bottom>
      <diagonal/>
    </border>
    <border>
      <left/>
      <right/>
      <top/>
      <bottom style="thin">
        <color theme="4" tint="0.39997558519241921"/>
      </bottom>
      <diagonal/>
    </border>
  </borders>
  <cellStyleXfs count="1">
    <xf numFmtId="0" fontId="0" fillId="0" borderId="0"/>
  </cellStyleXfs>
  <cellXfs count="18">
    <xf numFmtId="0" fontId="0" fillId="0" borderId="0" xfId="0"/>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164" fontId="1" fillId="3" borderId="1" xfId="0" applyNumberFormat="1"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0" fillId="0" borderId="0" xfId="0" pivotButton="1"/>
    <xf numFmtId="14" fontId="0" fillId="0" borderId="0" xfId="0" applyNumberFormat="1"/>
    <xf numFmtId="0" fontId="1" fillId="0" borderId="0" xfId="0" applyFont="1"/>
    <xf numFmtId="0" fontId="0" fillId="0" borderId="0" xfId="0" applyAlignment="1">
      <alignment horizontal="left"/>
    </xf>
    <xf numFmtId="10" fontId="0" fillId="0" borderId="0" xfId="0" applyNumberFormat="1"/>
    <xf numFmtId="0" fontId="1" fillId="4" borderId="9" xfId="0" applyFont="1" applyFill="1" applyBorder="1"/>
    <xf numFmtId="0" fontId="3" fillId="4" borderId="9" xfId="0" applyFont="1" applyFill="1" applyBorder="1"/>
    <xf numFmtId="0" fontId="4" fillId="0" borderId="0" xfId="0" applyFont="1" applyAlignment="1">
      <alignment horizontal="left"/>
    </xf>
    <xf numFmtId="0" fontId="4" fillId="0" borderId="0" xfId="0" applyFont="1"/>
  </cellXfs>
  <cellStyles count="1">
    <cellStyle name="Normal" xfId="0" builtinId="0"/>
  </cellStyles>
  <dxfs count="26">
    <dxf>
      <font>
        <strike val="0"/>
        <outline val="0"/>
        <shadow val="0"/>
        <u val="none"/>
        <vertAlign val="baseline"/>
        <sz val="11"/>
        <color theme="4" tint="-0.249977111117893"/>
        <name val="Calibri"/>
        <family val="2"/>
        <scheme val="minor"/>
      </font>
    </dxf>
    <dxf>
      <font>
        <strike val="0"/>
        <outline val="0"/>
        <shadow val="0"/>
        <u val="none"/>
        <vertAlign val="baseline"/>
        <sz val="11"/>
        <color theme="4" tint="-0.249977111117893"/>
        <name val="Calibri"/>
        <family val="2"/>
        <scheme val="minor"/>
      </font>
      <alignment horizontal="left" vertical="bottom" textRotation="0" wrapText="0" indent="0" justifyLastLine="0" shrinkToFit="0" readingOrder="0"/>
    </dxf>
    <dxf>
      <font>
        <strike val="0"/>
        <outline val="0"/>
        <shadow val="0"/>
        <u val="none"/>
        <vertAlign val="baseline"/>
        <sz val="11"/>
        <color theme="4" tint="-0.249977111117893"/>
        <name val="Calibri"/>
        <family val="2"/>
        <scheme val="minor"/>
      </font>
    </dxf>
    <dxf>
      <border outline="0">
        <bottom style="thin">
          <color theme="4" tint="0.39997558519241921"/>
        </bottom>
      </border>
    </dxf>
    <dxf>
      <font>
        <b/>
        <i val="0"/>
        <strike val="0"/>
        <condense val="0"/>
        <extend val="0"/>
        <outline val="0"/>
        <shadow val="0"/>
        <u val="none"/>
        <vertAlign val="baseline"/>
        <sz val="11"/>
        <color theme="4" tint="-0.249977111117893"/>
        <name val="Calibri"/>
        <family val="2"/>
        <scheme val="minor"/>
      </font>
      <fill>
        <patternFill patternType="solid">
          <fgColor theme="4" tint="0.79998168889431442"/>
          <bgColor theme="4" tint="0.79998168889431442"/>
        </patternFill>
      </fill>
    </dxf>
    <dxf>
      <numFmt numFmtId="14" formatCode="0.00%"/>
    </dxf>
    <dxf>
      <numFmt numFmtId="0" formatCode="Genera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double">
          <color indexed="64"/>
        </left>
        <right style="medium">
          <color indexed="64"/>
        </right>
        <top style="double">
          <color indexed="64"/>
        </top>
        <bottom style="double">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double">
          <color indexed="64"/>
        </left>
        <right style="medium">
          <color indexed="64"/>
        </right>
        <top style="double">
          <color indexed="64"/>
        </top>
        <bottom style="double">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double">
          <color indexed="64"/>
        </left>
        <right style="medium">
          <color indexed="64"/>
        </right>
        <top style="double">
          <color indexed="64"/>
        </top>
        <bottom style="double">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b/>
        <i val="0"/>
        <strike val="0"/>
        <condense val="0"/>
        <extend val="0"/>
        <outline val="0"/>
        <shadow val="0"/>
        <u val="none"/>
        <vertAlign val="baseline"/>
        <sz val="11"/>
        <color theme="1"/>
        <name val="Calibri"/>
        <family val="2"/>
        <scheme val="minor"/>
      </font>
      <numFmt numFmtId="164" formatCode="[$-F800]dddd\,\ mmmm\ dd\,\ yyyy"/>
      <fill>
        <patternFill patternType="solid">
          <fgColor indexed="64"/>
          <bgColor theme="0"/>
        </patternFill>
      </fill>
      <alignment horizontal="center" vertical="bottom" textRotation="0" wrapText="0" indent="0" justifyLastLine="0" shrinkToFit="0" readingOrder="0"/>
      <border diagonalUp="0" diagonalDown="0" outline="0">
        <left/>
        <right style="double">
          <color indexed="64"/>
        </right>
        <top style="double">
          <color indexed="64"/>
        </top>
        <bottom style="double">
          <color indexed="64"/>
        </bottom>
      </border>
    </dxf>
    <dxf>
      <border outline="0">
        <right style="medium">
          <color indexed="64"/>
        </right>
        <top style="medium">
          <color indexed="64"/>
        </top>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dxf>
    <dxf>
      <border outline="0">
        <bottom style="double">
          <color indexed="64"/>
        </bottom>
      </border>
    </dxf>
    <dxf>
      <font>
        <b/>
        <i val="0"/>
        <strike val="0"/>
        <condense val="0"/>
        <extend val="0"/>
        <outline val="0"/>
        <shadow val="0"/>
        <u val="none"/>
        <vertAlign val="baseline"/>
        <sz val="16"/>
        <color theme="0"/>
        <name val="Calibri"/>
        <family val="2"/>
        <scheme val="minor"/>
      </font>
      <fill>
        <patternFill patternType="solid">
          <fgColor indexed="64"/>
          <bgColor rgb="FFFF0000"/>
        </patternFill>
      </fill>
      <alignment horizontal="center" vertical="center" textRotation="0" wrapText="0" indent="0" justifyLastLine="0" shrinkToFit="0" readingOrder="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EXCEL.xlsx]CATEGORYWISE!Totalsale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solidFill>
                  <a:schemeClr val="tx1"/>
                </a:solidFill>
              </a:rPr>
              <a:t>Sales</a:t>
            </a:r>
            <a:r>
              <a:rPr lang="en-IN"/>
              <a:t>_</a:t>
            </a:r>
            <a:r>
              <a:rPr lang="en-IN" b="1" i="1">
                <a:solidFill>
                  <a:schemeClr val="tx1"/>
                </a:solidFill>
              </a:rPr>
              <a:t>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CATEGORYWISE!$B$14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8A-4DC9-AE3F-FBAD258C9C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8A-4DC9-AE3F-FBAD258C9C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8A-4DC9-AE3F-FBAD258C9C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CATEGORYWISE!$A$15:$A$18</c:f>
              <c:strCache>
                <c:ptCount val="3"/>
                <c:pt idx="0">
                  <c:v>Decor</c:v>
                </c:pt>
                <c:pt idx="1">
                  <c:v>Electronic</c:v>
                </c:pt>
                <c:pt idx="2">
                  <c:v>Fashion </c:v>
                </c:pt>
              </c:strCache>
            </c:strRef>
          </c:cat>
          <c:val>
            <c:numRef>
              <c:f>CATEGORYWISE!$B$15:$B$18</c:f>
              <c:numCache>
                <c:formatCode>General</c:formatCode>
                <c:ptCount val="3"/>
                <c:pt idx="0">
                  <c:v>3756891</c:v>
                </c:pt>
                <c:pt idx="1">
                  <c:v>9022761</c:v>
                </c:pt>
                <c:pt idx="2">
                  <c:v>38229559</c:v>
                </c:pt>
              </c:numCache>
            </c:numRef>
          </c:val>
          <c:extLst>
            <c:ext xmlns:c16="http://schemas.microsoft.com/office/drawing/2014/chart" uri="{C3380CC4-5D6E-409C-BE32-E72D297353CC}">
              <c16:uniqueId val="{00000000-6288-44BF-82E6-3051E8DD052F}"/>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3821149791578713"/>
          <c:y val="0.21156477903412352"/>
          <c:w val="0.30081291184530057"/>
          <c:h val="0.576870441931752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EXCEL.xlsx]CATEGORYWISE!Totalpurchase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solidFill>
                  <a:schemeClr val="tx1"/>
                </a:solidFill>
              </a:rPr>
              <a:t>Purchase</a:t>
            </a:r>
            <a:r>
              <a:rPr lang="en-IN"/>
              <a:t>_</a:t>
            </a:r>
            <a:r>
              <a:rPr lang="en-IN" b="1" i="1">
                <a:solidFill>
                  <a:schemeClr val="tx1"/>
                </a:solidFill>
              </a:rPr>
              <a:t>Cost</a:t>
            </a:r>
          </a:p>
        </c:rich>
      </c:tx>
      <c:layout>
        <c:manualLayout>
          <c:xMode val="edge"/>
          <c:yMode val="edge"/>
          <c:x val="0.33149245660735804"/>
          <c:y val="2.1497421432882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338683285471152"/>
          <c:y val="0.24527577932047842"/>
          <c:w val="0.36048974878978446"/>
          <c:h val="0.68484132096551231"/>
        </c:manualLayout>
      </c:layout>
      <c:pieChart>
        <c:varyColors val="1"/>
        <c:ser>
          <c:idx val="0"/>
          <c:order val="0"/>
          <c:tx>
            <c:strRef>
              <c:f>CATEGORYWISE!$G$14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48-4A88-AFCB-ABCD46D518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48-4A88-AFCB-ABCD46D518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48-4A88-AFCB-ABCD46D518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CATEGORYWISE!$F$15:$F$18</c:f>
              <c:strCache>
                <c:ptCount val="3"/>
                <c:pt idx="0">
                  <c:v>Decor</c:v>
                </c:pt>
                <c:pt idx="1">
                  <c:v>Electronic</c:v>
                </c:pt>
                <c:pt idx="2">
                  <c:v>Fashion </c:v>
                </c:pt>
              </c:strCache>
            </c:strRef>
          </c:cat>
          <c:val>
            <c:numRef>
              <c:f>CATEGORYWISE!$G$15:$G$18</c:f>
              <c:numCache>
                <c:formatCode>General</c:formatCode>
                <c:ptCount val="3"/>
                <c:pt idx="0">
                  <c:v>2492869</c:v>
                </c:pt>
                <c:pt idx="1">
                  <c:v>6094215</c:v>
                </c:pt>
                <c:pt idx="2">
                  <c:v>25060122</c:v>
                </c:pt>
              </c:numCache>
            </c:numRef>
          </c:val>
          <c:extLst>
            <c:ext xmlns:c16="http://schemas.microsoft.com/office/drawing/2014/chart" uri="{C3380CC4-5D6E-409C-BE32-E72D297353CC}">
              <c16:uniqueId val="{00000000-A29E-4CE8-A591-6D8C5E1B6096}"/>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8957893792186142"/>
          <c:y val="0.21437580659645808"/>
          <c:w val="0.31042106207813858"/>
          <c:h val="0.494359500608952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EXCEL.xlsx]CATEGORYWISE!Totalprofit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solidFill>
                  <a:schemeClr val="tx1"/>
                </a:solidFill>
              </a:rPr>
              <a:t>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8313511644276342"/>
          <c:y val="0.25846995633613989"/>
          <c:w val="0.35697976030897843"/>
          <c:h val="0.68515400051099062"/>
        </c:manualLayout>
      </c:layout>
      <c:pieChart>
        <c:varyColors val="1"/>
        <c:ser>
          <c:idx val="0"/>
          <c:order val="0"/>
          <c:tx>
            <c:strRef>
              <c:f>CATEGORYWISE!$L$14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A3-44DD-8FF7-F6BEA18C32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A3-44DD-8FF7-F6BEA18C32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5087-4094-8AB2-036DE750F2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CATEGORYWISE!$K$15:$K$18</c:f>
              <c:strCache>
                <c:ptCount val="3"/>
                <c:pt idx="0">
                  <c:v>Decor</c:v>
                </c:pt>
                <c:pt idx="1">
                  <c:v>Electronic</c:v>
                </c:pt>
                <c:pt idx="2">
                  <c:v>Fashion </c:v>
                </c:pt>
              </c:strCache>
            </c:strRef>
          </c:cat>
          <c:val>
            <c:numRef>
              <c:f>CATEGORYWISE!$L$15:$L$18</c:f>
              <c:numCache>
                <c:formatCode>General</c:formatCode>
                <c:ptCount val="3"/>
                <c:pt idx="0">
                  <c:v>1264022</c:v>
                </c:pt>
                <c:pt idx="1">
                  <c:v>2928546</c:v>
                </c:pt>
                <c:pt idx="2">
                  <c:v>13169437</c:v>
                </c:pt>
              </c:numCache>
            </c:numRef>
          </c:val>
          <c:extLst>
            <c:ext xmlns:c16="http://schemas.microsoft.com/office/drawing/2014/chart" uri="{C3380CC4-5D6E-409C-BE32-E72D297353CC}">
              <c16:uniqueId val="{00000000-5087-4094-8AB2-036DE750F232}"/>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412168645168991"/>
          <c:y val="0.17583436803446675"/>
          <c:w val="0.27623321999473455"/>
          <c:h val="0.585000373988361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EXCEL.xlsx]MONTHWISE!Monthwise</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31714785651796"/>
          <c:y val="0.27254410906969961"/>
          <c:w val="0.73694203849518813"/>
          <c:h val="0.53774387576552929"/>
        </c:manualLayout>
      </c:layout>
      <c:barChart>
        <c:barDir val="col"/>
        <c:grouping val="clustered"/>
        <c:varyColors val="0"/>
        <c:ser>
          <c:idx val="0"/>
          <c:order val="0"/>
          <c:tx>
            <c:strRef>
              <c:f>MONTHWISE!$E$9</c:f>
              <c:strCache>
                <c:ptCount val="1"/>
                <c:pt idx="0">
                  <c:v>Sum of Sale 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MONTHWISE!$D$10:$D$21</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MONTHWISE!$E$10:$E$21</c:f>
              <c:numCache>
                <c:formatCode>General</c:formatCode>
                <c:ptCount val="11"/>
                <c:pt idx="0">
                  <c:v>3987100</c:v>
                </c:pt>
                <c:pt idx="1">
                  <c:v>4566192</c:v>
                </c:pt>
                <c:pt idx="2">
                  <c:v>4187292</c:v>
                </c:pt>
                <c:pt idx="3">
                  <c:v>4731229</c:v>
                </c:pt>
                <c:pt idx="4">
                  <c:v>6102945</c:v>
                </c:pt>
                <c:pt idx="5">
                  <c:v>3908969</c:v>
                </c:pt>
                <c:pt idx="6">
                  <c:v>4494807</c:v>
                </c:pt>
                <c:pt idx="7">
                  <c:v>4370215</c:v>
                </c:pt>
                <c:pt idx="8">
                  <c:v>4887342</c:v>
                </c:pt>
                <c:pt idx="9">
                  <c:v>3730145</c:v>
                </c:pt>
                <c:pt idx="10">
                  <c:v>6042975</c:v>
                </c:pt>
              </c:numCache>
            </c:numRef>
          </c:val>
          <c:extLst>
            <c:ext xmlns:c16="http://schemas.microsoft.com/office/drawing/2014/chart" uri="{C3380CC4-5D6E-409C-BE32-E72D297353CC}">
              <c16:uniqueId val="{00000000-CAFF-4C12-BD20-E52EE172CCC9}"/>
            </c:ext>
          </c:extLst>
        </c:ser>
        <c:ser>
          <c:idx val="1"/>
          <c:order val="1"/>
          <c:tx>
            <c:strRef>
              <c:f>MONTHWISE!$F$9</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MONTHWISE!$D$10:$D$21</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MONTHWISE!$F$10:$F$21</c:f>
              <c:numCache>
                <c:formatCode>0.00%</c:formatCode>
                <c:ptCount val="11"/>
                <c:pt idx="0">
                  <c:v>7.3208134659562649E-2</c:v>
                </c:pt>
                <c:pt idx="1">
                  <c:v>9.8978948571895931E-2</c:v>
                </c:pt>
                <c:pt idx="2">
                  <c:v>7.5549684497844577E-2</c:v>
                </c:pt>
                <c:pt idx="3">
                  <c:v>8.5786808608798351E-2</c:v>
                </c:pt>
                <c:pt idx="4">
                  <c:v>0.12671554926979919</c:v>
                </c:pt>
                <c:pt idx="5">
                  <c:v>7.085258874191086E-2</c:v>
                </c:pt>
                <c:pt idx="6">
                  <c:v>9.0073928673560455E-2</c:v>
                </c:pt>
                <c:pt idx="7">
                  <c:v>8.8343828952934869E-2</c:v>
                </c:pt>
                <c:pt idx="8">
                  <c:v>9.8688429130160946E-2</c:v>
                </c:pt>
                <c:pt idx="9">
                  <c:v>7.651408924257308E-2</c:v>
                </c:pt>
                <c:pt idx="10">
                  <c:v>0.11528800965095909</c:v>
                </c:pt>
              </c:numCache>
            </c:numRef>
          </c:val>
          <c:extLst>
            <c:ext xmlns:c16="http://schemas.microsoft.com/office/drawing/2014/chart" uri="{C3380CC4-5D6E-409C-BE32-E72D297353CC}">
              <c16:uniqueId val="{00000001-CAFF-4C12-BD20-E52EE172CCC9}"/>
            </c:ext>
          </c:extLst>
        </c:ser>
        <c:dLbls>
          <c:dLblPos val="outEnd"/>
          <c:showLegendKey val="0"/>
          <c:showVal val="1"/>
          <c:showCatName val="0"/>
          <c:showSerName val="0"/>
          <c:showPercent val="0"/>
          <c:showBubbleSize val="0"/>
        </c:dLbls>
        <c:gapWidth val="219"/>
        <c:overlap val="-27"/>
        <c:axId val="1256549744"/>
        <c:axId val="1256534384"/>
      </c:barChart>
      <c:catAx>
        <c:axId val="1256549744"/>
        <c:scaling>
          <c:orientation val="minMax"/>
        </c:scaling>
        <c:delete val="1"/>
        <c:axPos val="b"/>
        <c:numFmt formatCode="General" sourceLinked="1"/>
        <c:majorTickMark val="none"/>
        <c:minorTickMark val="none"/>
        <c:tickLblPos val="nextTo"/>
        <c:crossAx val="1256534384"/>
        <c:crosses val="autoZero"/>
        <c:auto val="1"/>
        <c:lblAlgn val="ctr"/>
        <c:lblOffset val="100"/>
        <c:noMultiLvlLbl val="0"/>
      </c:catAx>
      <c:valAx>
        <c:axId val="1256534384"/>
        <c:scaling>
          <c:orientation val="minMax"/>
        </c:scaling>
        <c:delete val="1"/>
        <c:axPos val="l"/>
        <c:numFmt formatCode="General" sourceLinked="1"/>
        <c:majorTickMark val="none"/>
        <c:minorTickMark val="none"/>
        <c:tickLblPos val="nextTo"/>
        <c:crossAx val="12565497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EXCEL.xlsx]MONTHWISE!Monthwise</c:name>
    <c:fmtId val="3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MONTHWISE!$E$9</c:f>
              <c:strCache>
                <c:ptCount val="1"/>
                <c:pt idx="0">
                  <c:v>Sum of Sale Price</c:v>
                </c:pt>
              </c:strCache>
            </c:strRef>
          </c:tx>
          <c:spPr>
            <a:solidFill>
              <a:schemeClr val="accent1"/>
            </a:solidFill>
            <a:ln>
              <a:noFill/>
            </a:ln>
            <a:effectLst/>
          </c:spPr>
          <c:invertIfNegative val="0"/>
          <c:cat>
            <c:strRef>
              <c:f>MONTHWISE!$D$10:$D$21</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MONTHWISE!$E$10:$E$21</c:f>
              <c:numCache>
                <c:formatCode>General</c:formatCode>
                <c:ptCount val="11"/>
                <c:pt idx="0">
                  <c:v>3987100</c:v>
                </c:pt>
                <c:pt idx="1">
                  <c:v>4566192</c:v>
                </c:pt>
                <c:pt idx="2">
                  <c:v>4187292</c:v>
                </c:pt>
                <c:pt idx="3">
                  <c:v>4731229</c:v>
                </c:pt>
                <c:pt idx="4">
                  <c:v>6102945</c:v>
                </c:pt>
                <c:pt idx="5">
                  <c:v>3908969</c:v>
                </c:pt>
                <c:pt idx="6">
                  <c:v>4494807</c:v>
                </c:pt>
                <c:pt idx="7">
                  <c:v>4370215</c:v>
                </c:pt>
                <c:pt idx="8">
                  <c:v>4887342</c:v>
                </c:pt>
                <c:pt idx="9">
                  <c:v>3730145</c:v>
                </c:pt>
                <c:pt idx="10">
                  <c:v>6042975</c:v>
                </c:pt>
              </c:numCache>
            </c:numRef>
          </c:val>
          <c:extLst>
            <c:ext xmlns:c16="http://schemas.microsoft.com/office/drawing/2014/chart" uri="{C3380CC4-5D6E-409C-BE32-E72D297353CC}">
              <c16:uniqueId val="{00000000-F3EA-4F44-91C3-8B02ED42EB22}"/>
            </c:ext>
          </c:extLst>
        </c:ser>
        <c:dLbls>
          <c:showLegendKey val="0"/>
          <c:showVal val="0"/>
          <c:showCatName val="0"/>
          <c:showSerName val="0"/>
          <c:showPercent val="0"/>
          <c:showBubbleSize val="0"/>
        </c:dLbls>
        <c:gapWidth val="219"/>
        <c:overlap val="-27"/>
        <c:axId val="1232907855"/>
        <c:axId val="1232923215"/>
      </c:barChart>
      <c:lineChart>
        <c:grouping val="stacked"/>
        <c:varyColors val="0"/>
        <c:ser>
          <c:idx val="1"/>
          <c:order val="1"/>
          <c:tx>
            <c:strRef>
              <c:f>MONTHWISE!$F$9</c:f>
              <c:strCache>
                <c:ptCount val="1"/>
                <c:pt idx="0">
                  <c:v>Sum of Profit</c:v>
                </c:pt>
              </c:strCache>
            </c:strRef>
          </c:tx>
          <c:spPr>
            <a:ln w="28575" cap="rnd">
              <a:solidFill>
                <a:schemeClr val="accent2"/>
              </a:solidFill>
              <a:round/>
            </a:ln>
            <a:effectLst/>
          </c:spPr>
          <c:marker>
            <c:symbol val="circle"/>
            <c:size val="5"/>
            <c:spPr>
              <a:solidFill>
                <a:schemeClr val="tx1"/>
              </a:solidFill>
              <a:ln w="9525">
                <a:solidFill>
                  <a:schemeClr val="accent2"/>
                </a:solidFill>
              </a:ln>
              <a:effectLst/>
            </c:spPr>
          </c:marker>
          <c:cat>
            <c:strRef>
              <c:f>MONTHWISE!$D$10:$D$21</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MONTHWISE!$F$10:$F$21</c:f>
              <c:numCache>
                <c:formatCode>0.00%</c:formatCode>
                <c:ptCount val="11"/>
                <c:pt idx="0">
                  <c:v>7.3208134659562649E-2</c:v>
                </c:pt>
                <c:pt idx="1">
                  <c:v>9.8978948571895931E-2</c:v>
                </c:pt>
                <c:pt idx="2">
                  <c:v>7.5549684497844577E-2</c:v>
                </c:pt>
                <c:pt idx="3">
                  <c:v>8.5786808608798351E-2</c:v>
                </c:pt>
                <c:pt idx="4">
                  <c:v>0.12671554926979919</c:v>
                </c:pt>
                <c:pt idx="5">
                  <c:v>7.085258874191086E-2</c:v>
                </c:pt>
                <c:pt idx="6">
                  <c:v>9.0073928673560455E-2</c:v>
                </c:pt>
                <c:pt idx="7">
                  <c:v>8.8343828952934869E-2</c:v>
                </c:pt>
                <c:pt idx="8">
                  <c:v>9.8688429130160946E-2</c:v>
                </c:pt>
                <c:pt idx="9">
                  <c:v>7.651408924257308E-2</c:v>
                </c:pt>
                <c:pt idx="10">
                  <c:v>0.11528800965095909</c:v>
                </c:pt>
              </c:numCache>
            </c:numRef>
          </c:val>
          <c:smooth val="0"/>
          <c:extLst>
            <c:ext xmlns:c16="http://schemas.microsoft.com/office/drawing/2014/chart" uri="{C3380CC4-5D6E-409C-BE32-E72D297353CC}">
              <c16:uniqueId val="{00000001-F3EA-4F44-91C3-8B02ED42EB22}"/>
            </c:ext>
          </c:extLst>
        </c:ser>
        <c:dLbls>
          <c:showLegendKey val="0"/>
          <c:showVal val="0"/>
          <c:showCatName val="0"/>
          <c:showSerName val="0"/>
          <c:showPercent val="0"/>
          <c:showBubbleSize val="0"/>
        </c:dLbls>
        <c:marker val="1"/>
        <c:smooth val="0"/>
        <c:axId val="1232920815"/>
        <c:axId val="1232920335"/>
      </c:lineChart>
      <c:catAx>
        <c:axId val="123290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23215"/>
        <c:crosses val="autoZero"/>
        <c:auto val="1"/>
        <c:lblAlgn val="ctr"/>
        <c:lblOffset val="100"/>
        <c:noMultiLvlLbl val="0"/>
      </c:catAx>
      <c:valAx>
        <c:axId val="1232923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07855"/>
        <c:crosses val="autoZero"/>
        <c:crossBetween val="between"/>
      </c:valAx>
      <c:valAx>
        <c:axId val="123292033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20815"/>
        <c:crosses val="max"/>
        <c:crossBetween val="between"/>
      </c:valAx>
      <c:catAx>
        <c:axId val="1232920815"/>
        <c:scaling>
          <c:orientation val="minMax"/>
        </c:scaling>
        <c:delete val="1"/>
        <c:axPos val="b"/>
        <c:numFmt formatCode="General" sourceLinked="1"/>
        <c:majorTickMark val="out"/>
        <c:minorTickMark val="none"/>
        <c:tickLblPos val="nextTo"/>
        <c:crossAx val="12329203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solidFill>
                  <a:schemeClr val="tx1"/>
                </a:solidFill>
              </a:rPr>
              <a:t>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PRODUCTWISE!$J$4</c:f>
              <c:strCache>
                <c:ptCount val="1"/>
                <c:pt idx="0">
                  <c:v>Sum of Profit</c:v>
                </c:pt>
              </c:strCache>
            </c:strRef>
          </c:tx>
          <c:explosion val="8"/>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0D-4C14-BFC4-D3544D4339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0D-4C14-BFC4-D3544D4339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0D-4C14-BFC4-D3544D4339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F0D-4C14-BFC4-D3544D4339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F0D-4C14-BFC4-D3544D43398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F0D-4C14-BFC4-D3544D43398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F0D-4C14-BFC4-D3544D43398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F0D-4C14-BFC4-D3544D43398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F0D-4C14-BFC4-D3544D43398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F0D-4C14-BFC4-D3544D43398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F0D-4C14-BFC4-D3544D433981}"/>
              </c:ext>
            </c:extLst>
          </c:dPt>
          <c:dLbls>
            <c:spPr>
              <a:noFill/>
              <a:ln>
                <a:noFill/>
              </a:ln>
              <a:effectLst/>
            </c:spPr>
            <c:txPr>
              <a:bodyPr rot="0" spcFirstLastPara="1" vertOverflow="ellipsis" vert="horz" wrap="square" lIns="38100" tIns="19050" rIns="38100" bIns="19050" anchor="ctr" anchorCtr="1">
                <a:spAutoFit/>
              </a:bodyPr>
              <a:lstStyle/>
              <a:p>
                <a:pPr>
                  <a:defRPr sz="800" b="1" i="1"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PRODUCTWISE!$H$5:$H$15</c:f>
              <c:strCache>
                <c:ptCount val="11"/>
                <c:pt idx="0">
                  <c:v>Laptop</c:v>
                </c:pt>
                <c:pt idx="1">
                  <c:v>Car accessories</c:v>
                </c:pt>
                <c:pt idx="2">
                  <c:v>CHAIR</c:v>
                </c:pt>
                <c:pt idx="3">
                  <c:v>Earbuds</c:v>
                </c:pt>
                <c:pt idx="4">
                  <c:v>Home décor</c:v>
                </c:pt>
                <c:pt idx="5">
                  <c:v>Male dress</c:v>
                </c:pt>
                <c:pt idx="6">
                  <c:v>Saree</c:v>
                </c:pt>
                <c:pt idx="7">
                  <c:v>Speaker</c:v>
                </c:pt>
                <c:pt idx="8">
                  <c:v>Suit</c:v>
                </c:pt>
                <c:pt idx="9">
                  <c:v>TV</c:v>
                </c:pt>
                <c:pt idx="10">
                  <c:v>Women dress</c:v>
                </c:pt>
              </c:strCache>
            </c:strRef>
          </c:cat>
          <c:val>
            <c:numRef>
              <c:f>PRODUCTWISE!$J$5:$J$15</c:f>
              <c:numCache>
                <c:formatCode>0.00%</c:formatCode>
                <c:ptCount val="11"/>
                <c:pt idx="0">
                  <c:v>8.9010572223657353E-2</c:v>
                </c:pt>
                <c:pt idx="1">
                  <c:v>1.7424082068862437E-2</c:v>
                </c:pt>
                <c:pt idx="2">
                  <c:v>2.2640242299204498E-3</c:v>
                </c:pt>
                <c:pt idx="3">
                  <c:v>1.0084837551884128E-2</c:v>
                </c:pt>
                <c:pt idx="4">
                  <c:v>5.5379836602972986E-2</c:v>
                </c:pt>
                <c:pt idx="5">
                  <c:v>6.6418308254144617E-2</c:v>
                </c:pt>
                <c:pt idx="6">
                  <c:v>0.36594247035408639</c:v>
                </c:pt>
                <c:pt idx="7">
                  <c:v>2.1941359883262332E-2</c:v>
                </c:pt>
                <c:pt idx="8">
                  <c:v>0.28990707006477651</c:v>
                </c:pt>
                <c:pt idx="9">
                  <c:v>4.7638795173714096E-2</c:v>
                </c:pt>
                <c:pt idx="10">
                  <c:v>3.3988643592718699E-2</c:v>
                </c:pt>
              </c:numCache>
            </c:numRef>
          </c:val>
          <c:extLst>
            <c:ext xmlns:c16="http://schemas.microsoft.com/office/drawing/2014/chart" uri="{C3380CC4-5D6E-409C-BE32-E72D297353CC}">
              <c16:uniqueId val="{00000000-8557-4101-9804-4CC32B56E3D9}"/>
            </c:ext>
          </c:extLst>
        </c:ser>
        <c:dLbls>
          <c:showLegendKey val="0"/>
          <c:showVal val="1"/>
          <c:showCatName val="0"/>
          <c:showSerName val="0"/>
          <c:showPercent val="0"/>
          <c:showBubbleSize val="0"/>
          <c:showLeaderLines val="0"/>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EXCEL.xlsx]CATEGORYWISE!Totalsale</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1">
              <a:lumMod val="75000"/>
            </a:schemeClr>
          </a:solidFill>
          <a:ln w="19050">
            <a:solidFill>
              <a:schemeClr val="lt1"/>
            </a:solidFill>
          </a:ln>
          <a:effectLst/>
        </c:spPr>
      </c:pivotFmt>
    </c:pivotFmts>
    <c:plotArea>
      <c:layout/>
      <c:pieChart>
        <c:varyColors val="1"/>
        <c:ser>
          <c:idx val="0"/>
          <c:order val="0"/>
          <c:tx>
            <c:strRef>
              <c:f>CATEGORYWISE!$B$14</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AB8-45E9-90C7-D8388CBD838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AB8-45E9-90C7-D8388CBD8388}"/>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DAB8-45E9-90C7-D8388CBD8388}"/>
              </c:ext>
            </c:extLst>
          </c:dPt>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CATEGORYWISE!$A$15:$A$18</c:f>
              <c:strCache>
                <c:ptCount val="3"/>
                <c:pt idx="0">
                  <c:v>Decor</c:v>
                </c:pt>
                <c:pt idx="1">
                  <c:v>Electronic</c:v>
                </c:pt>
                <c:pt idx="2">
                  <c:v>Fashion </c:v>
                </c:pt>
              </c:strCache>
            </c:strRef>
          </c:cat>
          <c:val>
            <c:numRef>
              <c:f>CATEGORYWISE!$B$15:$B$18</c:f>
              <c:numCache>
                <c:formatCode>General</c:formatCode>
                <c:ptCount val="3"/>
                <c:pt idx="0">
                  <c:v>3756891</c:v>
                </c:pt>
                <c:pt idx="1">
                  <c:v>9022761</c:v>
                </c:pt>
                <c:pt idx="2">
                  <c:v>38229559</c:v>
                </c:pt>
              </c:numCache>
            </c:numRef>
          </c:val>
          <c:extLst>
            <c:ext xmlns:c16="http://schemas.microsoft.com/office/drawing/2014/chart" uri="{C3380CC4-5D6E-409C-BE32-E72D297353CC}">
              <c16:uniqueId val="{00000006-DAB8-45E9-90C7-D8388CBD8388}"/>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EXCEL.xlsx]CATEGORYWISE!Totalpurchase</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1">
              <a:lumMod val="75000"/>
            </a:schemeClr>
          </a:solidFill>
          <a:ln w="19050">
            <a:solidFill>
              <a:schemeClr val="lt1"/>
            </a:solidFill>
          </a:ln>
          <a:effectLst/>
        </c:spPr>
      </c:pivotFmt>
    </c:pivotFmts>
    <c:plotArea>
      <c:layout>
        <c:manualLayout>
          <c:layoutTarget val="inner"/>
          <c:xMode val="edge"/>
          <c:yMode val="edge"/>
          <c:x val="0.19036504899039014"/>
          <c:y val="8.6758826856707202E-2"/>
          <c:w val="0.61926990201921972"/>
          <c:h val="0.80913058091524415"/>
        </c:manualLayout>
      </c:layout>
      <c:pieChart>
        <c:varyColors val="1"/>
        <c:ser>
          <c:idx val="0"/>
          <c:order val="0"/>
          <c:tx>
            <c:strRef>
              <c:f>CATEGORYWISE!$G$14</c:f>
              <c:strCache>
                <c:ptCount val="1"/>
                <c:pt idx="0">
                  <c:v>Total</c:v>
                </c:pt>
              </c:strCache>
            </c:strRef>
          </c:tx>
          <c:spPr>
            <a:solidFill>
              <a:schemeClr val="accent1">
                <a:lumMod val="75000"/>
              </a:schemeClr>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218-43AA-81BB-FE78731FD2C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5218-43AA-81BB-FE78731FD2C3}"/>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5218-43AA-81BB-FE78731FD2C3}"/>
              </c:ext>
            </c:extLst>
          </c:dPt>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CATEGORYWISE!$F$15:$F$18</c:f>
              <c:strCache>
                <c:ptCount val="3"/>
                <c:pt idx="0">
                  <c:v>Decor</c:v>
                </c:pt>
                <c:pt idx="1">
                  <c:v>Electronic</c:v>
                </c:pt>
                <c:pt idx="2">
                  <c:v>Fashion </c:v>
                </c:pt>
              </c:strCache>
            </c:strRef>
          </c:cat>
          <c:val>
            <c:numRef>
              <c:f>CATEGORYWISE!$G$15:$G$18</c:f>
              <c:numCache>
                <c:formatCode>General</c:formatCode>
                <c:ptCount val="3"/>
                <c:pt idx="0">
                  <c:v>2492869</c:v>
                </c:pt>
                <c:pt idx="1">
                  <c:v>6094215</c:v>
                </c:pt>
                <c:pt idx="2">
                  <c:v>25060122</c:v>
                </c:pt>
              </c:numCache>
            </c:numRef>
          </c:val>
          <c:extLst>
            <c:ext xmlns:c16="http://schemas.microsoft.com/office/drawing/2014/chart" uri="{C3380CC4-5D6E-409C-BE32-E72D297353CC}">
              <c16:uniqueId val="{00000006-5218-43AA-81BB-FE78731FD2C3}"/>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EXCEL.xlsx]CATEGORYWISE!Totalprofit</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1">
              <a:lumMod val="75000"/>
            </a:schemeClr>
          </a:solidFill>
          <a:ln w="19050">
            <a:solidFill>
              <a:schemeClr val="lt1"/>
            </a:solidFill>
          </a:ln>
          <a:effectLst/>
        </c:spPr>
      </c:pivotFmt>
    </c:pivotFmts>
    <c:plotArea>
      <c:layout/>
      <c:pieChart>
        <c:varyColors val="1"/>
        <c:ser>
          <c:idx val="0"/>
          <c:order val="0"/>
          <c:tx>
            <c:strRef>
              <c:f>CATEGORYWISE!$L$14</c:f>
              <c:strCache>
                <c:ptCount val="1"/>
                <c:pt idx="0">
                  <c:v>Total</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CAF-4919-83FD-00E238A679E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CAF-4919-83FD-00E238A679E6}"/>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8CAF-4919-83FD-00E238A679E6}"/>
              </c:ext>
            </c:extLst>
          </c:dPt>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CATEGORYWISE!$K$15:$K$18</c:f>
              <c:strCache>
                <c:ptCount val="3"/>
                <c:pt idx="0">
                  <c:v>Decor</c:v>
                </c:pt>
                <c:pt idx="1">
                  <c:v>Electronic</c:v>
                </c:pt>
                <c:pt idx="2">
                  <c:v>Fashion </c:v>
                </c:pt>
              </c:strCache>
            </c:strRef>
          </c:cat>
          <c:val>
            <c:numRef>
              <c:f>CATEGORYWISE!$L$15:$L$18</c:f>
              <c:numCache>
                <c:formatCode>General</c:formatCode>
                <c:ptCount val="3"/>
                <c:pt idx="0">
                  <c:v>1264022</c:v>
                </c:pt>
                <c:pt idx="1">
                  <c:v>2928546</c:v>
                </c:pt>
                <c:pt idx="2">
                  <c:v>13169437</c:v>
                </c:pt>
              </c:numCache>
            </c:numRef>
          </c:val>
          <c:extLst>
            <c:ext xmlns:c16="http://schemas.microsoft.com/office/drawing/2014/chart" uri="{C3380CC4-5D6E-409C-BE32-E72D297353CC}">
              <c16:uniqueId val="{00000006-8CAF-4919-83FD-00E238A679E6}"/>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EXCEL.xlsx]MONTHWISE!Monthwise</c:name>
    <c:fmtId val="4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MONTHWISE!$E$9</c:f>
              <c:strCache>
                <c:ptCount val="1"/>
                <c:pt idx="0">
                  <c:v>Sum of Sale Price</c:v>
                </c:pt>
              </c:strCache>
            </c:strRef>
          </c:tx>
          <c:spPr>
            <a:solidFill>
              <a:schemeClr val="accent1"/>
            </a:solidFill>
            <a:ln>
              <a:noFill/>
            </a:ln>
            <a:effectLst/>
          </c:spPr>
          <c:invertIfNegative val="0"/>
          <c:cat>
            <c:strRef>
              <c:f>MONTHWISE!$D$10:$D$21</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MONTHWISE!$E$10:$E$21</c:f>
              <c:numCache>
                <c:formatCode>General</c:formatCode>
                <c:ptCount val="11"/>
                <c:pt idx="0">
                  <c:v>3987100</c:v>
                </c:pt>
                <c:pt idx="1">
                  <c:v>4566192</c:v>
                </c:pt>
                <c:pt idx="2">
                  <c:v>4187292</c:v>
                </c:pt>
                <c:pt idx="3">
                  <c:v>4731229</c:v>
                </c:pt>
                <c:pt idx="4">
                  <c:v>6102945</c:v>
                </c:pt>
                <c:pt idx="5">
                  <c:v>3908969</c:v>
                </c:pt>
                <c:pt idx="6">
                  <c:v>4494807</c:v>
                </c:pt>
                <c:pt idx="7">
                  <c:v>4370215</c:v>
                </c:pt>
                <c:pt idx="8">
                  <c:v>4887342</c:v>
                </c:pt>
                <c:pt idx="9">
                  <c:v>3730145</c:v>
                </c:pt>
                <c:pt idx="10">
                  <c:v>6042975</c:v>
                </c:pt>
              </c:numCache>
            </c:numRef>
          </c:val>
          <c:extLst>
            <c:ext xmlns:c16="http://schemas.microsoft.com/office/drawing/2014/chart" uri="{C3380CC4-5D6E-409C-BE32-E72D297353CC}">
              <c16:uniqueId val="{00000000-A0E2-4EE4-AA3A-D69C57B84E0D}"/>
            </c:ext>
          </c:extLst>
        </c:ser>
        <c:dLbls>
          <c:showLegendKey val="0"/>
          <c:showVal val="0"/>
          <c:showCatName val="0"/>
          <c:showSerName val="0"/>
          <c:showPercent val="0"/>
          <c:showBubbleSize val="0"/>
        </c:dLbls>
        <c:gapWidth val="219"/>
        <c:overlap val="-27"/>
        <c:axId val="1232907855"/>
        <c:axId val="1232923215"/>
      </c:barChart>
      <c:lineChart>
        <c:grouping val="stacked"/>
        <c:varyColors val="0"/>
        <c:ser>
          <c:idx val="1"/>
          <c:order val="1"/>
          <c:tx>
            <c:strRef>
              <c:f>MONTHWISE!$F$9</c:f>
              <c:strCache>
                <c:ptCount val="1"/>
                <c:pt idx="0">
                  <c:v>Sum of Profit</c:v>
                </c:pt>
              </c:strCache>
            </c:strRef>
          </c:tx>
          <c:spPr>
            <a:ln w="28575" cap="rnd">
              <a:solidFill>
                <a:schemeClr val="accent2"/>
              </a:solidFill>
              <a:round/>
            </a:ln>
            <a:effectLst/>
          </c:spPr>
          <c:marker>
            <c:symbol val="circle"/>
            <c:size val="5"/>
            <c:spPr>
              <a:solidFill>
                <a:schemeClr val="tx1"/>
              </a:solidFill>
              <a:ln w="9525">
                <a:solidFill>
                  <a:schemeClr val="accent2"/>
                </a:solidFill>
              </a:ln>
              <a:effectLst/>
            </c:spPr>
          </c:marker>
          <c:cat>
            <c:strRef>
              <c:f>MONTHWISE!$D$10:$D$21</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MONTHWISE!$F$10:$F$21</c:f>
              <c:numCache>
                <c:formatCode>0.00%</c:formatCode>
                <c:ptCount val="11"/>
                <c:pt idx="0">
                  <c:v>7.3208134659562649E-2</c:v>
                </c:pt>
                <c:pt idx="1">
                  <c:v>9.8978948571895931E-2</c:v>
                </c:pt>
                <c:pt idx="2">
                  <c:v>7.5549684497844577E-2</c:v>
                </c:pt>
                <c:pt idx="3">
                  <c:v>8.5786808608798351E-2</c:v>
                </c:pt>
                <c:pt idx="4">
                  <c:v>0.12671554926979919</c:v>
                </c:pt>
                <c:pt idx="5">
                  <c:v>7.085258874191086E-2</c:v>
                </c:pt>
                <c:pt idx="6">
                  <c:v>9.0073928673560455E-2</c:v>
                </c:pt>
                <c:pt idx="7">
                  <c:v>8.8343828952934869E-2</c:v>
                </c:pt>
                <c:pt idx="8">
                  <c:v>9.8688429130160946E-2</c:v>
                </c:pt>
                <c:pt idx="9">
                  <c:v>7.651408924257308E-2</c:v>
                </c:pt>
                <c:pt idx="10">
                  <c:v>0.11528800965095909</c:v>
                </c:pt>
              </c:numCache>
            </c:numRef>
          </c:val>
          <c:smooth val="0"/>
          <c:extLst>
            <c:ext xmlns:c16="http://schemas.microsoft.com/office/drawing/2014/chart" uri="{C3380CC4-5D6E-409C-BE32-E72D297353CC}">
              <c16:uniqueId val="{00000001-A0E2-4EE4-AA3A-D69C57B84E0D}"/>
            </c:ext>
          </c:extLst>
        </c:ser>
        <c:dLbls>
          <c:showLegendKey val="0"/>
          <c:showVal val="0"/>
          <c:showCatName val="0"/>
          <c:showSerName val="0"/>
          <c:showPercent val="0"/>
          <c:showBubbleSize val="0"/>
        </c:dLbls>
        <c:marker val="1"/>
        <c:smooth val="0"/>
        <c:axId val="1232920815"/>
        <c:axId val="1232920335"/>
      </c:lineChart>
      <c:catAx>
        <c:axId val="123290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23215"/>
        <c:crosses val="autoZero"/>
        <c:auto val="1"/>
        <c:lblAlgn val="ctr"/>
        <c:lblOffset val="100"/>
        <c:noMultiLvlLbl val="0"/>
      </c:catAx>
      <c:valAx>
        <c:axId val="1232923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07855"/>
        <c:crosses val="autoZero"/>
        <c:crossBetween val="between"/>
      </c:valAx>
      <c:valAx>
        <c:axId val="123292033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20815"/>
        <c:crosses val="max"/>
        <c:crossBetween val="between"/>
      </c:valAx>
      <c:catAx>
        <c:axId val="1232920815"/>
        <c:scaling>
          <c:orientation val="minMax"/>
        </c:scaling>
        <c:delete val="1"/>
        <c:axPos val="b"/>
        <c:numFmt formatCode="General" sourceLinked="1"/>
        <c:majorTickMark val="out"/>
        <c:minorTickMark val="none"/>
        <c:tickLblPos val="nextTo"/>
        <c:crossAx val="123292033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PRODUCTWISE!$J$4</c:f>
              <c:strCache>
                <c:ptCount val="1"/>
                <c:pt idx="0">
                  <c:v>Sum of Profit</c:v>
                </c:pt>
              </c:strCache>
            </c:strRef>
          </c:tx>
          <c:explosion val="8"/>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E6-4E88-ADD3-84BA5C7CBE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E6-4E88-ADD3-84BA5C7CBE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E6-4E88-ADD3-84BA5C7CBE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E6-4E88-ADD3-84BA5C7CBE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DE6-4E88-ADD3-84BA5C7CBE8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DE6-4E88-ADD3-84BA5C7CBE8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DE6-4E88-ADD3-84BA5C7CBE8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DE6-4E88-ADD3-84BA5C7CBE8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DE6-4E88-ADD3-84BA5C7CBE8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DE6-4E88-ADD3-84BA5C7CBE8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DE6-4E88-ADD3-84BA5C7CBE8C}"/>
              </c:ext>
            </c:extLst>
          </c:dPt>
          <c:dLbls>
            <c:spPr>
              <a:noFill/>
              <a:ln>
                <a:noFill/>
              </a:ln>
              <a:effectLst/>
            </c:spPr>
            <c:txPr>
              <a:bodyPr rot="0" spcFirstLastPara="1" vertOverflow="ellipsis" vert="horz" wrap="square" lIns="38100" tIns="19050" rIns="38100" bIns="19050" anchor="ctr" anchorCtr="1">
                <a:spAutoFit/>
              </a:bodyPr>
              <a:lstStyle/>
              <a:p>
                <a:pPr>
                  <a:defRPr sz="800" b="1" i="1"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PRODUCTWISE!$H$5:$H$15</c:f>
              <c:strCache>
                <c:ptCount val="11"/>
                <c:pt idx="0">
                  <c:v>Laptop</c:v>
                </c:pt>
                <c:pt idx="1">
                  <c:v>Car accessories</c:v>
                </c:pt>
                <c:pt idx="2">
                  <c:v>CHAIR</c:v>
                </c:pt>
                <c:pt idx="3">
                  <c:v>Earbuds</c:v>
                </c:pt>
                <c:pt idx="4">
                  <c:v>Home décor</c:v>
                </c:pt>
                <c:pt idx="5">
                  <c:v>Male dress</c:v>
                </c:pt>
                <c:pt idx="6">
                  <c:v>Saree</c:v>
                </c:pt>
                <c:pt idx="7">
                  <c:v>Speaker</c:v>
                </c:pt>
                <c:pt idx="8">
                  <c:v>Suit</c:v>
                </c:pt>
                <c:pt idx="9">
                  <c:v>TV</c:v>
                </c:pt>
                <c:pt idx="10">
                  <c:v>Women dress</c:v>
                </c:pt>
              </c:strCache>
            </c:strRef>
          </c:cat>
          <c:val>
            <c:numRef>
              <c:f>PRODUCTWISE!$J$5:$J$15</c:f>
              <c:numCache>
                <c:formatCode>0.00%</c:formatCode>
                <c:ptCount val="11"/>
                <c:pt idx="0">
                  <c:v>8.9010572223657353E-2</c:v>
                </c:pt>
                <c:pt idx="1">
                  <c:v>1.7424082068862437E-2</c:v>
                </c:pt>
                <c:pt idx="2">
                  <c:v>2.2640242299204498E-3</c:v>
                </c:pt>
                <c:pt idx="3">
                  <c:v>1.0084837551884128E-2</c:v>
                </c:pt>
                <c:pt idx="4">
                  <c:v>5.5379836602972986E-2</c:v>
                </c:pt>
                <c:pt idx="5">
                  <c:v>6.6418308254144617E-2</c:v>
                </c:pt>
                <c:pt idx="6">
                  <c:v>0.36594247035408639</c:v>
                </c:pt>
                <c:pt idx="7">
                  <c:v>2.1941359883262332E-2</c:v>
                </c:pt>
                <c:pt idx="8">
                  <c:v>0.28990707006477651</c:v>
                </c:pt>
                <c:pt idx="9">
                  <c:v>4.7638795173714096E-2</c:v>
                </c:pt>
                <c:pt idx="10">
                  <c:v>3.3988643592718699E-2</c:v>
                </c:pt>
              </c:numCache>
            </c:numRef>
          </c:val>
          <c:extLst>
            <c:ext xmlns:c16="http://schemas.microsoft.com/office/drawing/2014/chart" uri="{C3380CC4-5D6E-409C-BE32-E72D297353CC}">
              <c16:uniqueId val="{00000016-9DE6-4E88-ADD3-84BA5C7CBE8C}"/>
            </c:ext>
          </c:extLst>
        </c:ser>
        <c:dLbls>
          <c:showLegendKey val="0"/>
          <c:showVal val="1"/>
          <c:showCatName val="0"/>
          <c:showSerName val="0"/>
          <c:showPercent val="0"/>
          <c:showBubbleSize val="0"/>
          <c:showLeaderLines val="0"/>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Productwise Sales</cx:v>
        </cx:txData>
      </cx:tx>
      <cx:txPr>
        <a:bodyPr spcFirstLastPara="1" vertOverflow="ellipsis" horzOverflow="overflow" wrap="square" lIns="0" tIns="0" rIns="0" bIns="0" anchor="ctr" anchorCtr="1"/>
        <a:lstStyle/>
        <a:p>
          <a:pPr algn="ctr" rtl="0">
            <a:defRPr/>
          </a:pPr>
          <a:r>
            <a:rPr lang="en-US" sz="1400" b="1" i="1" u="none" strike="noStrike" baseline="0">
              <a:solidFill>
                <a:schemeClr val="tx1"/>
              </a:solidFill>
              <a:latin typeface="Calibri" panose="020F0502020204030204"/>
            </a:rPr>
            <a:t>Productwise Sales</a:t>
          </a:r>
        </a:p>
      </cx:txPr>
    </cx:title>
    <cx:plotArea>
      <cx:plotAreaRegion>
        <cx:series layoutId="treemap" uniqueId="{B222B94E-46B4-4990-91D2-12F182A94152}" formatIdx="0">
          <cx:tx>
            <cx:txData>
              <cx:f>_xlchart.v1.1</cx:f>
              <cx:v>Sum of Sale Price</cx:v>
            </cx:txData>
          </cx:tx>
          <cx:dataLabels pos="inEnd">
            <cx:txPr>
              <a:bodyPr spcFirstLastPara="1" vertOverflow="ellipsis" horzOverflow="overflow" wrap="square" lIns="0" tIns="0" rIns="0" bIns="0" anchor="ctr" anchorCtr="1"/>
              <a:lstStyle/>
              <a:p>
                <a:pPr algn="ctr" rtl="0">
                  <a:defRPr sz="1100" b="1" i="1">
                    <a:solidFill>
                      <a:schemeClr val="bg1"/>
                    </a:solidFill>
                  </a:defRPr>
                </a:pPr>
                <a:endParaRPr lang="en-US" sz="1100" b="1" i="1" u="none" strike="noStrike" baseline="0">
                  <a:solidFill>
                    <a:schemeClr val="bg1"/>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925B776B-661F-47DC-B152-EFA4CDE81754}">
          <cx:tx>
            <cx:txData>
              <cx:f>_xlchart.v5.5</cx:f>
              <cx:v>Sum of Sale Price</cx:v>
            </cx:txData>
          </cx:tx>
          <cx:dataId val="0"/>
          <cx:layoutPr>
            <cx:geography cultureLanguage="en-US" cultureRegion="IN" attribution="Powered by Bing">
              <cx:geoCache provider="{E9337A44-BEBE-4D9F-B70C-5C5E7DAFC167}">
                <cx:binary>1HzZctw4Eu2vOPx8qSZ2cGJ6IgZkFbVv3vuFoZZkEiTBDdzAr79Zlt0jceRlanxvjBUd0ZZYBJJ5
kNvJZP39dv7bbXl/072YTVnZv93Ov7/M+r7522+/2dvs3tzYA6Nvu9rWH/uD29r8Vn/8qG/vf7vr
biZdpb9hH9HfbrObrr+fX/7j77Bael+f1rc3va6rq+G+c9f3dih7+41rz156cXNndBVp23f6tke/
vzy56aqb/qa4efnivup171675v73l08+9vLFb+vF/m3jFyXI1g93cC+iBwL5FFOK/U8/6OWLsq7S
z5cFP0BcBIgREnz6IV+2Pr8xcPsPSfRJnpu7u+7eWnimT/9/cuuTB4Ar/3z54rYeqn6nuRSU+PvL
o+pOw1NrW4cPF8J6J/3R+afH/e2pzv/x99UfQAGrvzyCZa2t7136N1SUBuy/qOW/RwSzA9C4ZKDz
5xCRcNkPOKcB/rLnAxTfFeN5GD7ftoJAXf9SEITZDRyQ9KbLvujkv8eB+AcCB4RRyZ/DASxDSJ8h
wcSDZdAvWz/A8WMiPY/J43tXwISHvxQwb/r+prspdvB8Uc9PQQYR7GPO+YPq5VOfFRxgnxEcyIer
Afuy9QMyPyjT89A8uXmFzZuTXwqb6L7M9BfV/PeoYHnAKYQJnz9vL+IAIUYFOLYHWPiXrR9Q+a40
z+Px+bYVEtHpL4XE9U1+Y3swki8q+Qlo8AMmKcFEfnZPwVMbIQeS+QhLJB6c28pGfkii5xF5dOsK
levjXwqVeMjBd/U/ERN8wAPwWgivwEAHLBA+kfizP4PLD/ndg2n8gCDPQ/HXjSsg4l8LiH9Wd1l3
8+Kyu7m7tz8xwiN2IBhjSAb+50jx1EaCg4AzilhAHy6vct8fF+t5dNb3r0D65+UvZS3/tPbGfDm3
P8V/QepFZADoPPw8wSbABxILBsA9X5d8V5qvQPLwEGskXv1SSIRZdtP32v7cdBijA3Bdkgbs2UJR
4gOfIoDEX5UlPyrN84A8vXuFS/j6l8Ll3b3tX6j7Kr0pf6Kd7AI5+ChfiCcGIsVBICCe0M/2sU6C
f1CY51F5cvMKlHfqlwLlUJsb4G7Knx9dCDoIMGFgM88ajBAHmHCMCJcPGdgqH/5PBHsepX9fYQXV
4f92hHmeAnpMfD35xH9IfGF8QBgGd/UFHvBbj4mv4IBwwiErYw/wgHk9zsk+E1Jfl+Z5TD7f9kTw
/2126xjIrZ9cv2NywNkuC5afndPT+h0YLsYpVPj8c+hfMSs/JNHz6n9068oWjn8tXuXkvrspfyYN
7B9QGkghBCj7sRnwA+pDXULR56J+Fd2/L8fzQHy5b4XCya9Vt5/d3GXu/0FhAgbCCJTmjH2ODStS
Xh5gKQNOyGcqZVWY/LhYz4Ozvn8F0tn/dth4Ii00TT4xdj8/vGP+EN4ReogP/lOMpA9OjEOE+eLj
Vhj9sFTPQ7S6/ckzwyP/Wgid3UCMubFZ3/1MjxYcUChVJIEi8dPPU3x2jS1fBgR/ru3X+fEPyvQ8
Ok9uXmFz9msFmsuhym/+/JL7/Pd1PXRVJMXAqeCn9YpgBxBjpB/4n/nKlb18X47nofhy3wqFy1+r
Snl9Y3T54vzmbvh5SCB04CMO3ks+Tb+EhJAvfGihrFLeHxPieRge37uC4jX0cH+hfPj1fXkDJXz1
M12VOIA4zxlwXU+Tr+DA94Md5fLZScHlxzXID4nyFTz+9RRrOOL/v3B8vTH/19hCBDMPm0/zDo96
89+++umpYQxjdetn9T3rxh40e3T3+0ugTXxwP3/NUewWeaL4L07l3265hzbO7y8htgAtSYkPBb5E
nPpQ2k9A/sAVYGskI4GUnAoKfXzItqu667PfXxJ8wBASIth1yBjH0JCx9bC7goMDBi7ThxuZgJ4n
MGxfHu+yLl1aV3/p4vPvL6rBXNa66u3vLwPpv3zRPHxu93ACjJtxhqE/iiFAUuhvw/Xbm2sYZYGP
o/+TpmnBdYWreBhGe9ihYripNG9UKklySUrPnkyt76LSo/VJNcpMMVOlR90s85PAr1A4QNr6VlaO
3QWdX4UtFd52N2MS4SmfT7yiyjYL9bjqGEuOqdGpSuflhg/0ss51RAbsFJ/NieeVNJqgJlGiTgbV
BfqcONuF46Lf4preJXQIycjMcWGbNsamRIsifjFv22YQocNSb3Qu0JuSaU+qtsjKY7LQ6qwp3HJR
IWFuh6L2Qy45/9NpnB3CftNFEzhvi6mXtqrhNH2L/ZGFnTc2IXWDjrogKf5gZiijdIFdE0NSowpd
NnejT8Yj2tbpO2rsdORVNYkER2PUVuaq0UV9U7isP86RM0dTJ+eLwZMyrjM2E2VtjWZV1PNwmZXz
fOgVvDqp02m4dsayOeQVzlTW5/iNQ0al3Ty/0jlJz21GJ4WTsY49Iy4xrcY3feCn922pu/eaT/TK
+P6kakh0LrVsSTh3dbMxPNGvxtzgowC7t7kY28uMafSKFC07GkDXJ71J9OmYyertlMx+rH2fqNmm
OoKjEXZtm99MbaPPs0xmk2o1QoGqJzG+okFuzkWT3Sc0keGiiyG0A2/fc+2S0KOuueVL8tHlTi6R
COZ3GW4Oi4wdDwMuNrpB6GqUhb/RMi8uczEF7ymfm1PkGnpCTEeOhmEp72jhj8oWXW2UzTN27iri
nVdLI63ywVXeNmxo40am5sjOmVNF1k3HxqfJ+VRW7aEoqQl7JNERqjx81jpxn3QnCL8nOezsQ0H1
ynqmPi6ZtdGSVIIpnA/NZkldmobGa6pFAQjmMuV1cR5ki40Db3Fv8FKii6ocujCldfsO2cWdly5I
otQf/VOH2zFKW9OFRIxTNCAASCGOgzMzDV2tsrqxh36WkGioxl6VHv84TFSe94PoNy1ugy3v2znM
ajwf9WDM5zwQb1Kq2ygoWL/VWsitdZ14HRTeuG1KU97wzGsVt5rokHEvUUmRok3ecavaxbntUnle
OLuhDj3ntxEfan9DFz2oVLv2zPDaHeJ2EHGZ++bILOKimrvYkKpRQi7NWSITGrFchqznSri5iZd0
VI1pVZcnoRtdFU64/pNlLka01Ccpm6VqBr+4amaut41nu7iwWFFU0C1HHY9xoqsT4OLkh0LPblSp
X41XSLfTNa+aD5SbP6sl3bDFntpK3OZjxS+XpJCHjdfRbYdMAs5nt6LpJAknNJVhs1xPll5LpJ0y
ZddHbZu4V2mge0WmolKJNm04a3NHWH3e6WXe8B5XIRq4d13zZniX1RNWPiqWuCu4fyHqvA9rV6ET
P0/749oSuhn6Rtz3ski2vObkrBsIGJMv0CbRInhFBAatzhSD8wjm0I5jG9asXrZwjquNRG6qVL40
87vUJPKIiDzblIW1W+yL+ngWng5FMdp4rHN3VNRsThWylh/ZJV3iZEiWS5kubJsKYlVCUqFc4uYo
7QBtV7AsZEsVKORlfVwEbbnxElGrxg00xgMQC4py8meTo6yFT9futO98FBq/n4/9ok7eucpbwrEu
mtM+mMZjv52r46qc5GFmgurPiVX9yZRhP5RB4V+DkTcZTJKJRJVTy3U444m84boWOOxd2WyKah5G
ldBMntsUHN8m05Js8zEv1Zzw9G4OzBsyte2mcTr2SuQUKOKwpLWIIGCw92PlXQ12OncanjzJw2zU
VdiNjqVqkTx/36Vm2ZhS5mHu+n5b17mMkq4MnMoxYxvSZVbZYAD77x0LrUY67ivmX1pRbgp/KFWW
BqFXJaPKA3E65GwIB5KlYUHoSb7UVgE59qpaxvmE1RC7Fato/yrzuI7MMN0VkhSHU52iKEnGs6zS
VznhNCpyb94ucuxCbX267etpicmQNDFh4MEZypdwTki7Gcwy3gdpf5WN4k3Omz5QIywQoqJx75sc
3IZKE5Ozw5EnNLQLTUK/9yNbJl3c+3ZRi5+4P3QZsGufl+MJrB6WcjxMxvRDX4DXL/VrQsQ5Numm
9uwUmjI1G9t7vmJl4oXZbLPTzvPz47ku6JHIeRsm8OTvmAnIB0vyKdKtLI4gShxWfdK8Skuvi107
JCxE4zilymRV835eRHrSctdfCOOak9oT/b0JqKfg5O7CoNMAqqm2lvEgEosNri3XSJl52HB/eD/g
8TzJzckw5cs5MulZ3WUYwmxZhUld9ZMKWl37UZKDU52Rf+y1baomYk/J7EIz41HhrEeK5iSuyzzu
gJhRfZuTRnmFKSK09EedmdQ8y+YUU5kq+NQ9si5gW14VoMXS4u4VSaf2tJH3YibTRy1cct7OhVRT
wvAJ6ztZxeOkex7V9dTfLBCG7vPFl1Ez++UlKrJmVI7PLYS3fFxem0r2rwvoUXtR4AqDw6nU7ZUb
/T5yDevOPGeziPWmY0pj578F15NHbZPMsW0rqybsptjHFYoWWcpomLo8dCjjr7wim4+MdIuJeeqS
LCKZfd1kHgTpVl5Ijw2NMtJ767RYwqaGFCX1m/uymefXjRFl6FnBtwMtIXoTYoIrSeu3sxgv62o0
m6rKznvdbfkgG9WT4T3quzfdYqwiVUGuoHSvt1VQuS2EveCsSkymN84vxfuc2VLVkFakrLjNMxqT
Oj1crD7ptTic+mmIpolWabRQkxqwrNps0hEchs03dc7qLfLbw5oNl87zrws/u4WA9nbqxjvLaNzO
Eztv0rTdpogGIc8bOLtuQRB3IQtLsg2ruIhyvrizxlI/TKyhEXG0PU9Yti1ZkmbRNAsbBRkdzlOf
Lko07YSUZ/MmyplPXoP7ladusYNW/ejRDaTw1RFCkHXS7NyvC33izdaL9DiRw3ax/hVkce5VnZfL
lo4Tu0TSQCac39EUElgz0+FkAKDDthzOeG7rYy+rPWUZKxWz2EZ+Q4LjBOs+QgTNh8Qb/bDuvJvc
8ebQtWV5OkkHITpp+aYXdaday+eoXjJ2aqcEXUL63R5LMeLDpp7S4zbJT4w3tx+GfBZvxwT8Hx51
RlThvEmJvpfXXSubiyBBKJ7y+kaWFcgbdM1mguijZsGPWk+70Lb9+5Z3N+1Ys0jjnipn2pj3RX6c
+Mh7x7SR7yszeRvdZt6binaR4U06ABx6CEtQ3f3sJWYDGSW/mpxLwzmvfKYC09lj3hblYd+2h1Ba
8EMy9RyUatLTJPWaSyEhSKV1GZG+Gt41Wd+eMi27D7WuUVSwtpKq460HjodkIZ4Ku0VJ28HZ0UmY
OZOEUxp4Wy6KIFwYZXEzDsmbymXtlZ9iGbVZm1yTriHnXKfNEeRg03WNy+pdl3Y2JGaiymPMXWPP
+GrUfXlXGyTiVvPqY9A0STxPDQ1lCxl0I3J6ihFdSrV4lbnRWGenbFxyptAk8UntO/0qTSHLUx5v
9VvrlxAyysZGeEjSc1T6fpwS458j4cCux5Qonll7lCwGHfqiSv+o6IJUggWOJm8yd7QdgnNPNuyt
Q8hTQz9xxclgPwS2Ta+LNi9f1dOMjycpWwh5SI+geszDBiqBDVhMHlq7C65VdmVzul06lkHCZu3b
IUvooWfn6VyQMQn51Fbn1Pb2xAD9s1mS5H6qpg6ppcn4tiodpG4zSbbFwuUHNHfkJK0MuZ4Wbjdz
j9qT1OYc8k/ODl3P2B9QsrabxaTBfdMnOAqgADzKnKwveKr1+YgyfchoDwk5rdrjGmZHIWrQYDtX
rUQh1peFN1WbIYXMXOoAHWsPsSrEQX6Ol+7C+BlW/cysGkVvjuVS9Fo1ODjqBSKnbOqKj/Cg7SYJ
GnFSiIx2quzrRE2l+8iS5bY3hVPS79KwmWQaoW5GCnbRio4p+M+ySk6SLD0fiwIyRxSc4cYVEZds
DG3B9Dvt5S6alvJDLccl1GkuzpohV4Yt+bbyjQtrbKeTXZGfqb66b6cmZtIEJ3UfuE3SZUHUuDZ/
m2XYI0rMKI0ysLmoHHmveJtV0TB06JRCCha2GFdvUkjgE6jlxrepz7jyWv9V7tJkS5OtnJIYFW1x
nJjxKp94JNIJnIuDlNz3t16K3LlLlnbbp3hWxM0XObV/wvGcVT6b/HyoxyVirrNR27cCam5O425B
pFKFXzUhvIcARzYxqu9yfjGU2Ycl889T8J+bEmjCXW6gt3XreZux8fAG6rzkUOamjAqqu6uxKXXk
Z7Y9HG2wbDyWm0OIFPkxGptKtaORF8PiaGwX0YYVS89GQfwU9vLTYz0PaFIlBteeFTnGEaoTm6gl
wO8whuSJypC2Za7Gsi7TsG68IoTE9zCrTwspJzWk43RqwBUWSnrz+MqyvPpgEgzGQzKU3HZJtXgq
ycRcKj9rZz/0x/zKdMi7nikzvTnq6CiV7DO/hzSTjee1KarzvM/RHxABu/PGK6HMzToQPC9aqRaN
5jREXvB+IEvyFqOBbtoR6hbVawf1qalmd1R1BYq5CfpYNCm/7qq5OHY9H46Yq9k1mSmNhxF3t7zL
Az/i2aA/1HXQ387GLMo2DRjjCM4TVBOcJC2qj3oQ8jDAk1Mjp0Woa9tHsAB9D7X09HYctHnVtxM9
LwSu4wxV9aK4310QwPQKGwzCLLJ/m+LpvilzvIFKSB9n/oguHIJ/DXMShDDXPQJvwNpS2cpDFxBt
0cbQsYCSIzPKOe/Uy/1CFSVNtwISCxWg1lNliYJcYc2A41lyMFu/CcQrUc7eJjB4goS7Nme+8Te4
W2Topww81pjqQ+7G4jjoSBcGff165sVN10xni9Oeyid9VxQ0PxJtd2bGjoS+m9tGkfmdheJHgg0L
gtzZELg/6rbyjnWeZVeP3xJ6wpnd1o3rdJp9fjnrr1//8bo28N+n14b+9cfdu13/+i2+r3fzuXb9
oR2j+den/vXq0Y5F/Os9pBUv+fCC2BdW7z+5+ITRfEKjf+GKd6QfQt/kM58Ms/z1+QcyMxDQmEGC
MEYohxeTOAwnP5CZXB6gAKb54S2YAGYEfAIdti9kpjiAgTRgtLnPAwItOOA5P7OZ8NoM92EqTQos
oOMTwGtMX577CTJA3n7+/TGbCesA/bHjPHdiehCDBYU2+a5795jDtMmcQMYW8MMMRQG7sCNMPP/F
5/4H6+72e8SNBliP3Jaz2PQsg1O+AJUCLBafH95De3gN7T9YHlB5vHwuvMJNcyU24FO67nrii5++
Bna0/vht8YFgflYtMK3xeP3ALIUcioRvAszsctUgE/gqIzlDwJ35BvgY0vbJ9tubfQ0DgP/xZhaw
z6e04pvZEkkg0pK0U7Xj8o9vrw9tp2cfZsdjP8JCBK3f5IHjmwE19AyhiZpXk5/7/NTJvppjTyy8
U8a1zfW3N/zKA0k46Y83bKTfjGK34VgGYj6usyEZQmoHKIC+vcFuoWdO7a7x9ngDqZfJ7wfCNpDc
iumYO5LgsAFWC7LLIsvxGRqKAdIBqA6dUJBUonbrV9nYHX57/688IF9ptOwIR27ORdx5zRSnPVB3
KiUyvfv28uhph+Evq5Q7JB8h1ggDmZN1DFK6FKgwiWUMzvpjU5B2KlSbTqNRgxPeKVQ0qNgMuK5l
pbxUYgODQXvYr9wZxiMJytSZsWQTaFhiFpKu/ijYpPdTn1w5nRocAdRsPds4Z8V7v3a1SsYhv9hP
9B1oj0WXueaWdGxTEK3vfXgd+bTydhT7fsuvXE/tTaxpM+DKyl6Mb9HUUmDmFrGfY5Mrx9OVU940
uGWbvvaWZePP3thFvKlrsaf4K2eD5xRJV+bgbGo6AE3C+UxV24KlRt/Wz1dcJ1/Zpgmgxs+HVMSm
tFBICmPa4S1pl8A/7r0sEFcQlAg/+vZmXzHETy26R1jj3EFqZBsvrmon+KXVMBzz1vS993Gv9cXK
k1npD/40MxkvNTIbl1KvU7MuoLv27fV3J/4ZRyZWygqARiyhj5fEtScXs4UKshk35eSQjlqdAYGz
3zYrf0Joncip8UTc9wPuDyteV/5mqaCw2TS6n+b97FqsnEZbj21CZiPjBhfL66Jz2UUlePB6v4dY
eY2pmCWaIIWKsTfrTWk7QU5T6qCJVDBZzN9R1VdO1G6M87H3yGTaFFI0Mu5K6o48s/gXQYq6EuZg
9vCrgjxdvk6080E5PB5ECzWmn8/0A1+AKtlv+ZX7GEZRw8vWnMdjCQj0O/qaDp5o9pR+5TwGTSpX
ulzG1I4FYODkDFQdkDjLnhusAmsReKwNZtB+gExbHTVAY0ybLhfLdLmXgnZJ+GN4BXbEIm/mcWAz
/VZIay9nnQIXtN/yK0MTrgNuBhihuCG014f9QuZAZYWZ/P1MjK9MbIamIzTfOgFNwbShR9ZgKLzz
gXbfi807z/OMR+IrK3NpnvpmAoihB9h0UZ4SIS6Nt4z8OO0TU2xmoG2r96WR5I+hSqfqO578azkP
XxleOafQdluAoKlLWTbHmWcTAYVDEUDWKPspp72q+nwZQ53xxmyLeUlFxOlE6ldAH/NhTwWvDNQl
3BOy8JLYCG+IiJ5ELEVJvnM+0M5SnlMvfnr+2NjPetenjom/dPVmQcnYb4BkW8rDJiDCXaTW1B8b
j07mkC6yYuczIbg6w0LKHIgKaNJ9R5SvODq+smVZ5QwIcU3jRiSWhHwB7nGep3Y/P8pWhjZAq1rm
eUrjtJnlBwbh59z6ntnPz7Hd6X0U91uSVrnniSBmJVQy4QA9hUUNunP2O8fgK2awG+F7vIHVrWN4
7mTcuynBR5J2nf/n3CAwiQxnfq0qPTRG4QUo/dvGLBbvqbeVgZOpKgFl6PNzmZhBNS22wBsN1NvT
xbKVgS90KdqBd2IztAxtgEGCRhOvvWgvB8hWVswTmGzK23mJ7ZD28VKJXPGuyb/jJL5yZtnKOGEI
M/NmyCXjHGsT4h7lUeJqvOehWtkmlCU1zEDUS4yhbgSiE72rUvq9TO9roq/MDfGmonMJ8wipcP3Z
4Cof4meboXzPc7OKnFk+9A3p3BJDTyk4wuNcRAmRNN4LVrqyZtKMrOlhHiyG7gQNJyJgSsAgvZ/s
60E6WWFo/guA1etxBg1PmIDghaD7OTq6MuXc9zp/SuwSt0iXWxtUaTgyumy/rZmd2Tzj0OnKXito
my4L8qZ48tg91IXFuKV90VRxPwm+5xOsTJaMYgTePJlgKIJ310D15htE62K/epmuTLavIFeBxtQU
15TxIxmwIcodTG99Wz9fOfd0ZbKoN2Uil3yIU1vSE10a6P7M5Z6irywWImlSFIj0cVvnCQo7hm0o
srnIov2EXxktdMNtAd17Bg1BPR8XfdqfDklS7mlUK5MFftQb0ZD3225IJ/uKTL4sL1gnebaf7snK
agtob7bpiGfI2YYlLBr2wQWu+s7B/wqwZBWCWe4VVMpk3LRlhhSxA1ZtEAx7ir4yWtLkFENDagTN
ex86DAlYFczJfrCSlc0WzdJ5nuWfRae4xYqNfF/R19bKZDLIDI2bYALSGO9Wt/srZgfHo8wHZjqb
pLSw+pwHWTjIYlCc43xPta+sNaNM1tCqhNUpvm81LbepTveknsjKWgv41kCpYcxzEyyDiUsRdFAa
8Xm/3GDXRHmsmLknIildMW5Yn8D0EhqxQk3S7xeiyMpWTdZgGFT2h001LpWaMn0/5DB5sJeb2X2r
zWPR7dLBrGo2DRtTZFRxyj54I0xo7rf4yk79hHXEZV6/Ea1fRXbWN3ZY7J6Lr8y0tQEMrehh2OQc
uvc816UaOiz2XH1lp4LkXqq9AEQPBnRmoT1ymYi03K9FtXtR4LHW54HiisLK8YLgOyvVUknOIq/3
pN3vzOCVqeIWhjWHJh1jR03VKY80MGsz4f52P2BXtop0grt6NhBZE1seB7lFkS1yt9lvdfxUO0OX
NCR1bIj7gPyBcnxlKbnab+m1pVqXG+iE97HOvHNwjx8cFnvya3hlp4HWRqBK9HE+ZTAxlLHXdZHU
+wGKVnYKw49eF8hhiD3d67DMxanArb/fYd+9wvT4OEJbeGrsLL1NVc532qF3mBn4nrw9SEe0slKp
pxTGSTwXw7IWJjSwzbhylqT7uV60stMxZUNW0K6P4QuI/Pe0Bz+grF7QfpkGWhnq0JbYL5N6iE3d
LVE9iz8z3SR7qn1lpInUrRh1N8Qw1wPjsaYB0YvvdV53izxTHOyGBx5jGlSc6sYzfQyvLgVn0qbo
rPSS5t1+sK5MFPe47+Abb+E4ZkmmYDDvvZB6T0hXNrrQOsiTrBjijo1EITl/KFt5uZ/cKxulE50n
TWBtL7ev6eDOGLVney3tryy0npIk7Unab/wEXtvw8uRUL/6e/IC/slCEmkYsHvZgCju4ME58kJ0r
93Mt/spEvQzy9K4GnZRZdVWn9RbGhffz5LuX6B4fQtpMjsxAem/qZTzsJnxC2X4R1F8ZZuPgpZa6
gdqOw2iqrOe46pL9+qD+yix12c/ZMIDQjXmzjEOYi7f7nZCVSZZB3jVLASDSrPizm2Gme+H7+and
F3g9VvTQjsXsJt7Hzubo9eJ6HOcDsdF+gq8sklTJXOUapuGsB71+XBWHQRK8/7+cfV1znLjW9S+i
CiQh4Ba6G7ftOHbsJJPcUEnmRIAkPgRCoF//rj5XE57MyVvcTmVktdDe2tpaH8fG3kWkVM0Ug3kY
AIyM6jYI+TeW0WMHGxi4vy4LNvY4qhBHct3wFZhuBpB/liyHAgfskl9HTydgWlm8BOeRv5r+lAKJ
cWRNWLaLyFrUIxvrbS5tCrQF+BNDHo387djgu5h0eCDftq6azlE93DmFx/eRtvOhnQIq369LYizo
Y4HC4KmKn6kdfjRsMwdXZReXGYvBgkuz6Ww0fQZ94gfoSkfH3oVm5JqE0jVC25jQ8NGmor0f2coP
rsouOuuJLQr1LDZK7DmYQO1HxetDBRbLdrG5ZpY5mSHyV7rNbQESJe9PBBVQcyi1sGwXoIPTrALe
aC4FG74FbvmMx4ePh7biHqy1UBoaQOSDs7UiPo1WNjkEVpNDdQQaQru9CKYW+tErJr6uz+BO3q8L
sLHHZr6L0FYnIUtqOpWppO8UAIdn6DKRYyu+B0BZYYC5tMtchoN6YYEqWlMfKlLYHv5k4qDbwGqY
SkJiUJ10ZAowD34eW5RdgG54UZhSPYMMqfgXMa33TRK/Hht6F5+rmcEjJTdGGyghueqT8dLp9hh0
ge2RT33sumwBvqbEE5I/db4H02I69i7P0l2A2oFMso6cKXvgU4DNtiZ4AJFo+3BsZXbh6QKKrMgs
vuiy/T2hglun9PuhofcIpBkHTz3wfiolFx/WYbiGWh/bh3vw0VKlkreKmdIvY30GPZGcAtX9ODbv
XXA2IF9OZpVgfddDIdn2pNM/lZ23c+z/3qrYHmbkAvSDlyExZa2XGIIHCW/fjXxYc9cSuxXH5r87
RGMQcTtQiU2pGvpV1exzMMi3Y0PvQnQFJFHxBJxUQqAbsUygDUUL2AzHRt9FqSBgnxpKMHEWfdZL
0OUsGD4dG3t/hoJAIA04KmVMGubOntqN5V2qannskE52ccpqIVKbKmzJNXhpNHkDZ+YPKOjb6v5u
1+xiVDXxiAszhq627GUOm/cV5YeeodgeVKTSrdLjspmSVpqUQUrml0i45hAUl+0BlSRZwnhpsBOr
0G/5ZsaSsoOILsZ3YarXKpjBajZlt4ApGi7JZXTiWHcYrIdfD//ZMGtZhiVHenxYNvKg4vVYDO1h
SpkTyrajMGVSiS5P/PaQmebYuxnbQ5Ey7JJwJdKUUb8802h8NOF8cN676DQNXie4C8Zy4unnJjIv
So6HLnGM74KzWpmWYmhNybEyIIELSI5sOj2WD/dwoZm2Y9D22Yh3m3osDJEvNsiOlaB7OH0Y4p4F
kYGxFA3Vbe7QqDjbMODHFmYPRWpBqPJLuyFusk0XqeX8g2pCf+yL7qFISxvzCmC4sfSZIUU0sSec
pMdez9kehmSDLoUoQI/t0mcMvLEu3eRU52kG3tehlB7vYhT42TAT4JGWQtQuKTo0z8ATZ+OxdwS2
hxtt0trUaGg5pMEkx2Jxg/5ps8QdvDTuAUeRJiFzWTCUpt6mkxa8zbFC8eXY6uzCNUmgggBdmqG0
ipMi5AB+Q2r/YH6MdxE7K7BIJkjFlBNLxJxHnkiIH62dyI/Nfnearo3hxq1Ym75u+7yZ9ccV4jvH
xt4fp6R3Okgs1r1LwcOfwuniVF/fHRp9jzda6EK3QYEJ3Fax/xz2lbiDI84gjy3MHnBEkSdj6EgM
ZdZV43RJbErBO696Ph78A7tjFY9xsu+GBStPoXFlTPqxBsP82J16DzlKIJABELAZyoTNr42YXpyc
X4+t+67qFdXmqFJiLJMu+9r10H2oGfsT+PVfKrA90GhEyzwNrIasi2nTrwkeFe6s1MvBLbML1TkM
1s1DoahEpGY5B/QlD7YgOR9bmF2omi3AG73C6PGyQcIhGu5l9ycUU3KLmd+UpmwXp2OzAl6XgnS8
cCmqHK/FLZJN0qyyEDoT8k4Pm3u1elJXOtGAl3Ndj/EbKG7J+Iz+32Res0TzO4l3yf6ulR2D1hSU
s6onsY4phM08a0fz0Y0ksKABj5381teQvSo4CkuQxWP02s/JYFd7UhG6ZJA3IPN6tWOQtiVJ1ppd
q751WxGF6Cb8FQDZu10i2k7JiSYrxoRcy+wvYsygHhQq4u1FE7L607RACevrmjBWPc+MB+33KYrH
sUw9yZbSrPi9p2H28bmFelxadAmJZMG3RNg7EfUie+RpB+JWOHryStLM5Qvh5jo0k/Fl2GfpdnFa
Ley0GCbi85I4hha2qhdWCDXoHvVslm1Fahqa5LpvTPTgOujiXBWNZlZ6rLYDa18uV+8D/WS6BeJ7
LFwWn7eVqfyrito+OVaF7NEvY9dAncRnfZmh2ZbHpH2svTjGWmF78EuInwZ9wqEvt36o9KkPXVuu
Y9gcrP7YLtvfVFq4tLQveVz3aFkFORE0O5Ys9zA1yqoNVbAaypprKOLJ1yppDi56+usNZMEz0qoI
5h3bqpwydV/F0bEsTHcpPgalfovQ/ipJlq15FWQyz1TUH1yTXVkGUQfKJV4cS0HaNl/l+JO35ljF
SndJvgU3d+mSsC/tZocn0L+au57O+lgeprfs/w+AWs2b0HaET6Uwkj0yFN/gFdj5y6E8THdZ3mix
LMsAIUeZCvvJpKPHSwTUow4u+26fR10T+YDio3Kh4/VMps5CACmI5Xg6NP891GvWo6sgNNeXeKj6
CZ2c+ziYjlEuGNlt9sFCBAo6jdCugJQKy+cJeh0FzVry89jcdzt+iUdPF0uGUo2ZT6E2OlK8saeE
HMNiMLLb9G7oVBSuAgUCnIJzm7j23DTNwQJhj/caEle1XuAIxxsNBDNsBBGNwIXlscXZbXsXgssc
N10PJqpS9xyCqzd1GsOP4fsZ2W38qe0EgEw9Mllnk/u6o+FX3Gm3Y61gsitvklWPXk+oV9HKWq9Q
JbVlEs7JwU2/q28IVTZrbgm+bbQoJgc9OjtrfSxm95CvyESrXXFPLgMonP6nBtr8P15bfQz5yfag
LwgAd23dSogS8WQJrjKDcm9YORf/4e3wX4hvbA/8Ah+0qriCYB6UUal5G2Sz9EWVdGQ4uakP3sAI
ewqCTLUnVHHQ7BIZLqOXGhpc/bGvv8eHgUgLXcEW9afbxjotAt1CgOImVaiOXaP3ADEeUo87yy0z
VXNUPUDKGNoJ27jNYXEo+vYQMR9aA0oqpJhh9dHIfHUtVMpayZaDNUq0C28+eW06qEuVmyWALXv7
Gej9H8cmvwttNettzqzvysF0U7EK+tPP8dGJ7yJbjB5SqDLRJWrbiyLynpDpWAvgvxzHf5z0OghC
4aAgUkJYaSpkwPDU4PyHY4uyO4nnWhkRuaWDfqtJz7YmEM+Mm4NH5R4n5hKYpXf4omVj1uC7bh39
YQIcN4fmvgeKQTmu61kX6RLlylOy+Ac1imOvGHucmFjxzshN35XTSur7SJkUQsS9O3aI7aFiDnrm
6SKpLqlMe5G3UMm7rxPb1cfCdA8YY9naUw7NtzKJu7YYs/ROsmg7dg7sIWNm6ISosqYrM1a7x8lo
ViRzu7z87296K45/c0e/6dr/s6zNnNwWB02wUnk2omoOJ5FB1i3q+zPHxag7VGPRPXYH8hxVNcxG
ld4k33FRf6eT+vP//gW3VPV/fwF09X/9BWwJ8TQIOhYYgn3VQibTLv9xFJJgx4bfLVCDWrmrq06V
2ZBW6O5M6RVCaPZQSFGIXf2y/D20xVdvMHkIlOKOH5Ehh+bDsXRA9/idjPtkiyc0OyI3R9upa/D4
W7Rd1y6HLovQAPh1+uniqgFlhCqhSrudUhGGzz3IU4dyJRrQv46+8QY3cjcGJxGJtb9vwyh8IgT6
7odmz/bAxnTjVcqp6MvQ0nnIsYvaW74Ps/5YgXizgPpncOmgmcYla5AwY/Jq5/ADFBwPbRwW7lYe
kiTzTbqyBw89hk6rwfuSt1F3cNPvVr5DhgwkoKrnKDHVh2ULhteujo9R7CD19uuyqKaLbEgmdSsM
0pdB07icmzg9tOh0D3Ac0PIKK30L2Bqtsn5MXwImmoMLs7vK2W3uNrs1CrAV6IoVYMSOX7zK+uUP
4/+3WfGbbLYHlnFGycq5RTbjNtbvxyjq7F0jl9FccBGz5AItPQ6hzlit/WOw4VbwCDXaUX+Bkyi7
WE78NWHBBr1dX1nIH2yBlO91F6+k0OO4NYUXdeW/9xXUei/dgDMXfh3t+oNqxh6WoZ3vt6ZeLrSy
ENz2EKmo81A3zL/VkMpuX+RNSOKta1Jo2eLCBhnlUBtX1CGQn08tJKj9Cf96at5RUvXLj0MpeC8b
BlzjSG6E5LOoovZpyWT2SBoijh2wdA+J6wMZ9+iOypKs4X84GV+ySDwfm/nt1P1HKYm75qYD7mRJ
PXC2irAr6ac/KV3c9tzvtsru4LM20MJPqyxHaPLSq5m8ctAZB+rh5HBDEFeecYi1Hvslu2MwGjN4
ci6xLIMh4Gcmnbr4QYmPx0Ynv65TvVUWd0QqYXXA6lNQ+c8wO/nTOt0W+3frtMvCUSgaK42VJVe2
eQWqmr1Pa7F+W9so+ENz8N/+xC4bh1WWCDKM8jytVPITpKvN2OSLQbP92jgw2v5wqf6XT75HzQGe
ICCcrcRZNLOUFxuvEdBhgTo32qekAKL7WFeJ7kF0AqK4GgYKWLSOBAC68c9IRAdrqmTXcQsgOIJG
QCfLCM9xM3WXmUYf/vdO+pcvsQfRJRRYTg8O7kmKMZmvmZriS59mePfnYlHhIXQBTW5//R9xHWNs
DtOVADIdUPoD1138lY3JMWor3Wt1wZJgbJrNtGWSwNwFmOsUIsXRscsK3Ut1LQ1akdRGddmwlF2G
ZdOnNGsO3ePgb/LrwoR8iJRKVHWKluY+rGjOen5wzXdhvNFQTf2Mob1n0PQeL7ohh+6H9L8PmP/4
nBuUypopk9VJNuQhiQO4WBzr4tE9hg6wwpsQblOdhtaN9+00zWUQ09f/vdlvmf43mW0PoavipF42
GmCzR2I6D4OBWH+m2OXY6LsoDTNpqjgMmjJppuEBqNfPI8wmDg5+y3D/WHLBExEsxDal2oi62Gzu
7sJRHYOi0j2MLthWvBtq05RN246noU4fg8RM52Prsjt31zYc7UT77DRr1qwXQtzHwUh5rKkIk/Ff
V6aG1veoWJedumV8kqovW9MfO8T3ULqtXlehBQopNcPlorNdWHgV/yHz/ttm3MXnAnS+B8MPQTQt
PTTaTTFwKAofW/PdAesh0jMt89CAtQRl/U4M/ZhXpsuOAdIgSP3romd6A+dCxhmIVr0neQprnYd+
hbFbcWj+ezSd5R2sxEaanbTzePZ8AQrgDyvz31btb5LAHkvHuI8gTiXqMtoCujyEjY5BMBIQ23yD
UlJfNnHmYTAApf34zNFdc8U4y3iBhOXAt8tosxAWDUMkyDedxGQpq5Q2yaEOPGW7c1JlM/U0jadz
k6zmElczRH8Deexdje6BN9QR6pWcpzN1ugbKYn4DpXL9w7r+y3beC/xYN0ImJ9mm85bAWFCG0sCM
62B+YuTX7RZLeIzRcZngjQGJBjdvP0NTH+MP0T3sJvCwYasUtWcBxDw8N+q6CAnoW4d28h4y4QF9
rpoFyTQZyPdJ01cNF7Bja75HTNQaN/Z+YPbchCbM14FU56oCdObQzPeQ0DWAWQIW4tZOMrO4NjRM
7bme5NSdjv2B3W7vGhhDpVGdnFZTc5yWW2u7oo55RH8c+wO7k8fM0vqlGuzZ9jV8HFPmTkPGDj17
0L0IHe4PMR2otufoJkLn4hGyASw5BPaH7fmvG35IFjZVMwZfLJS+1cRG2G+RY4BTGu+OHlbDN6ux
nT2TNhoKKqM2R8f2+7FF3x09PaxE4H9ZzeeFwOoiDQKwCVcWHquD9ohQAeBzyAI6n3vAvPJeGvGk
Ejp/OjT3PSCUuWGgER/nc5DhCY5JOCg2W3xsYfYCdI1xUQ9UwHyGoil57vQqv/PQJ8dq8j0a1Me1
G2cY0MKPjKsCOueQJ2LVnyR4biH5m0Nzr/Kl4JZDZE/TC69UvDzXVjf6snGizIWZAafgofXfg6mq
hVYsapHQYpIGMGWJRQEjxGNgKrrX+xrqKplnjtGF6JoTbBAB/+i3v49NfZfMZIsvADyjOQ/rsBWw
ymxPk66O5Zo9mCobWDjrODbnRdrlouuU5FAY9seSzR5MtWnKuTfOnOfaq0s0yY8+auODn3SXyXyt
me/R6zkPaZ3ASXFtC0BSj8H+8ar/a57ski2Zk7QazoEOTAFv0C6nw3ZMuQkM6F9HrxhTJoLB5LmZ
xxomaVoVKaTljx1/ewyYjTa0nI1IL23b+TcfDuunNuz+pPV+O+N+E7F7FFhFnYsswMrn2ETgo9xy
/ECiP/UI/2303V0XDjdoV29ZdmEBWudL8KNX3duhQNqjv2REIphpjskFOl+VyhcPgN8My82/jg2/
i9NI9bT3ocku8aA7YFjbldePPFJdeixW93Jfw5RaFE5DdsmmCO6o5B7udccOvz34C0Jc47wRDK0Z
SuEbHqI7Bkike+QXDBQaGHvBONnfpI+ki1gB81mXH1v0XZi2oapnv/XsBBWuu84MzyE/piZI97Cv
MAaoiGq4V3LAH9oueGSwkz006/8D+YKMUG1oByN2bnVUskGBd107bT8eG3/3rtcNEYwIbZ9cGOzM
oXHOJnZ/o+r9SU/wFoy/SQF7PFcTyIHB6o5fNPyj7+ZqWfTTlIRCnMFTTaorPIBd/W721f/H5fq/
t4Pf/dFdoyrZSNUtLZwpa7gkdmsBU0dFYGgsEXXqUlerVPnYa/jJ5B0dcbav7Wa65Nqrgdf6got1
K3WuvFy2a11tQfWNwn16KLsQkFaZ03bzzuW48Azjo+RROrxbpspF/LoGLBllbrwSQZOHNGuoyM2c
DLgU9RyfDu6dsJv/NphaW/jeyqTRV+ol5J5PGy70iTht4+JMITfarq+QkHNLk8cSHjyQ+d6adery
KLMB3IyzDdrt8i4aJIc2vUbPctY5eAXKYoJT0ncfB6JRO7ZJm/7Ug8Z/NnZkC9wQGSRMLVZIFjAC
Jk3pN7vCdUmGdOq+9WjaJjZfTRTCxy9Ouai/dA2T2Q8tLJx4QOT0vbkZCzbt9tcNpHc3eL2teQfR
qKlwrpkieUpAnKzOHk82MBck1ToVVYqdlhULd1us4XPq4/AhSheeXZrYwhS3r0f4l0PGvysSPiz8
XRvaJj2FDXW0qBPYG3drqtNTqiGAm6+j4GMH/Gbb1+I0Z7hiJQU6JKvoMbOxM0mewoIQvJGlKSuW
oGxELuHa3uNr9XWTmxSVHRzvAqVPVnfk6zhrfnKbX5MftvEbvQymj+WTNyTln+qRJMkTnStKH31V
p1aclAdHhV0yZyMoInieWPUODI0U32tomgGTE6HPhL2EUDVGNabD3su7jdPVfR9T3fQwP1zQDL4m
YCBlb9GarNNWqI7BSUykwU0GUlnVuQAsFg/QFhR0ErvY84Zv2fdXEqORRq5cdmmdSy7hNi/rruj5
6uBYX8dbMC23ynKZHkI7ybMzyFFPvBe2fVtXIm7GrLYn9tLSeFqLXtSMQCW23tQJPY46/ZLOtOsf
stWjCVTHoV1N7oYZzfw8S+OEoIKaZ0ppkcWUti+RTA2/QGBFrg8dcRG62uEMbTWPZ+Z5EeBuhdsE
k0xdc4ishcp+JyoAZ8YsCRtek1hH6amuYPb4HX2QVCFoNOuX0wSP4elJ2lDwN8CzRn1ptwQ0oawP
+/jexwGRj1HtpP+76VRvwZgxQc+eRgRtfe6GeiPXQUft+LkOdBoSpDcpeJwnmmXDUzjPMvrO2qpK
t7wSmRalc8sS34emYf1f8OSE7Tg070Ow0YWjUQZp55irH9Xs4OuZw7sz/R5TuKh/Brvc1wVel3B2
gSrRb++A6ptS/M+wRv3Rt2bxVw0r0u1N+jCKiqFGJP1oGbb5nZDEP81ZKC4hGdP2fWpsws9h2gz1
hxGe0f7ZgSNBYMxIoBsAh3QoEcNO3s1d91Pi5aZ+aPlItxL26aoqR5JF5sGOGUzcW0YZ+ZJywrK/
IyerJ1DIg3s8I/kfYIdo2DLG4iQgEBSc1san7h4mD4u/g3gQ/UtlDYPZqQLT8SXZatU9RaJqoqvr
G7udg7Fu17tsMyEvE77K8HPIK1l9qMdMDMWwzQE0Edswm8BD0RxGfoufYJ09hX4Or3Tgg/oIZ42q
f2/jLKkvYS3hGT+v7YLc6eLU1BfgpyPzbswW/kNBEwB24ujSuPf1GsL3t6r71Z153M9GnEK8Vi0P
soXA8aUSdgBDJUgW8VanU8auehgGns9VYPj3us7aoRDdJOc2T7uoCmEOxOh6nZSG/ebsSBic5qkj
Ud4p74YvdM4wg1Mcighyhitm0QRiMjBgDabu3N0keXII2nn5NDoQ087xYNxXEm7wKg1wvYMuJ6wg
+DuUS+I/FUI4KVpVE11w7eL+MyyR4xgCR1pD8iyn0vvmCnNl4942+NOZKq/HOVmR7/3g+j5vZxzT
LkfHe5l+OLvQ+BM8MgwOBAm1muyDwii3DznM1pxh4oiXznPniI5zcD+7uFRZlMnzAt9iteUimlP/
4NZJoIO5wvopu4MdPWpEMNnq+jrBBi3IvWma4JXH0pBTzbgNThMcRmEDv3nffjKhp+3dMnuXlVb3
QXUaHam2Rwp3recwmtrmFV1kssm8UWrOLlCNF/N9JnGDedrQhUgvTDY47+aqikfgvFm9PmoRtrLo
vYnmgg0mCcBbMFPVOLDn/BR9mEOpQcbo2Dw/N2uYkLseT8btUw+lu2bMl43B4Qa64vnoTBZdI5pN
8/t4GoPuG2nWVD1yRSfssa7Wqv6bqtRjJ2hItk3nXqTNcsEvW9tzrCWbPnK51NX9JJqWXkGi5eqd
NQSmWGekI8VP8DKi1X88pJKhaT7VbXw39Y0QwDaDxIQ9kkJH6b5u5224G1pNgRkmwBCH52mA62G+
zFtHXvE3009wVJ7Xrwqi8eCkZ6TuWTFCflEUAfJTBTPxYX1tCZ/pXZoN4LrEXQewKmxU06DYBjvD
883ASBoEkiWJCjwopPUzphvH71e3wZg16AjDy1FTycC+wY+27+4B3a09qqLOrz9wakydhEZqGEYv
t5caGha0HhP/zocZg4O80X6rrmmLTw+hWQ5HsEeHhDy+h/vFZK7hXGfz3TrzDDbPSAY1NAEElnGa
8jlDlIfQqxPeimJs4Cz+QrNVZTmcxlJ+SZhGfsslda15H85ROn7zZhpYC8/nZY2vG6Ph+sSw++u/
2mmFRwx+JO2r9xKtcfchlVjEe09as546auP5Dud/MAgsLtHL2fkkcQLF09x7fEwjlsviZKA/JtE2
6+cFa7bcjy0QeO9buK43BWvrfvprHRISf9EELt86h0LYzU05UlSJvztopobPUK1n2bceyivy66hG
SXC/giAiLXRL2uROJ/O0oX6rw5T3+RjYDUehWnF8oNqDZCwP4iU5TRBp6GFkLZPgO1TlN1aEONTb
q7ejfEss9vcZPsCKF83q8f6ik459jglwEQXd0qotcBdlCSwL+8SWRCUxX2CmG+rxaajHGpTjCPKd
lyFrVf+O6sEFKudgYH1r+3FeL3HUsOV91IUG+rt4Z83eWNq5+rIoOOU8j6Smf6UTXF5OE6vQCkib
YOZPWzdUySU0rSPv8f5Euw9KJpN/iNpu7JEwGWIDsHgA1dJSQkTVvKu0yoa1SBkTzxuQL0Gx8kYv
HybvRhCiwXuFmzBkDCtZJHDwHt7LCT2mvNZCjWe6gVerLqCoRee0ol13MmFF8CWaWkXvmB1uTq58
uhU/KdC+tSiydInJSdsxjGwu/bp9blMF1aTcaxD/3gaQ2+gnMfH+0XQWFVdRizYoohaqcFuB7L7k
ieN0/kwsZA/uBHcDzvtkDVGmUxB4hznfKAvma4MphC+27+akIDEfT3KrbVfKFaH+JQ6NWy4kkSqC
M4mB5FnEGpqeqAISM59o5C8ZDiM35yau2gku3qzOukJznahHOVXb+3S7GaB64+nDlKY3E3U42Kw4
RlFynIxnSPtOLYG4St7F85tVVbR86IyNCrSlR/J1U5VbisrV7A7lGmwtJVg0PV7dcrO29V09DxDW
YOBV47ClhfdzNsCfPEDtC/ducidQD3x2OoFJPKSUdM6zdpyKOiJcQLN1IHnfs5bfp05sfzOwf9p3
BKGjS99OPns3BsQ8hw4Sr7gC0flR8JR41E4RM89LMABJPq9JwUEjf4cWOsjacBelUCMHk/fdZlLy
sXeBOEvScplrvc4Pi1TZe+GgoH+S2MZFvFpXkLpq7hhj2aPlYrsX0aq+wja9fc2oMkUT8hcVG/0x
brMuy0U4TICdWCXlmK9hk7kpF6h2t8sGe7ftji9EfOLROtzP7ZZmJ2xnXmhv/XrpTBvfb4Avso8u
SJNXoRxQCycyd0lwV+lkcSqvsHNT0OS3Ovy7matt/hjHnMPVu9FrCihntLjt1Nz0AK5qWz1kU1IT
bQOcdcdxIrjHNLRvT4IvUXC/RAyEZtCnXXhv4HWePU3BOs2XBTz/8JPn8FQvso0t84NlQyy+onLV
4zmeSUDuhmZo2GO7LgpurKJbVO6iwaSfqFVD+H6klg5nyDRsHSQJJl5f+2DJ1JeghpdwW8Qb3L5P
4dTWc27jBqVoNtukKYxCjeLyigaUqnyLN9v8WNOYjo/LCvv57zClciiH6jmNsbsVYise8haEofYM
FZ2KlCZVTfuyRrj7n/uOUX2ZE+SdE240IrmON/jdeUw0oe9BqmnjB+BnaXSKsjXOrhFoU+vPBvwA
/d5OczqExZaJpb6fxomGPIegSIoXKd8Stb3gapwQ3IIB2fQP06Qm5IW6S1z0btAIyVeJy6r7ImOZ
XVmPVwk6aZd8iSYqg68ab1q4Jq99DJdCNKHrArsDxVJe2QXZfTJ2PS1amPQzB6d//pQ65Pa/pmnM
SHuKkzHAeVV1cbC8cufbVeQBIQnN57kyusgqqsjT5NN1+8lA91d/mwZstnPawurvw6bqNYPgQNyb
Z3g8x3I9dwvUXcusCUj/zBFlyIghNWOK9FSvCZqFdQf6/l1Lw9rdUVnLUJ+YNygBcsU5F5CB73H/
QMXXjsW2DLdaBDYus3tpZ2OEKzMppPmkpqBfLn0bzNl1mjIb44v5zJnTSNS6fJVZDC4Sr2U2fZ2d
HJfLIEIdFJm00UMziooXI94e58etbZnAJ0kakAEndNkLMywjitKRQ07mk/VQyYUQwFg99oKMpavW
9MNIyTajOoi9H95vSqncwE8zBylMWAp/sbTtL5tL460QsCC1V08nXNDqzCb5NLs+GPLZzm56SSKX
1D8XWJukZy/DsD5xdztXczHBY+KuQpn92ECaC7uORvr/cfalzXXjZrp/JdWfB7kkARDE1HSqhjyr
dkuyFn9haTN3EgRBAOSvv8+RcydpTzp9qytd6XLLPpbOIcH3fVZ6ltfoND1XxTI8ygRvwoYaw8I2
DSqwzA9Tu9YEU+oSkL1fcV3vMQeE4szgEVC/OEerPVaAUD4PiDgXZcZlEVS3yvKyRCR02MXVnOIi
4zRLcKou2OYIjHOrKMPqKqldsGYaN/zXJuTdts2ruMetls9nQwAE4xJ4BeU3Se/j5sxZLV+BxDxh
9DBRjEqVGBLwAR0x0W0fFfk35FnU1abocChWtW4ujQkwma0IGHHHViRlptYFhSNQ0AeHSmjaXo6G
Tu2lzufpfFZqqF/Q4Gw+yNhM08bPBB8j8+KhmdmJ3GkSPNs9cw8xZgmzKdYRszp0TcanrRPdDmZl
Gae1cgVmA8gWLMruEg+8FifhBHzH1FcOgn5UJCYnpAfGb/3QYBhLIw4F+hFQupwu6JiM5IYKiPgg
ChJ9YY82LgrT4kOZl2CCozuvq60PaFKLbZ3E1ZdiRDf8NoRRYPzubdTYjJRArr4h7gANsponE9v2
ZbREuDSr6E5X2Ef2S19PaVTjAFWpnTVa7IpoLt8S3k3RA3VzabOlm0JsO4K11qe1TVryXFVh/pqc
RpND4uEy/7rE6sM0rWEYd+UYYpjtWDMfJDpBkkzGuvsYOG7ZNEFlR4ZakIBtW8mST/CvoSvehCXZ
It8yZ1hlUKq+85Fw4kkVRMJ/XMkcyCCRHZKRJoUojg2Gks6d8XgY3trW0xDnHCvr/gFJbbLOIl06
eqgNW96xOhfruW6j/KMr21VyFHQvNrroSsfGryQPYv4RojKDv2O1LIGM1AW/kINucHYE5ZJFRTi6
Gy1zoWA1ArfEirgIbioSx0CzMXoE59whUHQnrY6jjTdrQLc2tpNN2272d8hEDtmj0tJ+IYRNj0ku
wq+g2826H3L4LQ5kwGLs287bbcwSBPqutVWPeM+b8z5sIGuLazRkI+OEDcehlHLMuOo7lyqSN09w
6vp05PDJKMVcfK69Ijcidv4ylmuZ7IYcESPbli9+P6JWYh+qNjgy9BjjzOvp9FDKgi/XqhjgHrYW
eT8pH+fc3LkZEa/fkMGB5WxaHCufAA1TkcZ2wfsQubrGsSBpSAdMHAL+4yQwX0sfY0ikgBKKAlNG
zQniYcVKNhoyeL7lSQHcxKH/HD0lQq/VPlKBekD8et3cRskAE7hHA8NthW8kpZUN1Zzh2F6MSzWw
MXqtmlKwjCp8O1+HIXfDrh7zuswiJpR7PWldj0Pfdt25F2Jt8Xc0ZLptQubaa1oIh4FtqeguSRQZ
DpBQCvcFUHS/xTHR9zvNeT1totK2IeRyaG7dDi7AIYIcmDN8FoAjcsUHhXXbQbRsl8XcTqSsbdbz
OWzPCLHdukf82PpOOGqT0hbVkOfFOnjcPnmCt6NxwbaRbM7G0bgzOoQYOMuqP19UyW+hXh7hEEC+
I3AOBDVQJvInskJOvkvgkFm+AmfyFg+iKQjfTaKLSKADp1kBD0ztrPpjD4ai+lau49Rl+KRgeE+a
EpM5TszWdlk55gr55QgvkpeISEtEJl2s5qMf2Ii6evRmo7s0t3FSpYQj9nDnJD3dhKS2RYF2xREb
Ew6fZlOvk3RHA1OGTKPBmxa3MfiujxnPzvyotAmKjUWidgAlZhex8GFgmNA21kldZoLZGF4fEy/N
QxUj6WUTIG++emoBaLC06+ey/Br4FadHQUgcnsUi7HjWyaiNNgPQMJsNvQW0lcKX54tNDR9XcM3U
qJMvKASpbLogBVpt5yXnQ7pEK8MEI1Vo3ohGq0LKYfWQX9BlY8W+XJQTbzF+KPc4YUCNL/gUtiJj
rWiim7ZwAUKTFZaCspq67naBgb/ZRfUUdEvKYba3ADDLfi2wqBtADrioPYZC9JrnI8qo5ZRflkNQ
rceQBb6/lAo4bRor6pCXrkr9EXBalVfRmveQguRB0x/mxJLoBhY1EeOe0nR14H/6Re3Q3+j0DuIi
1WVgVfj82rtuIihIXE1yJC3glKeg7U6fUIzFZxNqqWr4/rCAdVcz8MMmg7/CTHOKzKEwOg/iiGO5
5Ib0hwo6C/vqokVOmzyOc7N3OK/dRnOlmm1LaTJuIjTSmCYddbeUO2yDrTzPGeLXIL5sT/VgaEsb
NnVZSX+Wm0AkGXwiheQbJDEEuKGqvAOfDSp0KM5i6+mKmcUodgBIMICtHzHbpcBhwyaFN2+tNyMu
g3bH/ByOH6LiTUuwO4TM0LSgCDH5rpquhZ+rAUNm8DDtMCeyjLRa7uNIRYs/NmFCkwdkRnfmwmG1
9wo/eMVqhhnE0+Gai6r1jwQ/jSRpGRo6zLtTmjUWUpusll3Npw36PCdD4zF8QS+LgKklL4rrpQsn
LCt6pjFucNYAsxIZuBaObTWYOtm/VQu2a8ipFtEFH9pYMmIYEBwL02Bgt7Voqxn02SSHObnmODwK
jIpJvb43JdiIb3XthmbHCtYTh3dX0R5lybGuvjCM+7iXIykY3ymMRuNHqRh3SWpCibRmJ9ic3IfA
5yrUvwD/N69Ss7l5UGQeyM1QgPD5Yk+LKhILlqSNMmFH5BrDNqd0eyw78F64SJiiOy2w+MRb9CjO
4zlMqQV32QoOacCmW2lRiU3AY5OcOwUm6QLTdRJfYCxi013f1o0+EwV1w5HMKDP/RoMgD7L4NLPt
5qEjc9qKyJGLIUDA0xcyT3OFMw4x9JnEZNxvl7lL9FU1GRhdOh4Ie7+2UJFlSTCB5Klo2yNiRhfE
vCXxpPJ76iYc/j36DWq7npEV/doYWZFr2B6dKuiCeQod1FkovJkPy9BLetBA2d2+beI1eACqyPlZ
1YAJzFTQQQCwhXUz0MkG1+YKbOuEqJHdqKNozmjc1STFPXcZq2lh4Bo54jF2QQhp9birSAi+J+5B
8Sxpi4q1JF1Gr/hGl4Kzg/GzXA+KeRL0iHSL3CyB6RXoShtmGdYXPNTT9MAnpKp/iILN3QUG20rs
Wl7O8s45UDObtkjqAu5EiFNvqr5v4/O8aPvmziV4Y86XKGmms2BGpc6lxfcaoXJ8WflNPYuuOPO1
ls1XLHpVbrNgxrQ8buoh6QBbM2S0VUE242ZWJEP2R7yoDXhAkchdA2nwKcJYPCPBMJjCTEoEYHbb
DlTQNB8xgGm8sUbUSt/gOd0DeIYYB1QaZje53FG87TBXSV4261ewJ7nfWdzJO7mu4gJLdEzOI5JL
DHZxgPS66ETjJdE+qONY7ZtajPxibQeYXMNoGcyzq2aJ0IpmRnTIzhTKL2UaupgLcJwRRFfBOCU2
iwFsTN86i8j6mwGxC1O0O0W9hsA0PEf7eqJXaetMds41m6XTp0Y5M8VXXOesPzKYy91h7NVMN4Vd
VH8RTcipAUQagG8dFi3mXQUQP0zJFIZkB47SVJs2KSTWTjVOChMS7Sr64gVq3s/ztaj9LSIZmAH2
XuZ6fac9p8WraoagPQYUVsdjANR3vIRBW5v7FpHUmG16zvxFyMi0fF9GXquLZSnIBIDPR0m2Sowj
KfDlGdxKNU0Q+42GXc5BN7nMLCgOPWp8C/VmXqOoyaCNj8GZM3ZSNNpkJyEmvWotmoG/Bq4ppktt
1rA/E6i9W0+ftsjhdZBmQXX7JFj9CpiP0E3NE6ImhLVin8mmHld7t8Vk3eABiYP0tOY7rdy1JNrS
bCEk1LhZklHDLqH46R2UCnAVJgnN5fUkbEvg7K5E9T6fno/vYoZTHfEGvDiOg1zCNMB5195RrSOD
e6/g3WhSlUww+gNiQlGUKIMq2NCIE8hraDHmV1EpjNvhGEUWom37yn6Y2it/Mayi44/azzHD8jLW
89myiNU/JqJT9vqU4UgPUzfnaYewmzHFNFqcwHLlLZ65IDBvkmWR4mwq4TS4AlHSIYMBs/EKaGts
gFpxFFcybl5gXB2TFMaiyG19rBqgdnosbyGTCDERWZQy39ZQNuK5iI4NZDdKm+TyQahAQtzbB+Cz
7L7P9TiYtILfj6VDAh0BzcB96/kDQFIB8BaATWBegFasFUljg/G1TjlOWQMMsR3g9kgRUo+9c+dh
D0U5UO9ZXD7DYb3MOp0dSmzGfWcNr+rMjcgPxxwaxJ6HG01LSDk2/zFpg3hewpM9mCpqsgCKoCkl
iRnzDEHJ9CvFnybn1pWFOsryhP0WWL+9Op2ZLL8eoklvgRasM3StJCfH/8hnH/hlYu0BQd3eb4K4
HuZ0XUp+DcKqnzdxDvP3n1Mw/ZwsFC+s74Z+areBfKrZfWz/nKTr50Ah3lILugavS6vbBKBFxf+k
hebn0rkBgYcyr4TY4TEZAESSNriccFpPf+Dh/Z3AKlAGv1VHAgqLDBRpYCYI7r+xHCpz3jkyIEZw
0gqAU2Rr1AIIOUY3fgJ0iwWrJkE2EI/P6d9LqE6qon+lNvpJWFaAovEV0WI3oM203VTwEVxCPDhm
mNdAP4KLS47//m/6PTHVT1pQPU641KAp3iEQYBR3ZhnyeaMKzLkbhycT0kmRSNJiKvVL/wfv8O+I
LH9OJ6qhD8PTJOK7OEEnh0HszHYE1vwHP9DvvfpP6jOFRr9JlJJDOdK9Njp8cInK/5x1JPhJHoox
fexUkfPdgtqPtNTLsZpb+idf/CeFmQlD0w9zzHfAoLcgUqs0D4E8/vuP+ffelZ/kobm3leGyindF
QCY8022ehiWe/n/u1U9/6z+5OKNGUaiD8L5Ea4dsXiPRMrkOd//+xX/nCv05mijWYeeUr3G5lEJG
7xMwJZcF8RKhVyiJOpWqGWrsA3wlXP2pej76cyJMmRROIEaI71CHyh/ZqKerOgS8+u9/oM/D9V/c
3T/nwYh6oYCFCrbrElkCgZb94kCu4H8fS2jiB4bJG/+lZ2Ef7ytV39drdR/iSuOHfKrmErtKUW7R
zvjuLUV1c2oERrIf393/efP/WXwMNz++j+lv/4Vfvw0Ky35Rmp9++bf7ocM//3X6M//ze377J/62
/xiuXrqP6eff9Js/g9f9+9+7eTEvv/nFFnO5Wb7MH3q5/Zjm1ny+Pr7D0+/8//3iXz4+X+V+UR+/
/vLy3lX9BkuPrt7ML3//0vH911+gLgzC+OSO/p9W2dNf8vffcfopfv3lv/Xcv7yVL+1fbvTL+8dU
/usX+HiZzK+/SPFXFvJIBgnmphCqNBzT7uPzK+FfOZMoA+RhiKTvUzBAjxLU8tdfIvlXBqkMfncU
QewgIlzm0zB/fin+a8wDPA3xciKmMVzz/+/N+M3H9Y+P7y/93N0MVW+mX3/58aD6x+UlgPmiaJDH
jNEogn4u/OkhMhbI1a6Azx0huinqA2qxm2uB0cZsEOtiltT7ua0PXYvhPRWQj2KOSvp53AyijI4k
YfU2DiN9XMuex5dh0Pg5tb7C/090qp7XSskxLcBCabgUdHG2DhBe9lxHQM5dQIurgfMOWhG2qOe4
Dcp+M4QViqLXPizitCm6KdkiXFg8TA63QmgwqaWJsluInSKNb4W9gnRomm2OSDhMVGDH2w3IimTF
ei0d0lnmujr4AUK4DIktS3QYsbUhk25FoyuxvU1uaDTinGMKk3S28LC47APKviARGFIyEFCCpWAE
FQR5ZJxOtXBd8L2soKncjkUizYYxwm4R+sWQIZR3xdPI2mjeI9dqeaMxMTcK6jg0jgN+yRJwF3NK
NbMvJZbgIz+xAWmn4uqZkXg6YFdKYKYbguCLdzGCWbooPp4O/BQ6bMSZJzUyhVMauhx8YbQ8ha5A
6G+/RrlJowCjR5SIuc7oqpsY6E4ND6+aBL2MutBdOr+Sc9q1Yj+urFqvaAUh8B2ksxCIaLaMxQ7S
RCofrenHI9S1UwgIEub1bO1PBBpM8mRo0xaYR3UE4MGD6+T0vjRbBOJOclejEiW5n8olaKGD1WAm
Y6WeIhCd22mxpzerPOL67jOIUt0WL8POkc42HpIGyp/r0KPwAWqT0obXhUgKmxKsHVntYMgP835M
2Rz4W1MF31Fhsmx7bEiZm6IcdPIMOkblsASNYbQD0bQARM7XKylO4mRa8XRZmdlVTbj0acE9hG+Q
WLANBat3Z6UHpEGwKeAgl2eknbstyO27qU6KK9rax0jROoPg4ULj+sgSyd/Drjv2Vh+dL/o9aRHj
xycZZada0i1dTX9ZICsViJxgtx1V5AjovslqikbOdgQk3LEuTOWgzuZ4vCgLwjKQyU265sklC4Pp
ErAHNC22Gy9aNJHgU2XlO4IlW0Ql990jns79laUNP8wWwAjW4wXsTYksfjsV102ixJZCrHcrNBuQ
5A7xM2v4ul2lCKBOLIP8a9H6u8aoMYUwpjguMwzmoxD6DPJzmlYShnzhKaDBoX4dwpreQWLT7Aqw
ZCCXovxkgGNb1sOVGaIAMrW5zKrQzJdjG6+g00q4w+uFz/dtqW6s0nvrg9WBb4QtV4Pkv87Ldso4
WmF1xiu6OREsA4/2dtRZsdhbFpxYUUHu+l59zHN1AyuGQSdFCNDUGJOBUxPXxuAug1B53pT4Sjr6
pn9iwKNxGNF7BhCCIkYp5V3+3iK3JJx7eUPWFbhhXeFKH9S5gmT6BHEAXZRkOHHA30UPbUNXBtkI
HcjVydkKYWCzEgxXRbq2gAQwz6F8igI2pciw38HPMV3UJRFpP4G86oBTZ06IKkW95vpE8H3D2JSv
27JlqNyhtbtMyiYKYGiHJoAPd7HJ67OWdyAMghbCHafFNmGebRvq+y96qsAqCKiRkYqwXiHQAArj
pfP8AHUGTRtLLBa8Gg2hGWM9YIh2JDaFTml5qGoDjJ7m7krKRm1jgE1bWXL+hpSh72qkdBPMCLT0
cU53Zejk1kAolEFy2N1wucQp0N/ozLe0eR0UWJIAlen44R3vb9iJgwAsnhxwJeAkNCSYtnwZk0cn
o+JdNdb9UXBa/Okj/s3TCWs2YsyASgagm+TP3r9hwLJfl0F5TCJEOmzy0J0EQ9WwXE99R7+6wTCc
cUPVbABzrF3aa9vf9yNZtrDIh+8z6hjqiwUdHuG2Ae9/IFGcBymULrHJhgShySkYCaGg88+TcYuI
kS4AfRyWRw7Q1F17MHoaRtvVgQGlze0igh6KFCiVLT9X0C5fruvc3JRJiSNqVDmaH2qK/R4la9Mr
oRGJwWrEjwANh8z28FakAkHqPA1GvDro59hdyryZjs6JBWkVdX++FsTv2rKFZBzL8QEsoDyTSN2E
2gwp7EBhQeLI3DzImijIDoD3aORK43u0kCAZzCHg33m9Ex7PLZMgDGhgq8piJ9flkMQQqXephRy0
3YswiiEDArV2AA3IuwvBqmQrdQw0abbkAzWiy9k0IYWsLYYRIgIWkNumgR/QD4aj+nuiNxMti7vR
LSjB080O5gOgNv0616mtw+G6k2CZkpkAkzcxf+yJohsL6iMz7ah2pekBHgaL2SqgITtaJHclT+Cs
4N+ghTi30rwMJtzPJYTVkMKzK1W/WqtvJQmTiyEsw4yTVW+Sup5uywCR0CCwdi3mjayfgxHnCoCS
Qw8rx0s48mjbtcCpZmHPwM/cAimurkq0i6cSyOwNRJgHwXJ+xGOlyQITtw9aqCFPJ0iOjquYY4iQ
1GS32OoIFHG6f6oXP22CSL16V/JMa+h/+Sr7Q4hr83oUY4hOGv4mwNLdwl+iv4Pxn68mw6diB5ns
RKDV4Ij7SuYQKpbeFrJ/bxemnloWAx6APFMyRLhafqVWZSMcypz7R7n6EAhXF6iXJYqbZ5PDXnrH
cxL1+P4EPPhQuI3PIS3Kq0QZelWVffzqgI+lDfQsFBkPlLzaspkqKP+sy/rQ8L0k4GNFiTLqqKvj
O0pBBEA7BCg9kt1dBAtyuRVFs+55i1WwHWd+iTYUfTkDZIfgr+qLb7xLituAAS5ta5w34+jwnJ9d
sQE4WG3jmCT3I1wUKSSJ8Qum2kbgceKL8OAQ43NWIbUzwqcZlkGKQOnm1vWjcxkIZVptA90AR2/a
DpkUcEc7RGzg6hl3jQc4VuDEUqnXUK9m0DAWV50pJN5OSLpSoJHrNuzJeLsMdfeIRwv7mId4PmD0
MhGOSMidqRqhfGjqCILbZO4PaoG15cxDHO23sNf0DzGvm8tmaejVwKAgLWopnxDnE95XHTtRGHlx
u5IGIw8NdH/3KaINUaOSJWOFR9PKkCEWJ86elyPjoB+TSVyUTWv7TMsRASv5MG0jHT0DEa+QMRy6
Og2Wpn5uwVI8Lbn7btUMzCgMrT2EQb+LoDbDicXhT24gFv2m6aLLNPfzWKaQpHYvU1DaO4gR2FPu
YWbCJ4oECMiSQDYC/oTHAsE79NvajAB5aU2eoV6vb6E5kS8QK/r7kPn+oo4pRXp4j7bY0xTOD6wO
bLtl6LQpfuh7K7rGbwB+6wOIMAPNrF8jv+VzM+O5Ci26y5g3y7cg0eTKBYjsTFE4g6YU5DI251Ct
jdDRCrcJ1si+IxFyrXDPTcnjD2EwTKOEng9NhDKwKgqKpwgAaw7S2CNoQhGt4arAw+I50bq7A1fX
HEHOUMhHxiL7Z/UwZFJA0Z2V0xkOvWneBIv17WbIUcGUcu+ib0aopTlAcFS+LvUQ5VmXt/ZSQUeY
jlHe6fSH0DjBjB3A7VacQ0dZqR3IZvGONTm8AGM4Q2kf6WYvaLQ+GF3C7BeacDrwwpOv/cTLGwP6
6nXwobk7KS9Sf7oksTw1qKXQkBW6rBsQRwFZJq6RTBd9fLFaFSJwJITYqfEdlOTGFOjr/dQzA56B
WBDCseul9jjsRVAynOJrS76bmfV1CrJOott3CvjVCiQH6wJA1stx7efntaT0FYTHMu1wyY8fiyma
4w8dNMRQxVMPZSDYqVIUR1Ar7HsExcjmhyq6M4hh3YwI5tnmxDY21XUzPqD5ZXUZ6T2EZSRIQF3n
idvKJgGFZAjCJjdNuRqEgdXyugYsf4v3p79yJsTUiRa55/8lsvbVqJ47eL3GtEtgJ8lyUvEtakT9
UTPi9hSWKgfShId1VosB12Ot/HDNmKqu5yoqDiOBZA8QOcgHDQJ5yhAvB3EVrRsTZWUFO96mBxT/
ANwMPiQ+iK8hCZdX7DEURhdfMZaO/RLDNJdX+kovfgmzykh/s2j3FAXBnSVmvO/sOFZb9C3ARwR6
c7ixjS8Pdo34S7wSgS8trbmqisgfR+4ahCJE09M80um7L4Kk2xA3JHdD4Ls7dFIVD4tr8SRqLCx5
ne4gDFuhpTsv+rBvdhiEyWUxSOCgsyL98Yd2vKLlVw3NxxkoIKPPkDwV1Hu4M6FuL3TirnpZ6utP
aXlbjust1O9QaQg2HUVsk2eBfpE7jXHLb0JP8iNWpbjYgcRvj8h47fTOwIe7WWdcnVkEjlAgWLZd
cAMBOcng1Fr2wejoi116fQQvP1wFYYPeYSmWLmUaRYTYJxUmsHLSU4EOTuJviHYd7DjcvQl0K74X
qiVLCjF8pzfVbE8TK86JF6yz0PT9Q+BuexIBgOBOYCyql4fC1W2Y4i0GciihxsAurUqHwkPbYPwd
cWNDuWlXuiEiGY8wWJh7xts63KA3Hq7GoKV9sS+IW9IwZONlQphHjUsMT2oy+yc1IA7yuoMiHdcw
oE9AhlWwUCQI4jwajYd1A8W/mAIgmR4qNEuxBfMF6qzSVmIqgt4oGkBkKMg8ghZZY2o0xdvv6Ok7
nejzqW7HIKUuX5azH9L6REDOs4UibfmmJMY2CEBRVzjK8YM3LjkGEBw+QjBTPsjeztB6R4Hbu4CE
xwFKjj34ovm49JDdr6SfvzehW7ARU1bXSOToW5+dmNzNEubTzoCB3+ORNG5kA1rQwuy6gfMEa34B
MAVuCsHfUMcIcUssFb9fZdhu+whLZCHjM1FZtoN8lm77Sa531i/BVQt0ZhMRmIVlPnlEgPh6uJ1i
mb99ivfR3DvetSCs8MyephmyBUOwLxrwPitAqd3ky/aRSWKv2ob5+0GJ/ojVcaoxzQ7BdSVcspEw
glxObcDPLG74+8Vg9NekXQ6F8FUGi3L/fUhEf80jze9x2WMSrtlZWE306MPcPBXGsvMuDtdzsYb+
UHI6H+ei7MFQ0n4fNSApBUftVqy/OOHH87oo2EWJWPsDGgHi5wBOiNec1kWGHQi8QcX0Jl/D5kLN
fXUzwcsBmAouEsiaihS8BcDtPCq+JxDV5Z60B8YRwqRbusds52CMgN9goVxfGGWepUXxBUSxEEmX
Um/LYWyQ0CIxnq7Jo8SBddmXyh35VL2FQuQntKLZUg05kqEc80A0n316E2LoWM/zpAZf0sNX9GlQ
qKnrL1c2nnSFWBHwdJhgXmPmYCDV2xCT1Dv8POh/rBjdDHIvASv/AeD/E0kGjBG9a1CloEQ4RDhG
+HNKIcHx2zscJMcIVXsYO09TWkKH4kq5nqF9DpcQrDCQpQGlp2rXLLM4uo7mf9QMF36m3Px2nxTQ
hfITtop/0eRnImvOR99BuXJcdLyv7WReS0nd+kVZJqfrBObM+AbxbYJu27Vzt3YZsP+h6s+EW6hb
h23J7IPzEQdOBmqh2HXwYMGnU4JJf4n5KmAEngh/RMt2eyNljnc+pu1TMpIVsMQJkOucDV8FovX7
LMLW+Aj4g+w8HM13kXXkTZc5Bu85Kb6KgEJ3Xo5F9WQqylIccexSBhVAgcQGj9Aq4kKpSv9lHOI6
2QCJldsFPo9zVhrIdZYBhnFLi2s3ILUb0kZzK0S3nBPv6SVkRHgc9rzdUd8+QTAYfDFRcQbbQpJF
J9ASqTLLm/pEMi0cdoBKSROVW0Cu/FZ9wp7FJwQqeBR8V5/AaMRG8S6SOLnxMG7ersUaPsY0GEfw
+Zjy0/Y0sHvD52iDfvPqAE7Mf5UlxXXafk734eekLz+nfv+5AVS2Wd54r+FFCmxyXX/uCaEZ6CH3
eKKZkxNiTz/XCaBJ8Uu1Vi00JRLyvTz6CgXufFQg+CEAxRvfrNAUkFoOIiWnncV+ri9Q1uvL7rTT
oH3IZlDnr/u89KbcJiuez/WwyLRGIQIiz7EbIcTHZmXpqo1WHd9HI9LM6xMiCt87Nqv2c8nyp32r
Pm1e8rSDRadtbCGAt0foPRekwM9Y15Qso/Uu5lPzDHudeuFiDeZNvxjqH9t4xJvEh5ZfmRX75d6x
GFg4gHT1pHMV9+8EZvZqW0JG9t3QeRhv/onM+DtJ8M+kQPQJ+v/mNhGBACsRcVi0Gfixn+jRuY9r
cEZ4nFSYtS4VKO6LwUHdNCF2+9h3QXIcEw2CLZ+HfAsLyHXSDvlF6YdqgKnK+bPYFCPQtJUUGyAA
vYJqtXG32HqGfsOAkz7pziqL2hY63jHY8hDPAyVhsVSwVwt/3bX5tWsd9NmdC+1FmHTGgFDw+VtP
DN3FlYqPcTk2XyL4RQDpx/UZjcM7RcvrPspvZOvDiwKmbCDA+Q6Z3ne4x+lV0K2XWMxkFhMGUYCo
Ak7gLlpnPLLHJD6U1chtamIMqHh2BAerRHsTx3VwA1mxZduB8eL/sndmy3EjWZp+lXkByLC5A345
QOwR3ElR5A2MEiUsjn0Hnn6+UGZNVaV1t3XezdjMTVZZVpGighGO4//ynWfLk+We0pfaxvNgxAFE
nQntbdGU6qKmuffbbt51TDI94R12qwWcq2rcijnXp5UUYxNSdgRSVsj6GtDpmuvAPDBIiv7eVmP3
dY2naFM5RKBdgauvmnksAjK00VuCq/A2i6Uo2T5Ztbuo14CZi8ag7Q5qAs8i63eZt8SH0hd85Fw5
Sf5+rZyDpcjGzyJSisfXYEZ7bsJQwOZOLdkmsdkeGMB4UAdpttFDNKrke2G50b734hSoYmk8zigj
KAWpT3FMjKc886nDmal1i7S48q5k6MwzNZ+1Sox3VeakhVFwQsug06HTDN4JFa3mxVwiPgGxQ+lm
6tHMcHKSnRwGHmmroAXtNf3baFvps5FQk2iyojxE5momECsajqZ5yh7WrqePWLjOWXBKha7nEffD
a9hOYMjvab1kL8R+NKdooui5+bwyp9Qx3Xxb9DK6LIAQ9oBLTD7XKnMudVE9KTXVlFARKEjS8iRa
k859kMTtb6aVBgHyjkmQKXPK3r8vNZsSApzmdm/99pMsUohrGP32mcyr5dSi6pLGra9OVNTRegtU
umR6Cxv9u/XbtVL4V/ZvJ6uDrLgb7Mn7SrATpwt8uiGAqYDSCFJO73LD6Va/xah76cFxyVXfrnVt
mdvrc+zTHaa55fZt+w2DAG5bVo3TENTtzD+5GTjyJp2G9tjSMNqyrM06NnbTN5uxcblck51EaupV
prMDPZduwSkZGrKVqVWd6e3RdWx+a7rzVd7VwvrW+LUgGxs/a5V+S9vrB8TOcIa89NRE63qcR+XB
sKmG60/dUfc1rfOcYBHR+RKHGirvx399UF3zCP9+TFkMFhxSrikpRbj2vycKTJR5jSTqHalb3Mbq
rtHtpR4ffv8hf8vivkl/tFVX/er/amD/m+f9Hxvh/2d63FQBrzTW/9zj3vzMk/QvvvafX/SHr+15
Xxx2M1lC+uRXr//5D1/bk1+ADFx9ZUvZDk8PPOV/GNv+F6L2zm9vm4w+mfh/Gtv+F9e0+arr79Li
O/4tY1v95b3hmr7t2cp1mTZZ0qD+OumlpQDAonAu05a2FmCGhtLyGE/fkrEf74DhPA9GazzyMUHn
otRdnxeXTpSAwaQ5ubP8rdDt+EFyMD1GWg1bssEiXFeFxuX2OIpAUR5miS3Jt0d+Q0O4jyky/SRn
+30aOpg+qzK2TUa7Q1ZudV8rfNvGpgNM3rl7RX8sPiqf5c9cckmwR1rfL5V41FU+nlmCiGHnyOmr
k0lza2ZrFMQUEbmu9dVTValvVEjcEAOYxLRu5q00kEfMElbObNvpputqgolL82QWTnKFUVVclXv1
WM+G3gxodk8uAua2i8mbxhipZH16cYDU0Ozp9E2vBMjASthR/ouGWHnhJEq++7LgwF4YmYfS756z
wS7YTB9BAHAlrGp3dLx0kxWzgScnI+tdZ9S8pMv2K7Px1WWyZpZn2yuJ9bDjOv3ORJWy5kQJBCzw
UOZbZXkKE6tGBfWh7uLMjeJG9ONvMVf7X30j71BSLR5/jo8sDja8YvHM3/+0/8ef43/7qP/3DoT/
i2IvjrpS7/7z4yBIk4/2X4+DP77gj6PA9784fGBx6WzT5ki+wrX/iLj4DocE/1pSOxJ/HhL/OAq8
L9wOPKksPobSBtPxz6PA/cJXUCnk0igc9Cj1dzIu/u/75b88J1zb9H3OlOvFz1V8y788Jxq2oHSl
Kpx9HVnucxa762ZYkvJEoa3bjNk84EAXb4nmUsHD1H9LvaK42Lx1ea7yD3dfKkvSPHL1a5Yk6W05
rmRdVAlGjgxmooKOZiQt3FbKV3udCHxPnBaXSCdVFui+KY8ap2LPULi+KkdWv9bK618TamZsi3Ts
/k56iGSmH3NJ70wjdBsKKxMn3GluKd8O3dSc3a6sTovVeUT/y/4Y0xhEv0MrfzXkarvnuu+yc5Yr
p7umYspnnUaredSpa5zNjD8oFG6G8ZDIUXJbKaKXucpILQtDnCUrqd4JV4LYygyqkmHjLelXGtPm
SySWSe2IgvO9nWqG0JJnRAPjfLU/VRxRoYZbV52YeeOdIPV9e6WisHWUDsrFLDJ6hW2lyLhUXoFD
J532waiB/gTFkC4PoJ4QH2CM3JSEIBii9ZBootaiGO7ifhl+gc8zHjHdIxrAaTR91HSYIXoZ0Qg3
xlia22TWgrMdUbXeRR4hGir0o37o1mU5SlhHu2GhEBaUDf1PPWnYaoNXXRwqIcfMsmL2T7nU8Qov
Uwd7EC22h/Mr6XOv4a+F8w2OyW0PmaGbIagUxnk49ya/XeojNuYIMLV3ADwaXgzsNBa51rvOs7wn
UZnebnSc9nPp8zTl1YiG/WBkzo8aUe7N6kd5MuosPoukqx6kv9gvk1u2N/TwMxESofEMAJ1mZmzn
YSyLQKMSd6GXSXEaYqqtuZ7VHay5etsITW5G8Cg5LawzB/+Y0d6ll/2wito7Y/FMW0sO4h1ZOX9m
s1f/5BIpmQ7sEjQf0tWgSEKd3oQlI2Z1a6I53dXSBFPnab+/Ea3vXETj2UfTukqxUVShmXUrfhkZ
EIbrVuriYBkqe0jjYSKZoMb5Ek3dU2Gu0btqS30ytOu+eW0hz56x5GQHWpuXqbLUbTvwQqFL8zQB
FdVgkJX0IGhD4G3DWKk6b91ZQEXKwO9W59iRcVkCR3b2Nl0wgo1KrrQ4s605pcaG28U7Ea6Ivl1V
bJp+NL42bjvjsVQnk4vazhuiaiMW967XgIs8AUdU9ZhnrfsaJem2GOxuV1Ue9hLV+QvjxfRJ+++H
ZbTNbSHbp6atf6m0i8KISFOuiITUdRf2qzvdFU288UTN8zi78nBsuatwhoq7SBS866XnzXI3URop
aeFhT6TuvAR91a17LhBeH7jZIE4tnEHycBMHQpE4G7X2xcX3XLnlYzi+lFR0bgwTZhadX9ZvulSA
HrjORDH1vev+09U0kikgO+C/I6vrEu+/N0bernHyQ5eciRtOE0y6ChIa2ts6J8neGXhxAk/kJA5K
f+KH5IuEyY027iM+CdNgXCaBqRVOvqc/U6dEuLVgFQCPFrwt+nlPj9Tdm6NrbvHf4F613HzGyTT3
RewWJK3WKHrxeGnDoackRIpO7yj1oPrrBP4jinzcbMusH3bgHNYbChTmk5+167uPLeUEdtqOZ6AD
1ZFyh76PbD/aQS1If9XpROSNVWx2Hqy9ueymBYJF6hjTHKw2wa/SGYc39CuTKwwwi2BcdXpYopTe
IIAr0FudZ9+0EpqHw13moJq4/eYibvF2WEBRRFQ9irrqt6xWGZ/M3Gq/kQ3TJ69oFpqbmeftu4Hq
DK9/d59l5CWwkt3hezyXdBlsdWDF+tnCor0ADsu/tXbcneN4JlypjaehHvUxK33SJLhudxI43R3K
ebH3y9K5b8pLnfbHYhyXe7NP0w1Ij/FFKWfc0UApgevNHpkEXRu3Zlea9dnh3XQ30TckjsQJH2qq
bye62W9c9vs3j41+X5t0qG54mfUDmSb3nRAZU2dD7akOGypLdzFUwAvLgeCJ2CyJ22RD72xZaqwI
Y/j2TVKs5bqZIiQnVw3nnEBdmKwjbVeDtb6tMWIuq5xf3Tqx1wbddH2K1p7gNXFI/eqr2cEcoZBQ
JK5z8nLIdMGQ4250Mss+IQ0OR2skLBAUVKSfclgcu+H6Z3tp6tz39Cx2caGXg23V8oc1JcteRjFH
n1/YS+iUeUn90Zr7mQcp/FuvI6wSuHG+Hyce93Xb0K21JHw15KdEdQI31WARpg/i6EgmJobRmdRh
GkX5K6bJ+tLTcLushL2JuHmNfardiAxkmTjWMTadz24x9cYEavgd4Dkr3NYqq1+gBKHKuoweJXJN
613m2s9ubL9b/KDjbBVJ8QFXI+VtrLPbzG3jO6fuYDREaxRfJS6IXvTmaA9B73KM7RKX1YPn+lZ/
nJp0fa5shrdgroCIml0rv9KfGl9YSPfZDlW17tOogyIR586dp7r4J6WveFdK8jV0tWe4Jh3IIpZS
K24JuWN/zVpvekZdnj7ICKQcujRVgJZqk6Khl4n6xVuy/CfgMR1ifuSbIknBIFDjesPqtuWhzRrn
rm9IcVKf3c0xVTG/YovMWovxm4ri77ROEZKkf2bsz7aFPa4B3KhDSSiGNGAcYLZPp4VumUDpJDDV
ZKSEpvVYZvViQ8zhQ3IYVCrOhCrlE7GpiFrgYMM3Vv3RTzKGDrHq7jt0u1ugsfyikOKPNvWqfZPx
MA2a1sg2AIBIAgt7eogj3tOwPXi0Fo5CoIimFziDwN5XpHEk//Y+99z5RQMP2QA0FYHOSxnWHVlH
rxLGsz9729ldYLeatv8wdYAE2wlxMXXS7NVaYH2OLdsqiJ7Vn7Cb9H5iTcg2Ztw6QM5R3+guLneR
JavPsbPn3dTR/A0m6CpPrZs2BzbCMZjY3QFuSnJJqmHZQQBskNFgCs1WJX8Be4DdGYm72m7Tc2Hw
uC/txvq+lAvbk67yGri+kTRWsIxGes5pksLp7Qg2RpE5XdYlixH7WC55u8iWg2Saq+9w/OztZHTQ
FMAj7KdiSu8ljNcdvE2183pyn2vm1TdDpIw9y4CL0IrIIDfd/FnItbuHNHs7+E5PMIX1nosFdtjv
WTvvLVJfmh6yH+nSC0Mnl0JVunf5aOcH1GvnSv1ilRz7G00vvSw9RQV4IrWl7rw47nZF1V9pk3Hq
PVZ1XTthU5vWLmmMM2ciGBU7z5LnouFcDaplLsmOTEPGGKEajD1wQzsHCuijj3NrvoGD8b3TiCMJ
LbQG2I665P5iyAKVIQgTfOUh1exnEgk/PTHFzWkFDd2ALdLqcxx8y9qtLU+jzh2nJ5ULD+DRsN6Y
nXEDUR4nZCAih4qYEP/pNNu2U8U0h2cb+NxtF9i2VhcFUyuc51xb8QHYZ8dIqaLN1GdnR9TylhOh
3wpC+BcZ2yPAj9hJv9FOci52YYDyZ85cb9uexR9BbdIYzpmsnyqQdxc+r2Jg9oL40zbL+KANOIek
niRJYsPqTaKjJMOBHbgmEry22g3Rk/xptaTNOgKK3G+lToqL0yGIhlZhi1unYkKBVkasgmGVbVxJ
LKt7bfdChl3RRZI83JSuoW7aeN3Gqwm8Rkd18mrqxDq3dQ3TMjFd4xSTWfTdoTtW5LZucRdlDt60
uLFH6T2w99l1GMDYGxWi7xaf0EOs73E9+LBVtPc2JNZw9H1FrV3KVFchaD+dhFFJ4xGMhI/UUBK9
2BgVDbFttE6kzpdrLaHV7bKdiS1SLbpCPhuibVrliC8sXNsYibLCJYvaPafWBz2nPlA2hIUEg3af
X+u3c9rvEzu+txvxq7HG+BCVlXHEzWHNc2EczTrBw01v14qAwyjrYpNj/TyZUwvuFHDvPhIE/TVr
DMPcZfPp9YqB43bghVjJ9O/KitmQn+QkRfnLXHhJ0tg42HImcKoZuLkiX4mlyoAxnGD6TnlIG/SZ
rRTEFdidajB2EHUbp12b9XfczmEuT/6NY3fNpjCNA7Hkecdl5LsRORctMqg64tpqptEK0+G9r+xz
bHI1Ex319B7U7wYc4hLoKumPni5WnElrDISM1k2UFg6cibFnlefAzzmyDkaqiX0BbDyBWgZGbf4g
BLPphuTQqybZVG55tw6evp+cgl3wibne8Nlz97UToQxNRMWnaWkJWqAXnjJ4lo9R7eu9C/sljBvg
0o05wAl3UxCERl06gPg7wi++sYx7tvNFD6BHrCiEq7g4oaEGBG8v79uLXKh3hEPO6+u3VBs0CF6C
s+54cA0v+jpY9vCty8o6w7XLubBkvUzPc3eF7RA+Gx/IzRQJyz5rIkFuMX/0ThydO8rqgjJGHTDQ
iG/xVA/xtgeqlYUWLff5ZDpW+ijrmNwTWTkIBLM5Bzw4zFcYv/kTOel6CozWlebe0Hl38vAomEF9
0F7QF+pXSuNPzsJb0ez9Z1ir4swBQ+oirf3DnMMireFNNJg3W9DEcK47tUXzH3/aC7Q6plPTvwVY
5h+4Y5U9H7k6f1t8X4azvVyDr200vvPJSsNU1ECuiiLZF3KW+xlC61akXOFs+ESnjNDeofdRCQIf
vNg2tdv6DIAegQEc7vQ1BhLyVsFj3qeyH+D5eJ334jO4uDQoWGUSkOnTf9Qx/5bW/v+i+nb1WJHP
/3P57eYD+e2jw7rHIvmjx3Ytq/35dX+qcOYXZdIz45Yu2DLlXWX3P1Q4z6YzhqZuWmDz1VV3/6cg
b38xbf4FAhnaOxdKvujPppklvkhLCAV2m7nOsXz376hw1h8y27/KcPKqDHqW47A2m7jtX9ft2sPi
z71tzEgltT0e5BX+yNhCEWNN3F+x7tUQ9gUtgM1MIqZFBR4bMNQxNpIyPCPd+l7mB5pYZfWtQK1X
tyNRb/4fZWf/cBppmZsUocCbXWAxEBfYd5x78TUha2R5/SBouL0anOHxk7kA931gUXjegbJLe9jP
tFqINZYyAt6RT20Le6dWuF2rJBAlWbPAJaewCxad2wUDChULUsyVKON74izWLyurXFiO0lZhwxXs
2OjGeLR1Yti3g17HYgMt3oVSmVqNvpuAOlwIRbDUQORmx1+gnU6oNsIHEVSN0W1UQJuhiADe6tHX
9jdALIu1nwyUDPo69pUzEIFEmUGgUpWbWze7oL9bXYiWkhShree43VRj52ZhEzMvuT6xtl1L99Dc
MCxzS5/GLM3uAFqarIee7RfZdM7FMJ0l3q3ExPKDQb1VnwCfDWgxMYjNQOIo1VwnSBCxt8J3H2yG
xAXGiztAtxLJpqc2xSU/tu88tu9erNZPYHDG9VtnGT8EQAziqbPGHtQ0A7Y8Ubo+oMvsB8rN01e+
G8XjMW7vI/AT1VHkNTCIFSI6i7fM2H3UrN6lnRdHUxSynZvIPTh0pzuWy4qCMVUSsRVCllhvXDho
1zGEKyPj4UoRAD5G9tr664QQR4p/vInaeVGUkNLO3vjEte7LebamEGRVV16grrFtA1Apd6hqrK2D
6CFSh92SwvE0XY1ZRDKXYRcpesDbL6fyYM9+329QZ0gJxavNf+9HZ1lILSRptCNVN0ImoTVELhLy
lrVN2KhpM+fWM605yvOHbHYoM0IdeSlgXIUybtvPqous+cS7jqu5WUSUKMe27+eNsCqA49jSxzjH
Dw+a1Vvb0DR8ogIG1K0TooTzvab9SNDNGvxim8xxN24IzPAbW9q4OhFjxkJJmUguBFiShzbFPS+1
fCGfBw+kjxrjGLP5GeTu5BHMh6X66peZ9WgMSfe+omefldCHsbJJ68LU9e2nCMMmYVVf2tvPAIU8
GdAHrQg8mPXylJbO+lmgJdyMAjIqMYQqse7aIWbgnol7T1u7xNQ5rGZc3KiM1NthdivdbMxsLN56
Y23uVOaZzQYOFzHCiI3DVch2ZPe5WZIrrNQuuE36lMBAWOtSXFwycAJIAZl5QFNGbJ0HZKQ56OLC
vWlri0rVlFQL2f0MHRdkOPIYuBbe7VZMXMviMupvqiahDeeb0VdjZcvB6tHmK+aKtkZ95S5BmtvF
kTu/qpGPXUNv0NtbTVu8LXnM56ZWYODjSrTUtIrqXFL1eu5iyYUhX3LOghy4F5lj574lxtIGrnIo
4I5VsSWeDE+X3L1dHBqzcV+sQndniIF0LQhiqe3as9z6Qc8kIwPPScZoDy5uIkqAUTcTyFpIIPk2
FplpDbw98uY5xcTFraDlA1uNyRbYG4ItS/Jk/lmLpD05IHycELlxZW6Kyx/NWI2KWIQzx/uEJ069
KbQXh14+jVsXI/WWvSnGMXJtrMoxrvLpqWZ5/e8VILO7YXPD2KG+Fg28OTuqT4zM+cAMQkOZ2r9Z
ZxtNoEGHa8R7NRRm072O7Ni4o71RhcpLjXcuol754medYW6oW9bAqJmxNhDEhNh4PAb9H9yRHKyB
1dmLduLtmbxCcDG/90MOvduusq2b6nanhqTZJJ0vr+UdRlsaxvyRXDGbg3ShANKtZ57esKKjPzVg
acrnah4c5Fy3Xrej20SPxWKYz0RjeUUlaY1xW8Iyp8ZKtvaBbAhdq8G0R5DgYKmMs4sJ8iFHwHoH
YnKDvnGdaCVbxpEDLM0ptrWdIj2uQzvcR6kmU+RzzG3GeKbt2DnUMDeWaHgnQran4AXvdHpRy0oJ
SwABp5bEK59u19qVD/l87c7kS0muiKWWNZ2wZeQHsUUC8bGxDR4AqwcRLqnBm4WJwQRxTH2bPqoq
UsnNxdUKlFdKdId67YE382oQ/7fi4zxXdRqC9lPdwTbSNiIXLtQBHln6KWfVvJZDWz0YY5/SnkGm
+qFdeHFBRSZQ8HwY/IqqUtoX4ThkAPtKV+tDJ1DOgxQMJBH7q20V+GB47qPSHgKwSUV2z3V0YUBo
HefDb1YedKiihH0rv7upTBCVCDSz7qDEcbRyD6BVMnpxcTvLKn10/IR05lKpk15i5YBmMdbHjLQa
yrgP3+pGo/g9jyvFlM2UaR5HwHib+jDLwf/pTeS5Cye2bmGYwzmsSOkjMaAbNpgdECc3/uj5gZXO
SXRHuXpeDu6Q1ep+8eVIXxlu4Y3htOpNikU8ZDZ74Z0snbmMFo9DoVKA9ViFm6i00r3DIbeJ4tE4
ZET3A9Ln37M6Bw1Vc2baaAnOu2gLPw9jmwBwnw7Or66mpJ64c/WhjRVSZtWgIpsz1wbOGCp7dPef
EHAHQE4DQLOlLbJwnO300WhK72Q1nknN1ikls71MNnmetQFJhxivj401wbDGtEZcEP6hh6fE9TyC
/NasURuYsS0f3Zw67Hti9fFFjnoKZZWsh7kwAa7VCoONdLJjhVf6+T6LuZYGvmX3+z6JpzO+RMyW
ATn129JLF29rZal3OzZG+4PIVfwJXjV5S7rl2bB4sILMjemjemNb7dK5dlEfWRPK6OGxXoH0NKck
e0/s8eiWvfzeGElt7pE1bCDmWXa03IVUJmm0BxfGCFHQ1HrOpVO/Cwun7dbJmvGXJCM+MRtou7iT
fdLmmySbDLkT9qoB56AEbNF3K+uA2zt/j+1YfWLOpeNXyKhlupeVVX02gr7XwxTZnnfdIovc4RZw
Ey+psngZ41gNS+DSIPh04nxsGG+ufIXIpNzH01ljpOVWVVBUw6Z4wrxc4Slro3iaVFc5x2qm8/vo
tM3j2AE0O4m2GfG91LQ8LJ7DFnZnTW5InRGhFUtnhsnc9vs24ZHV531BlZ2FJlVoN/RKoRVIFpas
Lc0SP/ZPZWakh0hNzp3p4gKSfJ8q7pjzEMKzzbdUkWOe5cwgn63rzC+i9JItTS36h0C0maIr/6th
lNESQOb10WIxucuPpexVveegVc9Lmrmfw9g4dM7ctrwDuNx8HWbWSWTOMlknRy/5pbMrL6dHGFuv
1Nutr5JZ7VqNjPcqH2kRVEUradUXksieeRWwaQ3UTeiwz+0HD0hCdWhcOjR8rO8+6j7stokS5M88
h9YFZAaUZdO8Wlx+DVaWJR7wfjZN0lNKl/JrEw/xMzhIH99Twmo3mRefpiafCbYRsLW/rZPLMpQG
EOuP3iUWCd2B0ziCCM1M/mHNqwyJDjxl2raOhu1cW7azcNSpcXwluZFb43rRFjoFQgnrHm7TanRY
GzUZXhYY7uCkB7tGYMBSTwuPM88bWbhtlX68S5vh6h83znweVr9/7qCZi5BWk/2UZjCuN2xTidky
o+vHdkFB4b2/HtZxZWuQ9nnMb2jeDvcpTM4QnmB9NvPO2dkGU0Gauz9dEhodVE1EmKT1M3Hssm5J
XsGuUThSdh1BS6hBqKOemCR+nWa4d6d5YxSUDGaq+NtGJigfhaLjYkoIoR2w9oFM8A4/mG0xSe61
6hqEF7fNrPrHyYjWfUwW6VvNa3ssiSZpaI+lhhFsKENuWKiTUu+EO6BDdzSMt6Rn08+JWjPLEwan
8F4mZ5Tmpsxcix0n7Vj9MHPfQ3bgQXsLVJPLWeVd19N1Ss1P6TJHOb6ryvgVivUN2396t/kp5Cab
EtNim0iB6uOiX+xdp53fkTkRSVNLu3dp4pjPDLicsBn73HbL0CaniLjDzyJqlp1cvPzYWtGaHkZV
uTdcGvzo1GSsNM8qOs25xXVmw5Cxevhiitraquf5HTUGCcmmSWfzW4xoIBOxCFkYR7/Q047OtnyY
rSYgLjJ+5+MrLx2gb4BRFigPxo4SBRLVqt6MSb6bEH+xcnCU72yTYQjeCelbkKcJGw65EZuAFVMj
41bF9UaGXHJX+sPafhc9D7Bw7Qfur/gLLvbLkLPlIoKlvry0UWe5ByLVKtulbDP5HJtWHMdksN6K
ufQ3XSLag6455lfbadNALJKzhgzati3JtRXCx0ylZMrSuWUe6NJCLOneXaPBVPRGsZdWm3xtUz/3
N2wUSPQuynL5sLa436eGyqW56VQkI5aglRJHb1ZZgBOYMVDa8bUTnJTznV/DPwoBQqrPVDn+k9PF
L/C6W1ygTKqArdIFb93V25E/M/f4WP5p6UhwA8gqyf+n9b030netCeewn2oReb5d0qF7bFmcCIwF
DX+Tlmn3I+sT2e+Urfr24PUAr7my9591v453c5tVFn8309OUBuOYhzSlpw+3n8xNzu/hF+jv9XFM
eMAzjcqLOyTyIasxYYokmm5YWXFGExc9eGAgSzDcx4N25Y9uYODRMvYoupbTGW/zKbUbc08xjIl3
lM7ruiafvN1mXmNIJoNMP3MWfBy7yEF+TmlcFhkT8mzJW7cw6lMhOn6gsarvgZryAGVN2TszRUEo
P13kk6s/TFsI4hORYNAvnQ37vcut5VbiqPGSn6K6N/csKISZpRB1q87ZA+PxPofcsAhity471PRh
LX0sAjnobFPPdbnLitZ5ai1roVjlm99V65ZndgZMH0NbR3TvdFHsIF+aM8GVinUuHJLTj3WQZPdK
bV2b28I/9ZoACL1b/u4kCIzmQ2iCMdtVgitdBqc9gPSD4SAdb5+B0TnUEbXuYKyRnH1nuZXCFW0g
ppwdUeCuVOBP/fpzyTpIjpoJkvRT4T8vQsrLYiMHy650uRPnfgjCxtzYTPI/yUFABrouO+Zh8q1R
3UCFuxLDTSc5RHsAi1lYk4KL9kWl4kNvLfsmR8UuWYoUWE6N+AEeoX9h3G0QKJauDuffd465jjdN
J/Qv30nUUbTV+jgt2fqGrC8fy4olmKDAs46tfe6CQQT9EemW4xLlZk8N5DjZcb0HZyHvBlr0/IVm
NnDZAp7p3mZ/2Y4KSBTGQDAvY879dPDc5tvUmmf2TWHDmcITjywF6A9N0c5I3i7CkZkUfqhL/a3J
HfNbZBb1Jh/a9nZy2HvklhQHa3GVz7ppU0MYC5loxH3SCLmF85yealztxlmGgzN7tz5jHpE1zz0v
wrYYpNS6sYVDsgPriDvymF4oghpbagXwGKkwUfXC8OKgyrZ8ZHzIEA1rd+MWcmHpEAuxrfh5yVk+
uE/NcX6m19hhmuILBg0LQ+78mJpREGdyuZlyAk6cuAuhlTLf0WjGw4O+bOObZnW/RU07LlHSvRmZ
bz4L2fQGd5W1e1lH+N12rJ1XeFDm3is0mRWWtB5qye+/LeN+63UYPKdmnhhDpmTajEII5pxVe9+J
eXxIsAnhDIgCYOha/CSOF6Hu6+qxWaeJcSgybnOWTWzdaHrtMx6sA8HVTUzQuNqDIRrDLCc6XOXe
bS1geROrp1scqITrTRBNIj2bui2PHtzkn2bv3NP4m8JuNlYGsmi5l+4itzPmX2iBTAiuwgnLAat9
Mmc9zKEVbWqpVvlV2oV4E6zAMruEJ0k8pGev6ev9wn1jy/qvMr2NaJR8pznlvGg9m7+mdjC4Dyhx
P7BKgMzZ2t/S5tXTTTLWCTO1kRyKNf/RUB/qtvSt5wOj9/Ir8bPiXncCwtY4NtvWLAC6mXj37rCU
u9EHAxssS0fUal5FbDMOewZ07CylQu5zaXkwnQK2tCgtHnr/P9T732PZCan+K1fhf5afSfvxP/4j
iN3vr/zTV3C/eJJ9mELx8UXCd2iD/ekrSP4XErrS4sGLnn+tAPyZ7rXUlytFzzP/N9ruH64CXsQ1
5a/4dpJk7t+K9v61WcrU6nsWloZSvgSXJq8tgH9hSkre/CPVm36HkEjsMBl8//l/UXcmy3Ej25b9
ocI1OHoMK4DoIxjsSWkCoygJfecAHA58/Vtxb5m9W89eDcqsJjVLy6SkFIlwHN9n77VXn8AZ+bnQ
uzlAyYbYELDEG1O3O8ccC1BSqRv/27ftv0vMWb79v2dR2Gvc4d0h2QZkKzv45//pv/2fmLhfc2MJ
rW0rgI7DQJiwIobJUaW19TqVeXjR0BhW+JB1Aiyqa6dDwLaX67B2D/yrfGeIst23LOV/It6wFc6Q
SehWwgNWQ5/CDUYb4mqhV1M9Pz1kRZ4hEXJb3zpoQE+k7YG5s9LAIkMRr0HklOKPtEq2hizn2HZ9
uGlwZujFneZPQfwf3De76C2WmfDM2xwdLLTusDK+nhvepMVRJp7+aulxjKbCeYB+bRzu3j9U+WG0
v0zXrK4u7ly5GfsKOpE2+7MGrJRTI/ELDNL6W5RksUMegj1GHdg75YxxhCmgQJ4syQqmc/tr9IPh
OHlK3jJnFCezFVbs0XTMq8IZH1PPZoZorIUQhH2qWtQa5lz8w176xgqo6mk5wCfhYPL6FHhVKCI2
rbdsDo3dBC0ao52dbFbuYJce3NqOLzH3qBte3M6ZPAyOGV5Sw56PKrjjmpdq1xCBj3unn874SHJa
C5wUu0Tfbf2phw409WynF392twk1OBB1vPHV7c0uDvPWjv20z17oTnY/GYUS4Jtgm21p8loZ7JW/
Wv+43oWr2jPmK6624pUEl/ExE4DcFa5MDvekE4wyi+tWy5Rir1L97usi2Hp12TwxwtjwXj1jYrte
y1Oe2k6Mn2NH2fjVyYDpNcYZkAhrFI2ioUz/5tukMDBWpyJazXxv1Y3FrobWGB9X6L7EKwMrxLuj
6fHmepkRNwkyyEAsZPCGx2rKvU2VJWzbp6GBRyhJoSkni7sRV2xXluNnjgli3wxjS+lBOkZLYxi/
/JVESqCa5aF2qbENZ56nnMdqhycEGoY91Pd/8n6nJNv3cBbTj5UquWZjCLVcUwcPbJW14snUtnic
aqVvZoe60XdKk6lhUqAS4ka3KwVw9bTuu3Qcn6rK9fZV5axPDmQ1mIQGiCOc9pGC6f1YLnlzQ3hO
MWcCFOFe7h0zpi0uGFh3ZWNakfLH7tDOXQcbBEhamLOWaKqSMuew/mvjxNgCS6tfiVkiuINzj/k9
2ghh2TsoHa4XnWnn2LpjsG/gJXK1W/DWtjWCeW2E4VYC/og0laqxxOFzkCOr+DJlJt77mKDxPAcS
woftKuwLnsdnbSi92OiwyZCcXepDMVX2aYFSxtVYezcad+1npSHcNsOD7lYue6p1r0HrLPsC5T12
lCeuaZDdQg6ZrRU4N3OqI5iCmnbwZjorYeffhNuzvzUx1ui+6WLmX8lHUgJ4W327/0w59Q/U+Hkn
qVR3bWZnPK6NcncGvJAbO1jyvTSJPaf0631ZXZCfvIIQ0ThP07d0qv6ZkzmgF6yVP60eLKXwi4RG
Cq+mJ4wqh4bemNQrj4HjRnB75b2Na5qWvbv29RzDOQHTM3T9tEuyct7hgQg6chfm3MSTTIvrxJ4x
zjD67YoUNn6GQNzc/bhZxDLVH2PuUXaFr1DZI7P57MUqT95t2Ok3PF8tMFCXhc+GNk9+ziEsb5pX
RTA90X4H7AsJVuKy7PA6iQSL7ihrbDseW0Ob/kbOtGU/LFNzmpc6+9GJRt2T4wyhuOyZ4bQd4p3D
rJtGFpWC9oUIpHvy4bg7W7sL/yy0pqdH6Ho9kKmxOQXUq346eTge1qKlZliNdB82FNbsG8enpjak
fvdv3pZLh91Jjn/9AcN8gozwScBtYmJtb01mMMjOw6ExTPiSgqrxAAIyEJK7OHHv7xn5/K/OD2p4
uDN7Wdp+OtAo6Bde+AOQoY7JTKPYUtcwZqxkrkilJfAjxz6pHlldK7Gvk9nRR69YVEhqFibjH89w
h+lZFLXzkkJP0buxM7ovWB76K0ms5r2tMuPap17DBr7lBb0Vkj+tDtf5rcMFa/CSSpz3VKnPsg6N
8xK4OjlzPZGRR6OhF7lsJCLQJDN9lvfnP+2k/dzogNqOosGTpLnU/hWL5T7zKhyC4+wXVfE0DkN7
pO4xf5lkz0jADtSLaTLD4abqsP9L0NY2QSf43kfTa/ubxr/lONKnsF9y5Z3ZnwR/wtoXDkqTWbAH
F+4lKRydbdDS+hcrc71ro/muliWOIyV6zLWD0XvPZeL1P2rH658dTuuXpe77Q9EYapcOKfweara4
tlDOpq/2mtiHuxGBSwazy8wWbjMqUsBDhsZ1G0TiFydVPhuhCs4F9UiYi0suzmWbdFEBldX8aEOZ
/4AENkE+BURIxAamqr3F3eP+JMDRNzduoQXqbt7c1+5VYG4rYcgBIScUT6KBd2QII33KZnf+rFiH
vuGet19A7tWnUAxAum3ISkllpG8NqZAjU01Jo4jit2DWmgv8YVLFlc5nyumt8SzwK0dMacaTu1gt
S9AJM8K8tpQNaWtHCZNB+I/F+5vEhsjur+ip7UEO1A9LWVvjdqU60MYHQh1ElNatPkBdmOI5TY/J
0OpfyLhz3EoUy9SqhysUIQidGRDAhiQ4YiQ8C5S7AwQ7Kr1DHRyzWq+3aaQvW3KT7yKbFklmsWCv
NV3odxxBTWtPmbSjPnck3J2aksHJOviDXufT0BbZiXGmxS1BN9MrY4P36mB3o1a44/2+ZxUtHsse
yXlePB4FsMZDVEhbPvOrdm6x5Hs53QOPtdvEXmX65zm9r/7bJa3jZpDDZ5d4KxYqd6Fw1Bp3SSkJ
8mT4k5seKgFZyGqftGt6w/nh7nClL0cH4fbiGbDe8hQtLnc2nfMnM49aNp9UvXwlLotuuzxZ/ic2
QZu1oEpop8Ik8Yv5st2Nwu3o4NCL+jCypX+sZI4GWSZVGbOZCB7uDUXrfqHIpogJ0O8DA4UnxUJJ
zJO2HXg43t418yAGOK76B0BvWRTQ0rYRUw0VMjHF8jho02pPuNIBaoS1eszczJAbRWrszIKgfFUT
QrMFNGsPsrY6FoNbPKoss+ka6trlj7IAFEdskIoPIgBJ3MCyzOMQ7Ksd4WiAaDfjsKi3bR2wrdfo
nkWycVkWYdNw4WdRZZJHxErnIUpIHxzgvDnHtZXdzutlc2loZHsoZr+3mG/Ld91mtnVSXLzRiIWf
HMIk6TFiwOG8kGomGyVW98BfmYWXEsZB2bBbpiG1kcbvd19JGuCF0yaj6zmjkyfOdJ7EckTrVYk6
lWl4kWWALlmSChnqbp8mTUqkxqUZEkntayXFMuyVNxonMJZfvW0QYbd9HAfLalV/psYH6supyNsf
5u1Gaude3glCIS4ds7n6GC2IwSnzvaNeGIpl0p9bc3bOYWhQoeRY087RFNrRMJv8xWtfbUth+zcQ
yBYDtD/R7TlT3I5Carwb3soZgoYOcyfsGnNfdvWw9Su3f15nzyEONFr2g8R1EeVgKL9cqNZPC6f4
HqHWZJEE76hmEYcXc/gD/qvGv4JXw3dFx5szxcHvrgLbyvyQSIaCfLbPNj8haMGlv0Xmb986Autb
jxfNpup6YgN54l8XctnvYpIPvYU0i9Y/7KvWGvBwcLm5SDctz/Sr+/elfDUdWu4YcZiCJTcdd3ly
NG0iWB3OVVu9oYP8MZLgNipE01JkZQQ32NwByJyPUC14M6G/tcRBcX+M6w1Wc/2tFjndWqavDdpF
esnWMjtQRjGffPGLMOFmhEC1Q8in/IJlsG04GXepdY6XbKl3ghcSns90yaBvpSlmt2mJEmvetNkR
hMYpWzz6wNNzuebeNfVxp+D2krAo7RlPROeixwlFc7nGID2zK9sMan7t+DDtWAy0EdooeDBijRiY
CTymCxNtIlPnHIyT8+SIOjgpE8zEKIow9o0AezKf9vO0+BqaeCsFI2hj3h9DN8Kxjxak2YS2wFQS
2nz31BafgnLc0/UbiyBD2FI800s0wwyKmTryE5JVEUmr0GdJfjDG9A8vdW0xlwq/Bn5M2pEdoEtT
ETF6B4iaPtyzDr3JDLE6KohcNgUYSYvqmKw15x+uhXeRdK1BSmOhtXnIjHMGvvfTdDtnD91TfEh8
C+zm0urU6XWKQfel18pwna07hxiHVGH9DOzA/vD8tXtmAi6OY8LitmwSEmSA9J6FmgjYr33JWemy
/SN0mV3kWGRknPoVYbqbv4kRc4UWgL83ztj+thE9WdyNF90X56FO3Hgxk1+m5t1nQwohgxZNufFK
ARK1W4sC08MW90DS0T9qawqvszeHL0FSjHGTEnRpBQOs8ht7C0U0iF2/u8C8F5HI29gz2fDbULh8
s34ulC6ZExr5RaUEa3DDhnXCFf842NaB7jwDF3KOUQg20cMYjpiMw/LZxegBQ5f1hCMfWuujN/V1
osp9tYOdNXo/SN3dmtkUhzLTL4RzdqlBB2MtD0kp7q8l2L+JoA6S0fBDpuEn8cUYZNeXRNiIKokZ
K8Vj80xguj6EI15tXjPNxSlni+dYtscwKM8BaadTqp317LGU3vpuUB3qMtg7C34tmACEQEyiUPNY
pXtSei+mTYdJsDSwBkE1xquiHZiHo/WOpsvlitKO8tu2ipY6PJ/WuXxu2OhNnJGWaRzIV0MRHytz
T6ow2bWln5w1WO0t9bbDIRTc9An/Fv4FGGOyCbQf382NAFHKap/7RzFlZ6IPh9Wmz7xjZfzWdf54
MR3ffmOVfbccqDHcuhbOwz1rDGpLymQJ7iT/ycUnmXfvxkzEILC5oqweweh6Dbsz9j31wtrlsSRN
WcBDjwK6/6jzOo11/6fRLsipcjFqXCkm9XyBezK7IO6pMNkhMXVHApxJxB64jC0yDVc2vCqmB8L8
tvn7USI/lWMEQsz5hK3cHxXllo96atxdYipBlxVx9BQAj+q1ufMw8YNyMTnz2k8bzfpZJcXADUeH
y1PNagD0g+GBfCTot5/zpsWob/KtBxuOCQM8+GwYKRhy6V5qNpmx13nzxV+SACZEe01zE/ao+OPY
mJWG1T+F4YsmIMdC9XHJqyPY0F8Epf4sqST3Y3Ytg7jVazZ3XtofBhgPO16bRjS7lY4LyzC3rVHP
GGYV+zsMvwfeXIcSBK0gpz87KiYTT7Y+JFWBu6hJ/XrL2/aPN1sPRuOGexLDBzjCZ5eg/YZZa4cU
/QO8TiojDdT22PM6YFNlLg92kv2YYLYSTzfecVy5t7rQ4xd+wo5A08JiirHF5wJxtHtuY4woxosO
7Wtr93FXkIP328679HhNSE5bnxzgbMTM3n23iRURNvGWOFjEew3+IC68gJWwzHbM0JHsymhpKXY1
oW6AHgCY6EsWR1OAs6X2/pa+BdkqP9aljrK5fu2Bd25K2iLzXt3BIba/qxNSUcAMqmb5NLoAD9Vi
lFsisZTDVvSmvnDJHnaVk1+LROX7UIyPs6wY9diJP2aD/VbQBRf52qbUtDKZFwWKEThwcJpDvsPK
lUdOblVIecJ50Nob4gBkcVzKIomJjm6hcW89CZo9coU6OeUFU9kZ71/Ox7F5mYp6Q2r9lIRDeMiH
6cFbQy3jYZrCeGpF/Zr2rf4EYUAAAfJKxYWD9a0+eJgw9mPHJnRb6aU95iOcSKP0sFmIzDqUg1CP
/arSnylZJrBPNvCU4dWWxGQerY7tSv/bR+d6nXOuf4LR95ihDG0brS6GV3Gh9nBdmNoPDg4RMu4m
MAZq5JZpart3G3PWoSwWDBY5DtKt6KCON6MiC4zZ9GL5KGZcG5Kd8lfvZc3mPIJLpa/t6mi0TMvr
j3DCplgaOo+bUF8MH+9IOBeaH5SZ7jsLB4lv+dDkeqjWb8rVzgPP2RZP/GXxkuFCD/W6aQnlm7wf
CyvY8muHz2FwjCMginzb2uaC6XX1v7s1GTAikEhLiheKB7K9Twh1jy22fDdYdca9Kx8namI3RW7m
2xIYCwQ8Y9qmvOeZk2mBJilMpV3VPVO4iuODOWFZfawBJmax49qV5ILn+QdOdMBhnOJHL09Be5OJ
jVOVGUjEVUmFBPIN0/Ks7eDipx3bW3Shzo/dgq9LiA/FWZOhUPXubx+pi47WxXoELKefioGweFze
9fDQ9CnkJblUWlb6Ua4uMbqgbU6NTfnddsgLbAsGlmx2YosuCFZm5U9ZUPc7lra7a5k0GajKCY4D
b+R8NSkekX5nGZwLSyWuoeur9KK85dyAc3hPrI7S2Y6rB0gqIV5D6HbUmQYlVqmqrYuLHhjJ/ATH
t5qFSeF1Cn6BkNqa4ULy/AffJj9E6Ls/8Ets7En5eOEub73nxAOPYvT6v+zZGB0TZ7jMkgtTY9jm
k9W46c3wWnvfZ7LYY+xhABJeL/DesxaMVVe7FxNinGT4s8GlyE2BSnEJpWu9TDVoxmqxrFcOfjxV
np3tVUrCktbHvt9bRW33O22S4KNipNN0C2JpDAUe/8XpgSe4/YQS1i5W9hV4nBe07M3lmyWC64S/
FDFzbh6LvvUioZ0/CUD8X6Yt2oyCYjv5nVR5/coY8qPA7A3JUT5Z0/BqhaWK1V3wmuj1HFfqlEtm
57PWJo8rmYgo8Bp1YFvZfHVu7h+CjiQCvntzq1p8IynyIIaQcn0kOq8x/1agRxY/QDYjbshHy0Gg
8yauFC3ldnnRPQSlPUVdr31MheObWjJcepb8IE3RRxK67b60XI+ijDSnU3rofzoUhODuSnyg0e6E
pWtySMd2LhebNHnN8I8c8Wsx7kzkGoLprCku58DTxWmx/L854//dFj7Gd1MsJ4F2O2ysQfiKLZuX
CY4nHU+jaC7emjxO/voIoDF8ykAuR2TBu107Wt+AeHkYAVNedc1sLIvVBvm7GF/KS/HvtOHPcBTB
wcOABYQhcKJF4TmhTRffGiTyApyaJQ68dbkaW6ecqekN/LH7YAkev8Y30tOED+DAxY4ktqyexhx/
s2YxtWPDexEM6kMwKrymqJJbZa3DkVSy8aAWHSJiOK8ZrOe4KUFmOBKXRGZ4Kp5olQHrzF++6qJR
2Dds9+ZF+Fgwg4SMtwhSLsVlGaIMeeV5bPSzAH8ONqEhdjlj8bOS8GXRtPtkTUM4Upj4D4gsKj/c
6rF6baviYRlJnGYenn1tFXSyrCVQ28id2L570Ll3ILJYJrVIo852DBVn8sxe/Ry29pihAkiHh3kG
aCM8DmQRyu5twVD2u3V9VMs2g1og5MqP1yWAymMY4+lsSUbDTCB13BTXMRuSR7mu62kZScsG4VhF
ZVe8uan35A0FuBsn/PIKca7AXgao3ZCSAVnLxX4KmYvOeTZFss/jvJbv5A8/XQUDuhu6LOpb4KLl
UzKoLF5ZsLxIUsaRRXHSs2228txjYmAJ72XvrlV4h1LOjDR6aOORdmSAqX7cZx2h86Az9vUYbtLp
SbNruqZzVpwKPmtftU7yBKo5UC5nlGgvk8snICXuICbM3oC0amip3XhKlROQ+JVH4XGebkBJ5vtg
YSUIeAdeZOEvvE7AbFKc7DomkiNUS7uvQ36MkBXezT5z7gMQrbeBrppfkHjwNnX0sV/4TYtTEyxv
Y4BEVRnWruV8u4YL3Q+RobTxjUWCZKRXzE/5vKojKESMvQQ6zE83l8Yr937YtDzK7/goYJSgsWcx
6J/hxrkwgDCfnOonDnP1Tfcs9zpEg1CxFCrpMjrjicxL1FtnenfHIb8pQ/MxXkp+COyY5uyBRHCx
QAXJGTOrzg5f8c0MRyyx5Ghraaofs+m7b6SMs2ZfQZ0kUISTBiXTcVqmQau6pZTyghirdEi2Kq2B
1fuYKrvIsfz8jaypPLKOYoxrJivfcaN2Dv5U55iU287ia7HDRWE5q8/Cb74hDhjRuIzfXMvvjPK8
LWKzt74rBj4WbiuC1cYokESGyQzOyhqx90uIvTKeuma4LhitGSlN97PBAmpu+M/mcDVsb/hFRQcJ
ahhtLVAj5f4uGMh3q3K8Y5CkgB+BBD1g0McFrdgJS/zXuw4C+xO9DZxoQP55UHqfnx5eNftgGIlk
/wSxrQhY+6B0NaCsbfWH7860a0aNMRzj9sHU8tnTDmvIKhFNVDiuERWY+q6j4ekXlLVs1wN4W/HX
3MuO+hpISkmOm49foaDkeDqLfZG4v9q2H8mRVGZ/GoyqfrPGUMQWquzBp33oVs1GCfIIriiraMuO
SPcxVWJEMm3scqbU+Y6N4r6feYDTNfhqMjPdBX1SPPLg99uVjPCRJJZ1M1X2FQ4oeqQOoMVMs/rh
dJQfDwBrtrj2HqdMUVza1ZhOTep1kwysiDfWa9wvn10el4PZg/RpH9gIkgeYevGWdiA0l1Luw5ys
TKPI1Om0ldupACRLiszfJBVxGkruIk0s68AtMNsNtpE8T53JWT95P3UyZssWCEy/NUMlr0WA+KWR
wJ6dMoFsUFBV/cqyad1lWZE8zc2cw2w39I8EVEG1IjqUcE1vjZT1ewPuK8LRbG78MMyfpjm094rI
PdxSotl4NnkxrBEEwfCcI0ty6yiL4jWbzPHZt1j4bPEWQvrH3ZifqYBiJEgDR8SpzTvZJeOYrLZ+
0Usp8JtPau/AiZpK6pTZIAK+almd2srf3t/UPhePrR/C5+swBJAv6M13PUEi1NSyoabQIsJiVsRF
ToQIHuwrNzOmlNGR+wAj7bWYC7WrlyqPSdr8ZP+WnBlEikvFNBnVPReaJYcj5XYctXiO8HGy+6Ny
JnM/fIxR99Tyrsjt5TCMo49ttZPnbhX5rpwG8zmbLbVnyYDMOYI/QLtZqOmFS568ZEp7D8iV/FXo
Adn4feOcWU2LR76rVNLjtequIpnciO1ao8mE+ITvsy5YL82q/b8L6Ztqz/aFOyBbN32aZZhHgbPy
9KClvqarM93sqXs0AI4BWuqvPUzto1OBHcOA7rZ0PaSIcT3RRb5AqmlH+22JVbj928+eaDazx0rF
b+0JJJVn7EajSg5EC/jz2qGz9oJB4Uzh96Gql/GrVNh4tqEikULhXZO/8/P9uVh9sdeICLy62Ktv
0lpwbdMJLWLDp+lgNKRHhID8LHD8EgQxOf0V+zszJp5G0m21J287lyQTIFCp87Jqj5IbSkXGxV4e
C/zom67H4j5S176Rdnv2G3cA6+W5vGzYmTP/E9PLn0fay5GLi8G+2Skn9NiaRH7CXT7z/Nbu8iYq
t/y9GnX+OoTS/80GLry4kzjlU0GqgPs2/sCAujQIV2TkIonp7dNgIXtrRY8BtGkAtRfCiM2S2Mcc
FvcGS3Bx4HNyDymYmeEbDZSbhwXFJrVMSgxMugr4wdU3Fv/62GZN2JFTdcxzWlOGjqGOBZPhYmcc
jR/ERuVPIP2Q5rxWmWfUZ942qnCL7wSxkmsCeZY9JsqCKBUVNIwx/QfC0I88W3/NOqx4jXvyzbay
6pj3YGwohJH5p+D++TEuYCQ4hczlQEA42HDXGLhN0S5EXMFVtB3limijbp6CpQY53ATebaxrIihd
NePKLem4ROkbdwIIkrNruhlPxrwpEjLL82hECyXE/7zglMgSu9WXT2y8qMTLW6x5EOb0ITCofVoz
I9gbvbaeWijZF99g8zpyHj1j8jBwkhPaZmjXj5WbOgdyruknqCH7rS9JUWNCJnZkVyZmDsNRULLu
+rhRSvFQWDO6k0msiYXXOEQzUI4WvHgFuog3Qd4sCO0qL2FdUxw1GsK6mFN174u0MPk0q2d1Mf0O
Rez1XkMSfPhbiJyQLYU+dI0W2BlkWa1bi3ImH20/yk0R7j1OU0hWS30xKuvRVc26G7zWJR63+g8L
bFfu+1r/IuQIgnwI5ntwKJlhL7srNDw6Yp5Z0oYvFk0hjyywvV9WkDVnY/HYqzWmOhXSX2A9p9UU
2W0WvDhUDx4peP8c0KFLqtnkerVzXe5w0sg9r1L8Lvky3WCnPgsXUI5m5joU5DViZw7eMehm8VD0
OaNkoIu3Hr/O46y0i0F4cop3rKvsCIxgxdyUqy7q7PUqeSAiGEkKkNTiH4es3Gf1nJ3cOkeOTILg
RF/OQ4cLOyZVERzwGzdHtAxqZvKu5hOh55PoMM6shUTflDBLoiRYMAU3EtcHYf4Pw7OfA5m8hbqb
HzM6imI/4RZHGUoa1zPB71oXTxl7whw31MEJIEiQyVjOmExRXivdPJQtnvJGlkebcfaJHBi6AZeo
S7jUkG24PNnXzg/bA7rfdzB0r465AExjYRQY7qmhLK/dQMecDkWizc9MUrs+VHW4dx2nfhNwR2gj
ZCcNQao5idabzmgCeEIcV8e5sPr3quQbFdD9TIja6oONZFFtsnwY7kc6LlRYG9UuJSl/Dzpi62gn
bDsmJXVzOSIA6Gmx4Omk7GUzarCeOKYVaTnyYVveHO2OnaR5niz1p5MCrWdIaWDOYSxtiEp2D5xb
LjApeznhJ3DYTqf6VY2pfgiaZD6QYVyfsVhW2zVPkKRC0Tz3DBfP87hY2zSrO7LEisRwNml1JnI3
RJBsgr+etpN3BeJpk61cSlGkk77kk09MmvVS+NHk1RJ3eYtqkLVGXDZWSU7dzY7FjCe6znzrSeRe
/mA3A0L5mlENQi5sfEQbyL6rmX0y2fDGiWyESOwOwjsv3uB8inLWnGfrgGqoXYJKSyijpdQVvq2c
fYLrhN99EjonBpX0G5HwntK4S1F2DyOSS3jNRWByT8H4eZeCPswEV9YmbM3xx5p41jvqRv4Df9p6
Q9ugsC5MjO0qw+JPZjjiedEem4OkrV6TIsm2rAW43jdUCdlhB3bTFOY+A2FOs4aXPZNJXtOoc6bq
NMLF+dsK0nYNr1cWM0tyo1XHdfFOVPWBbjlna8AyPk21be/6gXcNl+fGfKyqZf6BzOJdWVlVcM4g
KfHIO8ONjYHzUk9cwI12KV/K1vhVDBJSgeT9OVXJKUv1wDrHlbe01+LLbRSyYslnZtO0BI8cPzcw
Bskai81qHckpGCTSDPW8rqyLN9Y8ybhq/A4CFUJGV4Rz1IWW+GtRpHXGodPRIWGQUyITNGWPHsPB
jmVcciKaUO1n2dc8tlz1uTqjFrCNsp5nYALPFNiBJ8AI8Nok+QtvV2Yel7s0r1/7IGvyjO6clWeS
SPrNmwl5gupg8WRUkKvAQUtK26byI4TUhhhtJNmncnw0t7AqZmQH9O0VXw1HVG6UO58e5fNgeetX
Q/h4H2Rs74axtqk8ddnjFeSZ2e4sL6hh48F1wdnO611778xp+Iu5ZomCNnVf1l6sR0Vq6c63GTZc
usJTVwLHUazoIz6qQHoduigWNfjoCotngIhFNuexZINd6wdgT0/1KkaccaPaTWES7HCTMXOSmNo3
rG5eBqU7bsyDezCd3uJWFYiZBkF2739Xw3N5U6zNW5nxPSAvbpOn89ojqP3kQRaTvDnJUJ4ySmW4
wmMU3JS+E/AtF384cIyrSpZhhLxHXhHYR8UZ9D/wihVFYVXLLlOzS242aP+4/b1Jw02qH9W4QCDP
sQy/ebRqHFzcV4+KBr2fZTioB9dm6YJOixmWHtiKE6lonv7pZv5/TeH5/4hujW+dBvX/M17nfw7D
V/3vYJ1//YJ/+d9D7x+msC1eCTi7PT+8e+r/5X8Pwn/giuf39vDlOtY//8t/0q1Dz3dFiEFesMq9
NxH9Lwe85fxD0EsSBp7wXRe8tfi/4ep44k6v/k+sDr0+pok5/07Rht/Dn/VfPPBt5s9mZgy04mTA
yTamNjKxnSgKLvZmi9GSj9FaPQY5aUIcWjYdq9gSRm6pxFLqKBt9NaBTmr6MV+xfULfM1d3YtTu1
KLjkBvFuQ1AJQklrBYztP4u4GxQN3uIn6tUmAs9oGZETqvzoNem2cJvh0ckb6ylEVXpIWZ5yuTSa
i7bC/DikCTtpy3kJHPC5fAdpk+uA07WYyK74fHYggOPCmYut69kAV+vI76YpXuW8Rljzmo11P5BW
GbQ7HwEZaMOE29bFXNH24TVJDfGgjCElp5P9JGqfnxeL8GGBtQkDJD3lrWv/5iB1o1kN37jAApwu
OZifwV03k06WIz6k8WmlEoRaPTP7HfYepaeLGE6UpX752ggOJqGcXTERTp9D/swg9/4kyhcPI5Uc
RHBdtkxQRZzCePB6n53O+ot7+NFI7Xiskw/d22duxxeHURbG9al2xD7PTDySfm98O20w7xJt/66q
bj9Qw02kbDlMFf3B1my/piFiMYL4uiXbnpALaMlEieKjyly9HX3/k7KaSyEFAXw/nodZAoXQNMyk
fQAE0FBnMQ+Sq4841XW7YHh09jjFuXRU42MpOxaRqx7oQCezcJg759cyG/g9pAdP2vas2zK5uMqk
M/2sBwt/Lki79Nu6BzgztqeP/8HemfQ4jmxZ+q8Uas8ESeNgBLp6oVkuySWfhw3h4R7OeTDO5K+v
j/5eVUVERmfiAb1q9CaBHCIpUaSZ3XvP+U7SChZUo7feK0xE27RV8kwamntAsjx+Vl6DCYoIWEXV
OkwHFEb9sQqTs26U0adVwZdD4irgPZGqk9UQSuwoxYCZtF9m71tDwXVACLU0AoMdctIqceaw7rPU
yktSuN6qd6ZbGRY3iQt4Lejdy5RFpKaRnXKIVAPBCDuSeUEprVZY599TOx42hAq8ZkB8TrXrYOhO
oaF1JJ/eum6LSB4l0mHQSSVUDjquGOZpPohphkWNhyZxzwY4qduGSDvjSC5b7DF8yQ1FjpMWMaK1
kqzdNBln/6VGQB5iCG8mnsYdX3aVluS6L2KnZWdn1JGRsDr5GfOJKIaKommxeVuBQaQXJDLIPV0k
cnR6zqTryxY/K0hWenHBunblGCCvCSOHDl3huys/9XuGfbFBCU/0Et7EPKiYgmlWlDW7lqT0Zhma
SY15JLGi8gmVXwWkXMtlM+HKlnNFphek7XQyZ7sJKaExFiBEOPgqTPuNRFdlLAJ6T5LxI67NfWKn
WoHtPpoIRYqZFG1wm6Ue9AotJoCIACH4KL4ng/XoBXQHg063saoJB1ZrYdPiWDc0n8KNn2my/ijw
d2cIZSTWAQNO64xv9+xX3QzGJ1Lk2iuvienfB5UcV7FvQLjDbhIWO8RVsDTMTqP/xNGypfNZpDh9
OE5xs9xEQ8xhrVs+xkMS67whDSN3M2K0l8R5dldjZPje+6qwkC/gyJitaUZyASqVxZuptXJJgBBC
0+sQP+l4oCcUEgM1IF010W6mEC7kJFZjQAW8zdrQNfZIDht8cpXWRhvPTZC1mBl4KcgQBkciEDdo
0Nrw1ssnfc0Uhwu2ZbJiHt7xRcvQbbEuDpW9UIxh02K6cjTTfCWLMDyBA2/e+rxoLZwSgyKKuUZP
H8op3mcD5y1JV9YmxIjuEkEdjXsfNsMz8KZhVedqfJF2r5i0hemNiA2WvSjAMZLnzZ3lusWm62r5
EpiKs6VorOnV0KeP3mkRNupt/uhr1ar0wG/WcUc/vWsODv9fMvIa4HMAHoe+ywBKdYkgLsrnjqKi
m8WAvUY5REP4PFb4eLVwAIkf9GVjrsjCrWb4U572B1btx66xBnyioWru4sxNxa2fKkz5qesy0MA2
wpEyB4c1Mk8Ybu0UOeIutbBxdDp2jbvUNcIPBv4GuYhRVocrWVnRfVUwzH+lIGiqqwlVEH3VLqqh
2QYhRBfo0pQ13wZarXLBSQ2vt2Seh165nAn0NUK3oe4uTTNGZ0tjutmJYThJ0d6MSWvt/dCJbyQV
E0Up50Rt0l16a+nwUjM2vCk13YsWHZ6t+3pKYXj4VZZeAAkU33LMxDvocP3eJwVBQ5NKhLPjR8aN
RvOLSULjnYcGdz0CxFjCIpHtUxohncayYuPMqUTrJ0u/EfJTppM6lhB3P33OlC0iTSAb98jSOczC
3Sf3UTghOd6FHqefEUHwAT6vUL9Ous65LQrDecrIkt9G5DO6G3i8Tno0UMezKozhWsu96r4IVBks
66TPv5uuLD47FNnPvTKRvYIq8laOnSHDpbVDMR4NlKGEpIoTeDItOyEXsO5RBKrsmJeDTND0FKDt
OX938drTQ/kMYETIZVx7wzYu/cK8cgAzfBRa1d04iSnv9SJPj3lEz4/OrO8+pJVhv04tOwhIGRZJ
og2DZ6fTmLVDnMNANKaoM/CcraTpOjufpvjaCGwDSaHZ7DvLJG4isOhk2G2va6wRBQH2knY6rARs
sZikvKl+GEJDu6YPQtcTfBp9JofgC8RbGjL7eTSUE4LWqXQEDI2xjvnBmK7DtCmuakLBzM0kRG3f
VDFu8qwOeOhAB4hZSNn5YsWgFJG/B5CDWaXfNj46VFOrqEB09j8VMEG/oZOrjWeYrKF5o+kjTXRC
O6hhQLzmoMWFCwitpIQKVn2fBhBEtQSmVySp0rcBTLHgGOUaacYdbMMbAw1KcAXSytaPPbh9Juge
cgBaE8WtVwwlzqNYG9tbX4FOefTR4Q+I19F6QAAxSWpZ5wmvvMfsHBE2XpjENeS2b5R3TxojuANO
LnRNfNZ9Bw3RTrMmsfNsOaygXZk79rPsLCaqbVp3couJjJEg9GpGtnE9HWvfImY7Z0pyiJBKq2WJ
loFwxbqr3gfpAHlEE8TxQejXUNCYvVb+rc4Lv6zqyF83Dk3SmvjFZ2m06gB8OXiICRlaJjXMRIRn
TkAScICJi9NNzi9cILIZpSqPdChw8AvLIgGEkaPkZy0bGwwaEpnmYqJUP0vE58hMQ/Fg9c2gtmSS
ACAsnIRlOWscUPplHGd7sHviYTS6iJ95HN1g7Y1tezcIcqH2xiipEM0p+GCbY7H0q56WXteHItgB
zvfXBvXHW2lkHiFUenqZrOKiXGPY1shDiEgqyX3IJ/uIkF1CP7YParJpXJvNfQAi2VhEuX/oUVi/
sWHEd4FrgnQjZoBIWWWoTS+0BG1K5UPKtFz1EQQ5R7DC9oEH6v0uhaodbcohdBkTR1VsrPVaWBsl
3LkHhF6v2jKjDvyTHWLXq4ueHnE/4K5I0KMuVTMW72U9vjfEEAo0AxGRF4Vu2oBhxIy6pjkFz+OH
4uw3dlvihP6y4qG2+tH1K1A76gXOjb1VpMQwCLuurvJUi+//9ctgd/YcywQwhYz558t0U5YXvq/1
e3eomD9jgICmNirL/ZuvM6dp/lzAzb+vYTHIpSKknvv5OoanmQ1yhXY/tXn7Fs87PEwBKoJglCk0
Ci2JvqcdvRJmaJkp/+bq5ny3fr28K0AVecCxPefXrxn1QaLhrGr2VkW8PbqN5s6U4ELx1ELup2t/
IxUSowRz4UsyFrQ5OE10unc/cbqwvo4ZRsAAfW70gPDZTsNlcIti7whFW0XXA6A2sM/oCmt9lJ7r
qmKpKlwizco4LBjaeMe//t3+/IWohHWXkl03pIkv/Of7OaFGddOiLfdTVBMhjUoe1UpXRD25iU4H
N4hlXIp/oItJ/Qq+F795Jv98UQEsyjIMycnUcWfE7o/PZIX30Oro0HDRYDoKV3CWbugdBleROyqo
vv/dnfjNxX4Ot5tLfi5GLBZfkP8TBKGfLwbcDnStzMiHgHe4tivzY0i0TaYPzd98qz+/aQjOOYZI
G/GeJez53//gasdrZZSFivJ9hAytOVtG6bNx5obd7v76Gxm/uX+2Z1FFckw0ER7/8qMFJFXF9mSn
+8ai2Ry2HCkgvofBke6HABlrCrPeerQXPba8vj4nfSusC+a8JRtR+NF+nf5KA5EBuhgfOt3X+bD6
Oiv+9Uf90z0xDJNHy6Oxw22xZxzCj/ck0EjPrAoZ7ZMw1N19KdvmMhQDxdK/fB2gYVBFIDBzGe+X
ew+IpFYBGNF97lMMrCqmztFqzty6+rrO/+123/9zkXfEj5JM5/Eg/vert3pr3v6J175+y77/x7+f
ItxhP7cG/+eP/bM9KP6wBLsD74gnXN7Uf/QGPfMP00UjSc3kSp5oAVj7v3qDFn/CAdGt8xrbLPk8
Qf/VGzT+8Ggy2p4upcGfdZx/pTdIJ/HHpd2VDMAkrwfpenQZ5/nHz4/qwDwIxBK4qbxDyEBYWLnt
bZVt2eWvRVV7+8jvSI01hoWNTH/u5JwCOxN/s8NgSP7N5zDBY7GK4AVwxAzP+GEZEV5AUVX4ML+T
Ot1hzt1YItlgw3baYxgeLIxBzsXPZtwC0SjjLLfDLHqKSeJeqErct8q9rvFpkI7MyErPSTYbSO0h
rooupqTx4x5KA7sGTT2kbs3NiJGcwk0R5wlCTm8f+jo+jjZCSR/gRVZfhmQ494l/ZYoSeLWz8evs
ycoQ6dISRdGf3LeRqPDoBG8WtcFKR7SzwgA+lPAwK8yOXGjF5G606Mah0i7vxYiG2R9xSYoLDiAx
jwepLbGqAcJ4hrWbYNyY0GYG9DwG59jluKTsMFiO5qnQCvyJqAwkzZjplhbKnXLqq5rEKAiDV3nI
KTxBne2qu2GwXyQBdVj1kmvST5lDBx0ndfqGO2FHT15BNo2kVzDY34sw2kn9Vav1B5cdN2jcE8Op
W7I5tyYEN2PQVr1pqoXp8jEcz1yObbJGNv2NBNKPSAmHvCqBoSRxPkE6+XvYPnAkJwGSOGnViir6
0Bj9SQOtCvgCaE9vmEsBZwwr8r7Sb+vcXQIdJmjC6u/UEFwMHVYVggTulofyPx/XkbNqnB6WnnjI
JKEOJMMsnPpO5cNnh1BgqPWXiTbGWOrgrvvyOUAHNcJGQrxhb7KB8bOPxdn1HuaaPaHv5Ajc2DjQ
SJpH1K5314HmP/vldICmdlu5HnWE2z7gIV0ZxkeRZde13h2QM8RL4IqrAu/vwuD8v2bfwBxM+vbQ
vMaiWZpWM9FZT58JmFpA2HiIMl1foMn9KBQeEPTIq6LG+WDq2jqLm3e9gZXk6z4YpvGqQbDgAhe3
u/Apzox7K3tyyZU5x7gInzhlMm6zbvyh61Bo9t6ioluy50i6AjaNjobSWuW7JkyeacJ8T7TiNE7n
0n6oLcpSQ5G7Y5aUvY2Lo5sUJahaT5aR9zNImmzL8DL57rEb0Fs79qazxdkabypZnlysnHWFdZVj
XXG0MK21Lce41gkvDShFGnnNTli44BsAlxDyYH3L8NIFxhHgHtKyfZ2jyrId4iild4nQ5yxo7T+V
ExiDxPkGLXEdk4K5SDSjOinPmEmySQobRqzRBzNejb7Zqdyo5GIZ+rIvjRv8VTT8rE2qT48kOu4I
DFpArO8X0+Q8acheGUNueTTclR6a2V7M7a/O0IGXds51gUYoNMFHm9ND1Jn2SrXuS8Q4Z5lA/HAm
ezmORG1nw9nlHGGawzKfpHugMl7DbHl3Outi+PH8OplnTwdNpxr7HHlgkBPvlYhdDkD2R5EYe8aW
N6OOWcIyi2xDUtTOzslYShUoisIdcEdX8W3ArBCytX4OgBJi0rtUSPD0WufOk9ARoJKXZXTKorxf
Ob5gtEsqkzXO2g7HvgCCucnSWC1GyMeRzLdd6FsQ4UJMoHX5rbCJVBmdxwzjjMM/II8OfQl4udU4
FCgfqgdEh2eSQV5a4pxm/DvADVc+Tv14h0Q7IFzhNLjNocCV22XVvY7reBLqpUntV7NBD1r4R31s
X1AhPCWjm2HK4XugLR81sI8dTD43Mm8ZCd3SSt0PGSk8IHWvELiSxJIAeFCIAhGYVvHOlf0ey9bO
NMV2Ij9RkHIHfOVNBhNSM3BGtDnNk/J583OFdcFQ8rtpuo8IXsgxSay16vFwMdxHy5HW60yANauN
fCcn781szWGharRaHtDClMyZpRlrD2YhcHGMTH6h2TWj8aS8/NvoumptZYzC9Kx+ixOXFwPkWtj0
L53nX3JN3mu9nB0Y5Jci0ayRR2/rKjmZRbCfAuu7Cohl5yyfroyoPk7cVs33T6SjbyoasgurQCRM
nzOmbw8GAYmMTcvQXws9OfDq7RuD/BQEwBcAq1A8wyAB+6SdLJ3+ShREH1XBsGdKb/WGaAVQ9Tc1
qHTl8jwQ7Ri6ybpyXNwasIEn64qxzhp9KQFvnHxltCtAjuijj80aR1vy4OPbBvy4TcYWRX6OJp1F
SC/8TRP627JyVmXxGtb5NVLvp64y9kPqrZrUOhDGsOs7YlRFvjK8DnaKxAcYDT7t8YaZ9h2piCvV
WLsxulZF8wT6BK9gig+0ht9mPDNCOps9YMsJ1ZvrbaPGJ0e79neTFk6roavuHb95q5L2C2NNDFJF
NGC1YoC4cGha5R4Tp7TFa3Ac6KNnc3ykllc32iROhFFvunLALRTzymu2e7GH8HuJRAjhaeHq53D4
zLrpWredDY0tunHis/ELtRZtvAIFf+D8tuz66BNz2UcYWGfhNNfCqXYze10f+7XeMra3K+9Z0iKP
28+GoTxyReZH+bK2q2tbDbyExTOvyKMaYbmkr51MXuIufw2ImkO8cWz19kxCKzIwm+XFD082ixY0
4JuqLq7cHi028UFjmZ2Vnb1mAWO1UbO+ea4iw8TcFcN4coMoI0ID0IGH7UOgkDPat3Zqn8PYW6c2
/jQjfp+q/FsmxgNgFVnibR3wb9oI2pywBFNZL7MUDQYhKT3ijuxKsCjg4CafoGynVcjszGradTNk
216cphhiCnJ32tPfO9mtRUpIHIwanuZm6wxwRNHdhYl+KgJcp6mnjoGV3FQk48FmuYXLtAwDAiQo
chlIpEezfoitZCWUtinr+LqM6x3DRnLHu+jRjVxM1KSR5SFfK764yFxbd5sOBNFm9YflDYcwSnZY
rB085Ucrg2nsDNBpVLQO6vSAyW7luM4j4ktmqS0NP2vmdeAYt5VWL+2kmWAIZQ/IlKwbYteNpRMS
tEogDgebomCCDSKo16qrBLpo0piEplv2pQydlyAeGWC2T3WXbslbyxauVT1WyYyCih9jF2As1ksH
5XAwcJiZEG6ZCxxb2IDlUtjZrSoJxvPr7WgwLcSvbwYnJB10SMPh6Hk86j5hBv1nykSrjW5oll71
mXfxm+gc11dAWWGDuMvhdphwh9ab0MnPyi8g1pnVQEZqyP4RrTW9vW3ZilYjXWcUT5P3QIvvKej1
26jVWQ/kNgrIe062jWCeEFlAxuSmrNrjoGc3nXEh9XCdgmyeolcyZAFgGvRfWgQu8be+b3bYZ4/k
gASoSoargaH9slfOp5c/hrybYxFc9UawiCsmbLjs81LBlT1GBgKgVN4TrrqRDKMiZOMU6u3Knl2o
kvNDq7lPSQNmZlSPagrWE3kirXmAELNEud+w0aJ9JalEZc4drtDOXgfoDPoliDDlwYJi/qJn2UOg
A/DOuzi68lyYoUjMOVrW05Xr58mplE72rtnkYeQA+ve+L8BI6Qyan5GxFY8Kdu9iQrW+7BDVfOZN
Iy8eoz80k6L76MCAr0k/AEViw+qFu+V3S5+MZ1MyTCdjQn938jS8kQLNua4CGwsQAuidZ2K0ZNws
Aepk3i1sOe6k1oSvGadh2rklMJ9Ys411UxKzEnsSzXVIRN46FTkvbBpBSBiDnVtZ+ncuKd/ddJq+
kc+j7xBAN1tfj427wqnExkAZe5bhWF3peZwddM2t7qj3OB9zMKN/XOX1jcoScS/5xAgLFXtLHPZ7
3ajLQ9FZwb7VILniL2aPm7RhBURB7gOlkTSXdam3xfqqTnkRwyGKKmi1tjftNa+sTybR5ldp1dZX
Xut2uMdR/D0Olcd9L5zy1FhwQ2DynQpJeChtSj2+K2TjPuqVPr6XRa4OceP4m4DAnrM1TMULU3MP
JWSuCBoSvD+SFJZvkuk3wbrC7jGphPHZ6hr73iZP8ZZxw3hT9155bfSVfdtZ8XCuCi+kPf7YQULG
xI/9YmqGW78wrAfNssZukUej+YJitN8M8GTJahzSG4xn7TWhhS4u27B5DWczYla0kjQGdL9EDecX
HD3IHo2mPqetwQA1GktqSGIqvGBONkDyt4GjG2wDzvULR5QwAIh/XwjfNBACxNnWC4Nym80Fdg5o
biQ20TeJEO2hOsBDfxItnByoQ9kr5ETzuhxa2E/ggw4azCPWlBy1QxpdiuF1wFgG1dFedk06nk2T
aTnBq2N3V/NkjhDg6zHbMqwDgaamd5skdireurVXNOXufc15kPl0dlTy4qCvtexsH+LOsCaUc1bD
QMYZDgriD3ScmeJrLzUktStLg28wsv/q7nOvQRMYiUZpDevDYSItyDHBHLgGtYxmKNkghl1Da+jZ
GNDWokCkE3otA0vf5n71NJjFPe22fUQ+XWq1K8uYlmEs+MTttkuuTb16NAxwCqVWPyNYQLoYRJwo
M+e+s7oHXzPO5exQ1liJojA5jgMBRHI8S9wp+xLM1spGn4EhskN6PCFGYVgDEARra5yvUdicVNQT
4R1zKK/RM6Ax2nS4CfNaM1dYidunNizxG9QHL8QD68lNkOafmKwefugP/aY1K2Y52E/9dEhwxGbZ
1Jo2Gb36r+18R8acmGyn3znpE2V+dJiGdjgPfclU0UjHK93J1fVQBNMN61N420eOfW/EdXyufOX0
ixrP4rNMuuyb+/WqJPNbQ+iFd23Pb1I4v1PJ/Hap+T0zvt64+d1D7ZrcweOggVLwarbzOyrnt3Wc
39t0foP9r5d5CER91aYJCVk+7/o4v/WwZ0qKuiJYZ9mkThnm/W1PojvWzsCX+9hPxhVBuf7FFDZs
6HltMeZVZprXm8Bn5dEb0EHKQqSEpot1ySDqdhGEYXNHZHd9pxd1dqBZX12VU0Uo0kQ15s0rnenb
rHnz6ufM66A9r4gkNBtMmVklq7GJMPJDSShVuE6+FlPA0QV7J5RFEhNZbNvU63djIhF8lZwzSn30
bq048dahMJPHToQUDH3P8g3NxjmosQ9vLK8w3gm2HdaZ8paijNnkvzYBLNbkrM07AyEs3Yc/7xbF
vG/EkTd+6vNeQo4ZwKF5fzHmnYZZLJsOv2axx9jprdW8J8l5d6rnfcp3U4A/Q3Es5j2MfrG2NNjW
Ij9C9yynevqgSXiQWLcq6OdG/dhXmf4MPZahCQgN82m0XZpaZKiPL0Q4o1cYhYw3ZUADKuHZnCca
xWLKOMAhjDUXArW9W6f5dRiCWjZLM7wuO548kapNOev4HJJQ4aUSj/dmfWn8ii+9nz5L/+ovFWDU
fF1RYB5cuhnjT/ZpzZ1lhDkKwhpN96UgmZl8HtNk1soisXV6Sb0KL4KTQtZoOfQOx0q+Cb28wQ3C
FBBgOBPB0CfouKJaWLZf08IuI/wNfQpdNdBk606p25Bqc9dr1kuV08pp9Y5KYuJcCZ7qcUwR9QTE
A6EsuY9jdZ82+MC1Pka5qOXZda/nzVpSsH+niHnSpG6fRAt8sy6thy7i6NmR2LHWMyC3XRNKkBpB
eit7RztKPBprNvoaxEIS3bs6ZlenqeOr0HHuIyO+l3gyDrHyEpzXHLPbTL8KhAFeoguHcOMMHYee
BpBaJ5zXiNSznTQijGGwElI1hZyKkxbx5HhEyq4v+oz/vOfBWMZu92y3RnGV27ogtHuwlklVmFs1
IrU2Oi+DqmJt0bSR65P32A90ZW9optJW0au3tNVvOBeayHyGWSMCVrEYHgtMI3e9VlKOMT3cWm3b
SSSaSXEkco7onyQots0ITLIHgbAVsVNupDth8La6etOZvGuFpK8Jdo8KLBgxkQ31a5937n40kug5
mvJXm4AT3FplhYNWNtvME9XWnzDBMEGsF2jPh2Vl1JgySrIdRx8cvo7mctnEtsXu6GUcLUqdcv5i
qxHjs+AlHkNK/lD6BTk7Db/wSNXqz/VA7XX3/Dl7HwhEUlgxhfVAlFd+KBom2GbpAddl2z0hffsw
yjq7T0y8gHJgQUEJ9kEV8xkL5z7MHFBnRuQuTC2wrssZr0sYgUlhE37UpI1j1kAQlKg6W3EqAKI5
Rt+I9n7u0xfdjk8NhhGnMVGV5+gKjQIKc5J/OvV0O+I44SiMAAuVfCqw57hAoKHjXdeV2a0IHULT
iOwGFQYy2aKwqrvOMPUH1Pw11avxPhS40GwVP7hVujMqFi5NyJ7KGOekExjhMXDFAd8MiB3B+zVU
bBKFxnGAhvR159uQjVq3ULuo6QrgnfDZA3yVzzHSRvRoYtxMQwI7ZiBbBh9o002vhI5lKwZO4dKF
Q7dEGkFkI2rgN2DBYh9ojn4I8c7t08aqz37hNhfyL/OL7WvDN5/152CYyt0N84kKvYN7VPMpS8zn
rf7r5DWfwUytcfdkaGkr/+t0xoprPcj5yDYHTGxb7vjXxvv/x1j3Y8kk6u2DduAqqgljfG9+lKpD
X58l3//nGdbT97r5twVO7bf0N3/un0Ms/Q/doXawdNf9mfEu7T8k8h6H6RY2Jv7KGPK/5ljuH6ZA
7QykxfZMl0H0j3MssAGGKZnDU324TKj/9//6aZZe//L3/5a32aWI8qb+j3//eTZMKK0nCeBzPM4W
oCAc55eJq2tpAUkbjtxWYZtsEL+S+obyZQUKAOl2Pv7N0Nv4leXO9SyGvIzuuCMeX+TncVVsDr5g
AEyWY4KUnFCp+DtjLUUtnTP7GbueucPEdKnlv4KoCjHWg6ljt49T5cMj6kyyFDpfdqsffrbfHC1/
HefN98EypS5pDJo4CNxfxv5eXTMkHzNkV2b62uR8DqPX5AKKwc5sLOhbEwD5VFQbH9fdKhxPdkWD
4K8/BL/pD6fbr9/CwmNg6rrpoFqxf/kMiYQnNKf7bcsIMRQhY/4Ve11x/9dX+c0vjqpB2tIllNhD
gvPzL+Byk+OQDtWWftrOTvoniWFqh3ykXCgaoH9zY3/znWy0N4Jf3DYtHqSfr1aZlYEJWHpbj919
M0C8WKDFNf/mKj+LNr7unMcbQfSBo/MMm788VciEDdXbvruFkMfXSEagVGl722XR+7988zCl4C7x
+D7ScX65kK0R5Pn1+PoRQ6pMiz+pgBE0i/wi4uRvVAq/+aXgSaMR8YRlU/X8crGhtQpiuCx3WwhL
x8rExCjsIEBlk4NjC8rJX383c/4t/ket9I+7CJxICIsVwRLyl98qMjDWV27gbpVm4bDtCu/Yu75+
m0Ix2xdZiBwvV86G3j7z4iIuNgbBud+cufnS54O6jUGtYxrM2JkTRqGcPFW5dIRMVza+zksDCqJc
4fL11L6NCVEXWYYysSpBEy+KXjGraSCZtmRPdQs9dm6qLKv+4b/6afn7cbn73XuOP4isaAyh8s/P
IzmDZm+PkbsNcmimMXHI+5HUXIh89oNGmkoZ+8QeV8En0a/lGjGreU/IovybW/275xVHkWkBi8KB
av1yp6uYeBgMaR5cfVTOgxVd5zrwcEMPneVf/6h/vpJHXjmCLfCcFM+//qZhGdLroVO2df0oWw6t
xKJbZK91qJvrv74ST+afH1gyTpFCcFCk7/+Pf/+DFkFlhtCYAUL18TpzjYcOHD8r/sXkFH3raDwI
pkJYScDzGu7uiCJf6mrpO/jpF0lByxqcdLplpESLiOaLc4cV236zOyV3PQT8FFZJO955dWMdG05k
BwI9oi2gUeztJVElwyZF9LNUAOtocCLy171R7srQcjZelY8472v03ZWaXU0VnWyFsslAnoFeE7Wt
CewnM/xTG8b2mRBaBtd1WCOlxokAV1RGZ7Kc4rdRoUi1gMSt9RR9/OjNSOlOuftENe5zJCbr3GN1
RlBh1UuNZEpEeJVzJXXTPxnxuPLo3K5Tv6SFBLJnWWcGVQEoj3vLrMpns81LZnh4KAJA48z6RuUv
86Jn6JZ34yb38nQXkbRyp+mlOks9Y743uGWPY3wg1n3ohSIVsPNPFZPNxxBR17bLlHx3+hrTtK+L
l0SLn0j1pP/FvNuhmVidhVeJazcLVwTfMZjWMjQthG6xAgTmLaq8grTL0JEH3RL1eepG/N2Ncra1
qpItX6eEwUm6HF4C2mhT0aZXCAIHna4vkWEeVSJa16TN2lXLOMBdtpqKtqnqu+8cmbgn9FUQquTQ
5mgSXqvG97llwmz3+EXqJwML6yPNIJT5VEWUET6CcJpdtHNBUnjNg0wza99SzdJaV9qycmyLQ7MD
yFrpOEKigGEOQb1s/QuiOjJwDKk156R3zPfMwKsw5fF7m3XH7cPeZr/5DpkuAb8ti1BnRGurtO2X
sDTHg+uZ1gvUWsaYkq7zGVScThpAl3Ad2eo1KnufFPZFBWefeifrvce+BqH6KESaLzpdj9+VPZdC
rm/zxHtdXN+lFgcholj7ksCuCpMxwt/UsNzPifKCZPI2yoOV3gg/3krS1WDsJXANzSQjjcvBeLWK
UlDoPkhoBiKDszUnDjgL1oPsG020DtBV4WsrzwK3WYHeX4ggaXedD73WmbQgIuIl8GgjanPGORjW
Fc7566Qd4HuLgrDjITf4vGFfMW0IZYP1lxjC0ANBEU1HswdsBKX/KvTs6hDQwryjR8bsNBo3iN7D
e1P3hnUUlQCm+Wz0Hopg46nG20lbz/h9hwzpxMDzAXeHj8pQBFpmERh0lhAQiFF9LwzoIFFbRZxP
lXr1fM8xOKAKBbqyooZD+74kOhqeHTzxfqtJx1qpNOHugzM9UTl6hLiO4T7MGffGVGMziDN7Y94c
X8f46XZSVP4HDAN7Hsb2/U0XEziT8hPf+a7QCRHW0nU/duFWG9iFOYpW752dNTemV487skcRfNWt
XBN5aWxwucKXM73N0HFAHCbDOuCcitfoYvpFRc7PosMLbUfyUBcSCX029Qje6kCiifcfgrGzDpBq
UUqBczxUVeO9YScRD+ZkN2uINAxDKr9qOZXPcTb4vHYhFFiczbDK6c2jhk1mmm3J4RhiYXgIZtG+
rOorWejJkl1vxAbTtrvKn/IT81Ys3qXVT6sih3cfOFWM10OD30n2crEaMg7ewp6ua0F3sIvd6Y7C
tD6VUxJ9Ix0iQ1AE0Y5tPtoqlQyXuiv6PaBZ/7kM9GCB98ZjIGFNAPRGDdueO50CL35uHc/Z0rCE
hZ779TJAm5Zmt7qegLSlkbBHekp3YqbjT4h20lZqm0I4/fe8z5kPJmWCMge7pfFMTLY4IV049YTQ
rWQZB8uh10lCsEbjmDYCGQkptOmmIpeDgr/oN4U102doky9iA23NVFXdrV+XebSpLOjkaTOZ0KG0
T7Csi6x37XsOSdO2VSFat4JX2YGBYJD/saaJaZxISb4po+oo4nxcuIZWLidW8C2OvDdjBriGfHMB
vw9COUZSq0GuBmk3pOO2HhjmL0Xbi2vVt/5trkNrd/3/ZO9MdiNH1iz9LrVuJowzuaiNz+6aPDRL
G0IhhTiTRiONRvLp+/O81ejMvNU3UYtaNFAJRAKJQEo+kDSz/5zznXS+KiLvxmsBwiLlkYtxg2ln
jO7eE4L165BpyDqYASL6XbTDAMSsIphM8EqV8LSl8HAGE5AQFIhEmsCZbSzDtgqjyxP7sglQZu4e
aGxO9io31drmYXOL0wrmYGfFDxnv903FBiwrxAlIClVQI1TDvCgoYKx0G25C7A6k6WZVjltALy0s
5HgJYdU0KAspD6+XMVP9T+qGEuprQlgURyTgCW5Dg9Y/9Mv37OQQsHIqUk2oP2i6a4/8uGU1RLQQ
Fh70QduPO6SY6p5n/0bw8AELKrr9UvTJmuaz8g0zaHfCv5iubM1gzZ5NtymrNNvlRM1WAPm4jY26
UkuCG6nynkcHzlAaW09uZWiqYJE/B3Qt7/olKcp1mdnAFZPAcOXinlxDau0enEA8hDloB+ZYtNpD
VDwM2BBO09x7h7rT+qiJsFwINE23D3wuipFp7T5tq2DPI8XaJqpnECmd6nomU3DWEupWQ3r1rY28
ftt59FtZc3FFPAmoZB+33yxIOLoaHB8L1NinFJss5pXJN79UtTDXa0VTbwrVL9i10FQpZJp3lhW1
tJy19REq73frUA0xmcR+AHHa7RAuzjlBwdO8+P66jUl1rGzbGp/Hsky/QSOpLS1A810HjOYY+l2y
u+TQ7rGIpztA7F/QzfSt3Vjpjgxgc0J2wR1EhhIfwUivkinaea0ZIW6HWvzoFnw5vZsRyorGabdQ
aEHjJAEw6DhcCdHkiJ3tasp7nIIAz5SXJDyBuq4GwjEGRuGAMu0n7aczQUamr75EWRr4RGII9vuk
iW3qOVo6pLPgqvT066ym9gZT+O1Utf2XX0t93UlXblK7moD3O7fabfttnMAlcPvA30ObGY/Iv3tA
Is80bJclHYwy3XZN0pzapKYpU2J3THWAy6Gfhts4NO1esAgeJpmemrlWT55E2GqyyNl0MOW+OupX
WLnZFJBybSl7oCGPLBbP5ksL6y0IyfSHPTY4XASaJtBHSF2uqNoNg4zxPGXqRc7NwKQRi66DH6jG
KAPjaNwsQym3lZ42qp0ioo3tsh/Jdq8rB+fUIsMbZ0HhdfI8/8HGHhxKCjh6XhI09saNnBXNws99
YZE5CpvtWIrPJsgP2tjDsdIzsccMp6/bkqCKmICz9k3eYQDItK8s2i9iCAGQPndzMM/5SkorOhFe
KzaOi7LrVo/wJ2u8fyUwQeNvmg5plq08w/00TrcBCc99NsY5Y298k6r2iS35yWtYM6eWgrvZUKu5
wIIeJJrbgIekH/FvWvo5KhzaTMZlw0f7Fg8or25mfUZ5++y45U2TBw/pyAqV1/ZdNYW/0vKXMhEJ
LIyRK4E9Ywg0DdudPEk/vM59+8ZyFob69KpdV8qiCiK2rymjK/eJcaPPdgqB6ThEpXGwNBFRLjfo
6pfF/WIUV+0iEvxr2xQ0enVkw7Q/A4+p+/xRtzmdTX3zpJboOegK/nQfpUzep9a/zuzqzXP8gRoD
T1HUoYpdU2dPmRMf/Lp+RMJ5a5zuKAc0VR+HmBuUvHYHeSmQo9nqEcvHUECYcCx8VZ7P/CLrHKq9
SROboLoHMegfofH9ZOxwDMy8gU6P7Qcvz9CN46YrsuQA3WK8a+LUv5tl2P8aqipmaEb9cGLROwQ/
ajcmZtnXJvlZuiEHc477jwMBU57GF2cJPrzgE+KR3NW9t05JKe4UtfWnuazw/yWGcGI2BZj9AE3R
SR7pTT9RNwTTUq3iprmhGGFa983EXkVSFujC8gEVwBGhN3nJqd5iD8MbpnMJd4qDVy3yvAYuBt83
51bo+Fb4EAWYGlwQ4IGj3scapBiAT/ji7D7r0tErP+GZD+x4jXPxPsO/5hbJyzBjuQtwVzVUV6xJ
idMMEFbqmGULuGCveRLEntcKe6AzFfK1sHHv0pgmV3n7M7S8l6ASVHgBBsVE1vOlqfJZOq4+A4eq
nyeGobjm/eqgTGofvMVptzS6g9Lp+uIjH/UA3o/4mGYgcgobAWoe2MSGojX2tqF6b+wL2DEIeKei
MOD5xjvf7nAy1G67XdxKf4dz5t7l7cTuLnAp2hWi3cEPHFBBxE3DmYX+Qi86mSZhc0Qxnu+osxo4
YPgy6l4zafn7JiPyzYjlodN0Uyeyww+dUh5cD3d9B5584tmx9agDv2ljhxBxMXFuzm2KBvFkNmDq
wKiRZ+/Y/asXt4SBoSNX7JxciW2aDPE6NMH06FjUX4QNeFajjNilbdh+TrypU6jAAwcTX6lja3lw
MkvvWW/FLcKyOKZt2ZxquMpwSrdB0zo3Yu4wQYOCuinpPn3uUXmeQR/8Sib6KR2nGWlkdsUL+tJw
aHBzPkg5qp+Ga/sMzTcAVenS1eVCxJBDNu6nesrWpor7W19fCBuMcTZhlsEy7XIMD1gqeI+93YdP
ogX/oNPB3Qk75zLsmfGtK7evxQoHgz72NZiDSVRvc8dWMWXiBXowa7Z5Z89YT9kKDRyR93GBjX2a
0UahHegDHnKf1rQgOEnQ6G+Au3AGqmBbcfuCa7D1MfEKF+q8bzaKTsBzjurFbrGUpzDMxks5yI+M
QdR6pCr5BuxXfHBG395NzFLACRu9p5gnv/EmpY4gC7dNbKZdzI3OWapWV20Bu7DIFftK361vYqPZ
4OKuwrtnm824JNlRLhdZaHKCfV0N/hW/Z97qvMz2i++MNJSY6JREWOp6Db8DJ/B05gD2YHrHfS+b
AsvfNHxR0UC3aZm+N+FSgdnMEgLzyxfHcXUfm47irxQcwzq3dL+jm3S8skT/5Dg+3hUCFw2u9izQ
3rbP2A733jyvVcLIzZl6ZE0BEQETi8VsqFHA32tNeDauLZupI/ANmlG4fNpWkupok3THoc970amy
ARy08mXEYnZKLtzUqNHwRDL4t2tae5ofzCqaJ2mZGP9FhgRXZu49OXxxdi4EtAxhdF5RYqnOpRP/
7MDe3TOPC9bScodV7cl2bZKlWA9xCFtN6vAayrfCo9+V2yCeyuM4wQ2RXRJsO6ut95ZFmkQCN1sB
JsqplIQJjfUVcHVktwSum+Xd9J44pEs6v5LOBD1RFIoJR/AzJHzO5oDuCAQCyCO1K+8qF4NjOc75
dTBy0opil9KdTvwg5CRBS9J5c8BugoQ5NsWWeiCiG+OYY/IpmagC2NZEWTztjj/mQnhfYwFQ4GTR
kbofTQgQwA2W8NVuJoFTz4STv1U6y79bLrIQ18ZcyOssHebHBTNzuK6EpZJtZEEfBwukqlcT+Hpr
zYaT3jIsjxBEvL0cK1bHufQ2qCYPGNB4Zsaq/KyBm+yKyJ420TSlW9Gg8pc9MYukbK7KYbyNalud
qtAjMFGydnCvVssNaIB4W5D/4l2ES69XWUM920D69JlfpJ7qqmlfy8uz0yaYA4Si3BWYVK6xLNq7
yjbgeYtoaN6Qo93T4NfOdvHCdt54bZccbLwwT6ablwfojt1jXrrejahjgXBPS6y4cO9mACvVmuQ7
wrGkZoNfnetNtyQY1DC/80ysBesvAPKoXi0UslETb6wtKONLa2FmFetq0DiJQqy9GDXLZFOWLAYw
irVF21/XV7AGjPwISpBJl++kfAx5/tzqOtK/gFDQYZNwmNxrPuromvU7K3e5o+4Tv+fpVd4HUYw/
Do/EGpMyed9YpDfG12cPBB35WF4P1jZakUfrloF7uMoTs+7HS/oEHWFn+aA4MeN2e1ocgBkWcg29
eh1bFg7ZqfQJ9cZdeeOneE8Q7p9D7G3ZBvSjxQFBBh8BR6kDFYrOWqlk2JoYT024DPqeIyXk+LKG
1AL2fotdkFc1ZK9mZvVzfD1t6WKmEH4xX0vveEdKRADSL+ZZz9mhM4PZM6nFIhAl4gyNpN+6F55k
oy92jxweeDPQhDZnZXdyo/w+GBq9pXfjlHiwudZcLfYmYCq8Zaqjb2iAdH5ObXjBORU1qQSsj7Qc
KDGSbRNyuAKwp/dh6ANQSZWIvoICTwxESvnC+EP+aKJ+uE8NQMUojoo7PnnOxYzudvaowjv2clib
oEnsau6+jRidX0OWKoiP9nTnLykhbBFXyU9msOzwmZfLq8ZNB1rbeeaBQupJN+6onaBgxqQdnomy
jYfhu/SEPW2FnSxiExhsaXtQERnPTFdiTm5LzMWZWzHN8mfNMZhuMIj8QzxjLsHehKSKWYa2sLC+
GfyyeCqDEQZCFnXXfRoYPDgXxSXJrfdZ4kqtcryzGaSrXpv+3odLta+lLe4Yi4T86D5mfNEz0fND
wL67mL1sDFmnw9pOAfS2zmB3ovQQ+FHgPqAu0V1QbTD39CvjFltOQMlaEk7Ri3oCdB4/NZOhb6RP
5wLvS4MfJLSX17qZXih8ojNsKJ0LPQYCDgE/UPspdQR5fkpbZkIIOkAVcuu5Nxa9hWQ7LmN3YLTZ
kp9kMm3qOvN2Q8upC0NxQTwv5jA7ehaDl0y5R3awIM5yPJF01QysiqCyItkz2jEARlQ0UErWGxoR
aLegIwFVxbpte3dud8KqmeMw0cgeSIz7oL51e6Rk4NIAmsmHYJxrClqGwAbKXPeo1Aw84HYt2hnO
vdt4Ng8wbDIild1BlSmHSFgost24iadOlusIjDziknGMeoxqKWNNYcLglfe17IaZmDhChd8+u8s4
uJcTS3VORNpeGhQ792t2Oja9lrTIbscNKUEmi/KJ0i8eluV4GSGXbuJ+e6Be2ApFkbUv0BBY3piX
vPhTGb4OcxZeo0i1NxUWgXuEz/AYOK77JPw0lcBnLHr2Ussz0L2rPn4b56hlI4MD6ChY4QTXtsgZ
pwUM7bRfc28VI/bJjYVl7ZfXeO4TYCjxjPdafpdhs3Dwj3uI0J2gW0h1BQUYXeyVX53li2MyzdNB
oIw85LWfpBj1rZ51pw3e59AL73xZVD+pFkiYmKbpnZ7aS1OXS9NOr9P6o8BveZK1x383JmYMUVkc
mICtKHoDZOs/xK0fyXVbe/ZHL1NiMWoYMYJFWXAuBWBZwNt9erYWj9luZu2cLMmfQdsN323jtM+I
SMlLTYXqm8W9v7V6PnmYXE15DNhJHuYmX14SqFqv1FRza855Mrw5ygo+mAJ77xXRqfWIRZMcUE7G
rWcLv1z47g2XyElitGZJaalnDOfp21kis7aY26wbQaFQ30devZ5BUz5bfp0d3UnMN8qY+K2waU4X
IWkQMUf0RDNmDtAxBgo5WpV8LAxZuAFgebxFzZBAaGrhCPMlkGJiAwicD5DTjpzrI4tX82tsdHum
KUTsERssd+X7cNDY5lExXVrvOeMeOETYKJjdiGQz2mlFX05ZQCKE5kt7CV1vbivrM3LZwCkvZd4F
aY5NSePU8mGGmhevSqByfDg+Q0jP6YsbZzDV0TMzmdQkG06510oaF3KEwdYe3G5d0Ne6rJwoB7oU
GyE2Q1m3NzwwoBl6Od+cI2fV7jkm06QwOh2n6Lb2qVmH01uyz4bM/mkXyvxgYG3OQiTdA13gFyyo
rm4a0ZSnhQra79jzo5tkkJIsTmgRN7FH99vXQ/urdEpDNmps9VuD9eS1UArjZuWGJL6ivCP6Nhsa
qMkUkuvlUo03GQLpY++DD1xFLfUgKzim4t5Sg/ecwl38ghr3bF9g/k3PjmScJT3CYZUSPHB9UpuL
NvNH3cdZuFbMTjX7KQh7IaP35dAPjPWofqfonWMAHzIwGjYYViAXcSqyzqsJI9kCvYE6k1vioH67
8VFdeUakDaA94pNXWcH6BfbBpx95oTiFGqaxrghnsNgA6EOIlpElbsbOw4jOJeHcCv07CQpMF7HU
MP3QCur1JlX9q2dTVbqpaac4knhs7zO+qGjnRb331CMQznhCu/CLrZEH4Civ588ibQzDlUqGxYEi
P5eNlNPP846ruej3CaZvHhCqB4JPpDh4120cAOlly3+VEud8CobLyhYHZp8uFlN7q7HjUxrOP5Uq
aQgJ+VBWHK25T9gj8Q4QE2wngGDJkssce0LHCd9ATVVfKjUJI8vBpzBnxipi29f+wAiTtcBTwZ6s
vUehBhNsB2a5QvBw+YtHexhHvcLuazdbmbo1SocdtsPWy3JGZz05sqT3qmPo5ReeYzoIexMKusLo
g+k+1QxWikS5zfKPdDNflaUF3s4MwetCLB1oS8rhrVZJXR4oUnS/wOqKq1l5DQfcZbb380gfk1tC
3KxgB+6CChGIS7I5UgWIUBYipp2DmHEmGqRmNemT/nOh8YAtHgCslyIkTG2I29HsRWR0tOMr3/Ji
wPlufDaLi/mVt92fZtWrm3nW1gatljP+XO68QFgrC7Vvz9mGCitOzfK7i7CAXwjF+TmL/LsK3ZfS
2i7FEkqgdO30FmXTtZ2NO3T7jLyA9+G3Yr63gsL7hJ5F00UjrmfHbr+07xZPFPRW4rCYNmb463Wv
Mav59cWxflvJ1rpPLefvjBj/bHmJhYcLioXb8UA6XOwTf3AskMELqbzoosuZHvGUE/M5pBjmrhok
9Ulos+KOeuLiiTI3ltJ/bZjw/jO7BBYUVFBwFhhv/uLvWRwriPJ4ivZzQBopDqQ6jKpHRRDI9q6h
ChEANUsrZLnxyywsKUrreidHuFSab7aUUNajqGbYKUWOjRmBqZkCd0ezZI/e7NjnJjUuY5k6CIGX
1SQdVeC1J+MVyw0VP4AfSCAZn9mgi1OLimFTLjxX2AGz1mNfxbPv7GsAOFS80KkaED1faUVSVBj/
cdIcDnwz2+cuDz6LpoXAHsKbJjePyattSM1zGAv3yRT9HfbC+WcbYRwzswWg4zpMB8O/mNhqLiU+
Po/dOh5Kzg3i7HlgzNa6mI+NjWXJzHgz3Bjd3Z71fJX3et7F1ZZdwMVjYJwNxLY4XFPgBe5N18G2
iN3xSJQiW7eTBZmUKGRUlWyA3aI4UBEU/o0x53d28J/dVnHsI2h5Ef/Gn3Nxzv3h0stZS+QYq3gv
lMS53sTjQjJ4mbKrxRru7WkMNiOLM+H6PjuRt9S/ULw0Eb2LW4+Bm283YC97Ixh74Nv4m2vzn6xg
vDgvwE/tELfz/2oSTJnhBXZAD0BpM6hCiqRwW4Dr+5tfY/850HOxnPGPh+ORW4BH++/ooj98CBLB
2OsTGe+RP2eyA05oHYxRmrKfKvjpcIDnGUlpYmMnDdCiMbjP2YRStW668grPTnxXAYDDNsPNIn2K
RgZXwzkvk8Xaerl4lEPZP//rj8b+q6WR57WwyShe6GURs5+/2DQ7YgcMJLj2xt7hobBQ0bUOBcNB
ojxyxdzfe47Lu1bk7Vu1MD1D/wGePlbZaQYusMHMMH/5BU2Wv7+u/zFp/41JGzWUi9TjCfH/9mmv
s4/mK08/VPZHm/b//T//4dQOg98ifFiccC4lFVz9rBYYMIZ//zf+BuQil2kQXdyYFxTRfxi1XfFb
GHPlcrdgnMREzNXSU6CX/fu/8VfcQDYwclhTdiC4uP9izP5XRm2bX/4ndyZub6BkIfwiAQzNcy5A
oj/cKnSJMXGqi5lEkOqeagrxXruQmu6ISPywKmI1vQ2W+IkVVv2KlNu8G6qh1gH9unrLybbdhiNN
Wgw74leFBHIaa5nSQJ5XX8i++uV/LsZmyBl4/uvEQOjh5MchEDsuSUXgG+6/hONff3x9lH+6Jv/T
H/CPyzMSv7FM4Kq0g8vC93tc4D8uT+c337UvzmdOKa7t/OHyDH/D/YmditgyAMLocuX+n8vT+Y1X
F7HZ5LqFQwfG/79weeIf/9P1idbocQIX/PnzdUkrMuyWcsgOlQnrnebFB3CITHqpwqy7ceVCYb4K
YWDvNVyskxj88NQ6UaZXYzAUt0ay3K0oPfSZBmE9efatRN/2cTQ/y6KOvTUlbI0EBlJDJs9NF9/X
ABB+hKVA1AuLmsOoGy4trGqZppZay9FOoEuJhKFWgS3rJwAGSx5H0kE3vePT7TDZ5oPqiOanzEq/
3yqPit+2Zt68WnwyX+tq7Ek4IVcH70yzkSvcNp4guosBy7dTVWN3BKGeWBeOhcfMQ9pFdyqiIP+B
6c2H/ruo7tEPdf2gI5orkHrHZD1hCXxz5rI+T5M9W+sJIzdHjWKpqp0zgz3i6JeJt66YS3cVu5bK
11grw/upyRFN/cIdPzErT6e4qL2TrdP03rf8hkhk7jw4fqGpe1H+ubay+j6sy2BvDV588CqJgQAf
DY6TIEyu6a6Dow0XfOviu9s4ARGH3ahVrVepo7PPy4kyO1hVT9iycgIOOnVplitJS9G3Scbpgaz+
8is3TJcJr8rubXFK7y7WM2TTrC8SxSyoSJ9Cj7r5FVvV4Zwxl76di2LC7jjJxV9pbG77sspTlst0
NE+hHVjPXZzDuApMKJ4ibSOuxgGInC3eO3Gmb8b5Wdim2yO8d2vbGeB1TSLtz3WDlWfVgomgIw/J
+apwy+G6aCgxWnWuag5h0eX90SOHqihpb4Z3sPEwtn2ORr/SOpkeabY0pIK9AbN6NKDAhUAKblpQ
LjjTwCIzy2Tzsi876Ml35NarbjvMRcPIPYayi0RQtfmNWcKJOt0Zy9IWbInl7mpvCX81BfO9TVZh
glhLlIllGzA3tWEJ1HSiDb6S74tXZa9MwXAB1PnU3NX+5GMtJZdOG4qpagP/KNQDrlLFICiH28Ln
N9JMv3b5RRQw+XN279tZh52nD1JIyG7yzSg/nE+qcgBaJcx6cM5q+1NWo6hXmQps/A4kbLikJn+g
6EG5WXsemfxd6zhrEly8VXTMjOk/dYCtzFJSNxsB7vtT95znrm0AzeV21Dp+99plKc4osAFspwmD
QmHm+qkbUu9rZujxNqWgPFYqTkK5aaDwr23R+rtCWKW3vmC0joDYOYpmBchPusEDrJtOQxhpjUw7
2OsxTvVujsUs6WGao1+4QwKH0sjYBopEwcBqnIbwB/v0/jgGYz+uKkZdDxY68M9Y+f1LUQDhhpCw
7JCFhxaP7UQkVqp4/AFKqH+BfoDk7pv2allA+Y4V4NHtFBU4di5ljluMnAMxzTbzyPo2FZ9F3TJ0
pmxTQujpy6vGLv1sGxQBSDo6xttjQ/WUs6IdZEGbb2qzggEMYz/zmYnioAy2Qd+On/FSESm1C0Yq
64EBKgjvar4PKIqKdm3SygQizTztL1ykvS0rDFpU8lDOwdeIQ69cvgZKOKiKHxgBChLBNxrI3E3c
+4zznNYL700t84dxtEj0VmNgHwXlDQd22eo+j8x416cOlhzHNNaGNuDmtaXlZDtSr4NJN0keB80j
B/dGuuyAqAHg9mMJKGWAUI9mHRXvTW7au6Kith2GJlJzPE044tTypWe3jdBmstbel2WLcMdonO9e
lzID2mdSeRHjyjc2LY45xS6ouLU/hWrFM3x44tuZcFzPqU0BlGFSWg3dfLL8ibmziXoXl3KELxXp
gtIK0btGcq0W7c/KZ7Y+eJqLsBOamHZquuLdbj356ndMSFddp6jKcrQ3+EwxFocDXlmUlByGimO2
I4XEMmUX5b0TtfXAV+Ly0EmFhxJuNcJhWjYLdHQ+/gWWx4CeEMh5hB9YGdfjODZTuCg7qW4gb1Gp
jk2BYEOYOvGt6sIK9H2afWeWajeyF/lj6ii6+mKSZABxKjpSCppVMyZFbbiFIYIok9L+cvAaATTP
asHGeCNi+8qdk+qkzQjsjNaNul9X7dDeUjJFWN1OaYsbo2Q6G9m5y8YiHI3tH++FPSSa7IKuPIbg
tj9B/HKLa1fZFk1e7eAehLxUnkMA0dOSQuTo0RUUXvhrBGC51XXdAOfqPPzDXVAXYBPKhtyDe2Wm
3EDMqTT/V8sr/CFJKr24VWSwdLHjWFOD42cU0wsgJq0R0FWh6OFuL/32BfsBqDZv6A8hwcMBtD9V
FjioqkjFVwPGU0zuSAIovpQ6Zu6FkcMAt6O5qU98gVq4NDyHfGuv7Hv3Ym21MaNGYly+KlYDFup8
eKyA+F5BDpjWM019uGGR8hoOkN8ei88eHc49cb77CJUBoqhjrJcGYrgz9P2Ti4/iEJV+yK1bVUwj
EUx/dXkMKQR8Y3zWIKeh0xk9YRiN5MlOBjqZ51xD8UGTWbl5rtTG5MV0DfxtuG7SVuBtS8qbyudB
fmH3dag3E1CetRfZVICiHdE2kI2Wve+LOeZMmXcltGPw8U7hVaeJS+06QqK6WuLcu9KZJvaRS92/
ElGPN73fkPCYE6dZBY3X3Xl1Fd03tQgPxTA09tqTCTOgyXK+wEIw+YDz9qMrYjStasm9bV2m3kH4
g3wSDBJgU/D1t1A/XvG/hPXKOOVCjuKSMMA1Fd42ZRx80g/piy2GYSzJapDvA0j89TKQ7umcvv+c
UlueiSfQb4eyFK1NWZDZ9vsQeSDM9sYXuD4sOqQH9lxO+A76sqBmSF+q0bycdhXf1OmvJOuyuzqx
3Gsig3QnVjV3Ic7agcjMQP3S2+jNIceaLnqwPJdJFomP9C0kmkHTdT5O71aQWe+l9uj+LIZiepZx
EeyzSIZwCKlAiidTfvN61TlM+xmhVufwHuTcsz3LFXnIEVnwMZ5NTbNMb/xi46Y5LssAK/2PiJYU
epJ887xg78J63dQfl6CtWkmaHLDz9YmhoVnh1l87nZvu+arMtZ2m1DuiSKsfucJ4yPYF3Ww1LBVP
KqedhmordabyU1hYut3rAXn9iK1IpJsonoIKZ0Nm3/ZSei9OaIieO70o510+1qNNfD1KGfM5KrrK
6USg6QWpmVZ0E6uMyZJY3LV2OuhPyWzUmxkg0m9Unol2nS9VcpOj+iEWDEF25AqJ6eJx8uEjzUIW
NeNH9n05hnz+faQ9gzmq0Adnqqtnz8u6e9lVPZZozkP3ZNtipKExXVtga5m8+dGdPWnxK4dBSJcA
/kdny7pL+2PoQAhakRr0HwBQoEXnaJH4EVWP6SrNF1BDtsUR5hyhKyY7M/reIawc1Pay9GTE8tZE
7qZlqRhvnLzHOsK3kBIEoKJjH9hDhJ/HoVJ6iU2EyyCuvO+itmLMq7FlP5HcmklYWOIriiqt4ZIt
rOQlwQsARVPRNKtOd7Bwcelgyu2H7IJKTL+dtKVsd0Gwn2NJBTJ7zAV8fJRDb2zVDx01PUBpxSOq
Aaawm9m1YenE2raFjkM3jtAkq4OgTz6wTTn3mE3abMuuNya8VMd+RVl1QIgoSSvrGyrHwh5NqyNW
+8rBzdFhDkyaaatCl9vEY10GbDdpe4uQ2n64cSedM3Xg1RbzBxBHSfquFRWdzI1sDTgLqVC+uaqc
dVJ3GeGL0ju6ZQT3RpC2XM0ombTmIaPB+nOx2aLCUE7yVOQer8lWrnyWJoz6TRcn1XdbgatUbjWD
nBVlsEHj0JROWMsmxG22VVQIHwZX0dGXuDScJIIdIGgihSUfYthWL4BSE5mX/spHHf/IKktdldOC
Uj3Zy3KwBjv+nr0wmfd4WMOJ/FxuPY7WyE+JsD8f0zAqOZJx5nT2DP6SU8s1/TlXMZvmBWDKPSs3
1mgXfMsV/IsGA65gRAczxt0Lqwde1mEGxg01bVPldNvAyWj9bAi7HOltLlYWcOJt3NIur+de3/Ci
vZOHYP/KPoDqrzJudqWduxY3TYVAh1ssIdXVVcBHAP5NRLXuW08zi69dvOpANy51uzgIf4RiqbbY
ii5sRCKLV3Snsp3yy2TrBMlP9qlMhbkntwyaeoybcfruqHr4OQvCpDRA2skmnZ3yPe3b8Ee62DTd
czooTqYF47pYNLvNFAk8TlNynlED32wBbI20IfelM9FFkQT+dIq60Rw8WaVXQSBLPvcgPxGYiSFq
hbm/b0vhvHRqCXlG5W1w2aHX7i5Dy4JB6XmwnIe0YDdLldtPn0fMIWdbCkZoKojkEL7mInI5HCsU
K1zNeTEAI1mqI8QqNtGiJtbepux42cIF5wA6y4O3tO4RAox1bnv8lSZoKWVJyQI/dpakbJknr3MM
0ijahuSrHrn1EohNzsKjLaEpJ4IpxtNFY0GHfyzq24YaqZNLg9CZThqKM7sowtbuBgJbk+XqQ5Zn
7m3uLFO0SpoCRFTVpfOGYJq1ydA7j0mdzkBrdDE8UHSXP+kK735spf4n9659tjMV/+pIiO4AzyTw
Yp05QyEznv0CAppdvV0WR78LihvmyaR/xMgsox54XuUaZ8hKRzUUkEZnG93U9R5QK+hDsElHRwaS
pjFvurIq3mxJPoPUo9VQ1DKkLXyxytUviqUu47d11Y5hNT8TvulD4oANHDK8UquZjD16YmaCXVdi
7oLXNN0Q87Pt9WXn4q+9MGse7doudoE3FufWc75DDoOsyl3Z97RBWcP17E3h82X5JEpQRs19RQP3
M+1RGd/l0pGigYM8fJUIL+v/xeEc617jVgd39tnRVGqaNiIoLm0+c+bfLSwpelPFBS27/y2jxv+P
KjXty6Du9w/hH7n2f0bnf3xl88f/Zu9MlhtHti37K/kDSAMcnWNYBFuRkqi+mcDURDj6ztF//VuM
zKqXeV+9e+sOalJWkzTLkEWIEgng+D57r/3buf34/qH/Jh/++Vf/FAzF78h0jsdmhTgg+jGS8Z+C
oXPp3WSP4Ugp5F8FQ4EGzl8ALO2wX0Mz5IX8KRgKCy2R5HwA2tl2wYbIf0cwtCgO+ZtiyPLnIlly
bxZ4BhzTdv9hiZdY2NzxNOjtlPcxCZFWxTsLcPYtFX3mc+x21ovEX0cVPQ+/U2LPo3WFFtgdJMP1
Q+mIhCpjQrirZpydb4gl9KaUXVDvoooz7ikq+z5+Jn4XzeRVK/k8RKlYiVqI9WTY5kqb5Mwce3ry
cVCGXDfDbV2az0vKY2tVl+MjZU3Fo1rKku20b9+2qO97wdxx5cHYO7Sq6M9UOMMVZmEwVXhFu6IO
m9hYwk5Am4yBtZkhhsXlKE1rNMO2l/Nd0EfDvEoTCmivRNvcs7Atlvsh0Nz9vHgpHmpTLsMaQ/fw
QDa8CK4WZ7SQxMzcIUvkiHg4CIUICf41qr/JgfWYVQkzsbvH/9edOL8HwdUQCRqHMaaI9o7NWv1N
vI7tvMK3POCNUME3x6jpc7HIMu4Fga9i0/kUyqt0hNmfwEyjPgrTWHELSKQcrxbDHSD/+hw6p7ho
3nOeuo+VJy62iEjeCWd2yYWlmLzx5eNmimsTXor0Puc2cYaDzZmZW3DUNrBNYw/PVzzR8ukNLRSJ
VMG3jqwL1T+YzUcHPNYbR1b13TcGHVWm9m8KnzKyjSY1u4ligAwhua/x6KMG7koVjWS73bbY8Vtx
rLBzMaPnuiFR3CT1sneHbAyV1amTnRtF9r7w4binV8rA08uJ58poJdBWI4eitSjcJ3U0Uy9gMuuH
dc9MlAOfW/c24QfXyUj6kdTzrwy8GienzL7gnhPjK5tMrRPwl7Q0q/QB46ha6XkBD53zc/cy8kLG
IisOlTNVH2YF+5kCKvunygv54rQFH3LLhIv3Htc++hNyHfyo6dO2KhNY5mDs08lVawx+yc6k8Cem
7zRIjl5X3Nd2mjCztPHJdWf3Djdr8Na2eXIN0B96QT4v8a7pfPnVktzGZGoa+evAMZRuBuFOYDeR
YlUIqwIqdE9XKj7bNJ8Q4WLaya4g0Rs7Xy7NtJpzpU+owAlZh/JeplT+JICnmp2Tksyt7eAxd5zh
rXXg2Zn1wOedqduNw4EqdbmVVSSRG6Ji+cDA1scvvUmJAilH+oRI1lGuysxnEMQ0fRRFgsoLHvWq
MOnHwXDGzFHjdX4lSoR2VlgK6RKBaZhOzaywPsbZBR9iSmHHWyfzQDnExmjRh5RY/qr2kN7txW+R
bqTyjQgmYu+8XLBDxo3r4A7dJm4S91tmdLzTsNrEHGaQs93tOE+zuU4n3mj6BwD1c60LVU43Dr7u
/joa5Ig1jtG7eMDI4ZT3sRypv5v9yBpfOj5dkmqJPJu2tOdKjlljbLLLnpEAVzU2F6oHkCoAmLkH
dvCqecjwg0l0745a9hFf2GlgbuTCpmujXM200T9zXushj1Zp9gO4atBu7Chq61WdNQZTtesDI6ZV
srwc0wwMHSVlxcTBl/wnU0oTFp49qk2U1pk+8MkkFlonwl8R4XLu2iEpb8rSdb89YyrF3oEelFz1
jtt+4qNoSbbjul5HsYtMl/AlbhKTeCo9x3rCdbZgm88wlnOegB1g1o0KLwft0HeTJgkXK3ARHlzi
T6ssXthXcoP0gf2lfVOF/IjUEwCcNPiiXSFbTlnZEmJpgchzxLseMrd8qfBioUZgOLnp0SSIlNjB
tGpr6Ibch5SxJksLGNTqxmu865Cg4Y0koUzjYJsCaL1zpx69JS7FfTGUsROOnUtmPEOdOUQNcf5V
zWboQDYrOXbdiMZvsMaxSmG/UEU3bjn7zKulDLwDqVWFgZZHZLGZDNP8nBQZTtsgXXbpXVQLFvul
3wH6D0511cFYpkGa/GzFmiV2yvrWQLz4MCm6fE9Gi/xTbOEg7Yd0a7ZDdM/TMpG7xvL1YwVK97Pp
EudbBNb4CL9ypGeifAi4LU2rEUuy3sRD9QC7HcSfXuL6iiw+d15p+WpvFQ20dz2QLijLNAldp4PV
jfOAPlhJ6Rn2sNx7Uz4VDOtel/pIH7L8GeBzhPeLmceMAACiIBXvvl8YVHi4phj3pujhlww0P+ci
r/asggDNtul44+qGmB78embK2eIHRrSwftRVYpwITNtxKEpUodNc2Eu91u1SPTX5SEaFikOeXeVQ
O4fa6Qf8HgRPSPZIB/iz2SXvLnL93YC6fJ02WXBbthgyL1HvLx7N7Qkmvn5LB6JPl+o8QqBTpo4U
OLBkaWZuVK49tfdFIi5LF7Att7wWFkFjYD5nJG/GVT9Wy724+BdZp9TdOvKw8fnpD5LE+ZPnk1kb
ac/pbnj3yjcTEWXN4gQXddtxRhLs/xL8qgOUxzO0FXnD5ALiKiiLVxRNOvwCI6FlqmJbRPij5XxU
DVxv/mSvLTPx7swa5g8I0mC+s3pjqR9KnRtXwqnad2GVfMCU0+O5grhf0MXTVsO4kp7uPr1mcN61
rIe7KQ88++DGZfZajQpT9Ox0pNjM1Ck/4cZ0X5GNTLIC/9IaV1pHOFZgSgfpdlCD/0AfqSav5Ob+
Vc0GjGIVt+K/TOxsmfjXuJnBxvYHAskJlSSi4YtZ1Ll3TipQ70fNnZk313qeDA0htOvwkLICYJdb
M5ixk3WnZDcvY/cTYEBFlmTg/0077n+6Yzcc8tGtT6PX+leukdR3WVWRBtGUusUgG4b0KefUs4ub
Qh+TODJ3pgfVPGiJ2CBFJPlLauXk3AIPE1SIB3jQoQ90KF4NMV/EPAhppE0LDdMVyO8HdRUpvReT
jeozG9FXpyefQJoeaFZX0sEwL0CFZGek5fbIG49GLfjr5AmKukxXha9ByGdyuWcwjddToihRcRKJ
Rx7hktUm/6baiSCt3gNwN1xvwFAI8S0YCaNswFHnNvVbWXWeCpO5LT8yYqVHh53Lh933ejPA9mgZ
8IzoqKrGgrZruRn9iLTEKu6ZM90DZvXSSdV8LWZFhBQp1b1J2C5BKegr7z6u5unUArR4rIL+UvDS
Vu4NZWpDQgcMi9ASVry9EY6qztz15zVJLwBGDDto/tii1VNkUQJj+fBkHC2CIcT/Rdq8RXuhAAUU
dBHa09y8yyTlUSOpcb0lyOA667qf+o+uq+D0x6muwqLJslsbHdJBEykslO3ZYXVu5Ug4XWv1TqgB
4z6ppQseUZcyGXISWG4Q/0xiflM5rCd/cl7NAHT5Qzb1wZmUsp2zb7Lld8dsCUsAU2q01TyZsThS
GxHnwClwOHZ0NVW2cenviAlxKX5nezMJhp3bAdxcuVbr32FnN8jklaN48HjqrKkw7Z/jpUse7FnI
8zgr5rbYbfRdLjp32JrB4rJepO50ZrIfPDppQSQ+DF5A1QC8coY8mc23LiTaL+Kd9j3LIHa3hJZB
CiekqjcsAI1v7nhoTbn22PfL9Acu/3rNKOQ+BciVAIJNw7s3SXu9V0tKgXUQ46BlZUz0ZJy7AFxu
5b9l/rCcC7M1PivkgwdzRio+Ct0VR+hQ/k9cTUl9WpCFiJ9ot/i2namjnWaa9zieh6Nf022/5uhv
pmQGhrSkC7qdZyqIuAvtG/oC9mxmjCdPkX1G8qz1DrtGdyzQOkJ/TihIb9yaut8ZEyiUevrygAaN
ccjCf35ZJEmwKk4RG31C0P4aOhepFquqT1hEoLDAG2o3Y6mSI5W/LKeK/nUyO3JuKKrrJZl7XoiA
dlKhSPNoqq+m2JYH8NnceRzl3CWj323cWSgo5vNI4oGb18o24md8u3LltIJ8bkeVrdDBz4qsmPbs
9jABC8Em0eVbh2rsnRzjahclc/QjMmp9S9MQ9785MNJVO3E6xDaBF6RjRcGIwD4aF+aNolD6PJVu
fGjSmnDrbJR7S4/ZsVF+/zUCwLrzjZklEw4JttCTXz06PPu2nhz1nlyyemec0WA44vuk5NasL/U6
80LzByZGjP9DFR1rd0h2dQAMZVJwC3qheFIbMBHGZAR57XUHizZdAD2YO8hVjcguDd1I7JJY1wMG
kO94XbB5w+frrkY+INTlzHBQGtExLEIvCXQ2fGCg+F5qg9kqd6LL45TTWM3W/+DNbXs1w03YcQRS
WzxjnGoTNqHXBA/LTezT29uU6KCtGsQ2AeZ0RwKExU4zTe3Ra/BdmHVcH2ajbkACuK1JAg4rDMWx
3smuokc+9neeo6js6Qkyjc6Z7je0cDdfSJYgyWqL/QdvJzmdTMEgbaCfX8dGh8U1nfv8ubKn+MVU
7C44fbLqDS51B8hqH0lNWpmtrkBUxE5EgZfn7z3yNocqwsm3MyftcHtLp+UNI/Ytlun2NiPbu4so
5ektu2UC7JH6WWr2hJ1baGuZ677quRo+60VfFzg4jjpPIV+goi7cYmz1KYLI/FSMG6EkgrTFYIxr
pDOoQqtIoaf50D8UMd/bhtIASkz02yZXF7J/a7jUvBXipvL88bHzmc1nnXWUu+dG90Zbk3vVgXHY
lNTcr9hE609ZJlBYAn86ukE0PkTKJTAgO3M74k3Fze3R+2bQMU5EmoVeiQdqWA/tQO8908g559PY
bFibscyixqvYNEaDxYQUYUnxmvBJ9o1WE7PDIwq56gybTR5BSTIkWP1/+nnU+Y++gtqJ76YsOZl0
rM87nibfrTBGGy2xwOG/JOX7pFrkid4WebTyqfpT5yKtSX3hXmL8xvZUQTN/v9iKb0WaW986/dUr
51BhvKp5Hw49p5utR9THJEg6Jc9ZM40gLiQV1+T/dVmSdm4kmQuvq3FmN8vrENfuwUcBOkx4Uzgv
THZ5tjKMS4Dd8uFDuYaFcrn42coZJg/kkgOiLOzKzniw9EyIaRyAgsPee4hzv/tA5OUGoK1iL9zk
vU2r+Ghr3ZUAWVS2Nkd0Fs51OQnTqHIfG3/u9rpcbHGtpplqIJtVZ7sRWixkTM2CpKw9GfRayLEo
5TNWJGHuyNUENqmM/DIyqtM41ttkbFMK9rqA0CEpIVathFDNn7U59TdycaIXcyp8HxCgHYGX6fz0
NSmT9goFp6y2mHvsS0ndlF8ZfmpDGom65aHsrME7QUXoNKVl9DGuFxCJm2Q0xnBGlWBX4r8FRUPA
uuH4trMR58CEL4k5hvBpl2sOne07/elLtR1HTEcZIVBgSbbxWMtIngxvoQkpSO1V3FfDO5dc0t5w
y/fgl/VFeosDxvnK016+oMyYkM51xSRdw6kg3n2Dn6T5clqluJgCZZ8mnBVbK4jz75QYY7RvoA1R
UAOGoyXiaCPPZ0HRukx8CAYrG8xOF3r16FrsLuvxOs3gN3As7BV6RN6whZQTnBU6A0uoazWbAze0
2ZOYxzwmnsiiZOJy1+C4LyHgAg+E5iSWbondSdJs/mCu28ztfIDrdf9qR81lVNYVIIlE5/ljhhzo
hhGK5W3J8YU/LeiKCcHOKkwMXZBRu+MWzocytENcI1ZTmI042y2DR9Tsu2S/wYVMVxSweJ9ZbtUv
XmHJ18UrSzod2pjth8ztOdQOGapwtPW8ldBy0m2SswVkEs+3w1LT9hfNveZ4xzqJRve0YxvqxlK9
O81c7+iK9m7yqJQOh64ChFrn9z5IZ8nuAv3DWKciz46ek2ODodmFSJs2dLuzPBre08azzwWG0n1e
dPQepp2d35dG3uzHyG7gmrWcPUL4kcSMrdZjzZni51nppuAiKWz2spuhqFr4xaIwWFCPXVTUB+zJ
UY+fxEp3bJGdCe9ONL0NHgcsfhKpn/vZ79vQ6ylJCkm/LioUVE8RKg9mBDQQi9FHn8fWo/RlPGyc
TnrMCZmyj54eLtUF7pB+CN0v6BbJZFhbfESmEVId07XUG/XLS1r2HLr4eHpynanJd4n3mJN6TZJO
74pSeFcIIn6yZaNc7lBr8++yKcQ1bh78GHnW25ghNZG/2wSACI5FN31pRnMggDdDX1yNC4UgYUYk
beYj1gPwIkpDdR+IfvY2dBOyQxxU8FgkLaf5SXD7mT0rhfk+0vLWC9GIE/cJVljKtGo+oJlbWAc5
NW1JpDsYsNwUA01juEr8r9bt26ecbSWHMVI9LI4Ekt4q6fw5VLGH9shZgFx51rcV9pvKomyVpZ5/
nESLVpoEqbxJp4T0Mzufhht2CgR8hZcM81BWOspcu2W3gH2AvkIhR9w35npIhvomLSgWQ6TNpjcP
ZuGa7WD/xpVEs1hrmv1O1WBdTrUJv+TC87GDtWFr9Q0kMI23QH/SC9SgNBpWjA33lYnOpuIJb6tz
tQQV+D2z7xpK0HhMErj0gnFHbrneGEK71Wqozfk0lwasR06RhiJZPjWUX+VVnm4EYL07Af6u3kkm
o5YjU8CSmr1nvwEeFV2PE7SFsO1g2zRmSj5yzArkr8wMOno4uXdivCymrYFXqT/No1s2oXFJeoT5
XKOjQcJBTNK+x31giQN5o5eO6T7nycYRzIM4E6UXfpMkmg/fUCoCm+aoEIvmihesjElH17oH+rvN
C+vnkBkSWD9lvZgDPI89ftWxLotTAp1uDHPiYo5py43mtgkeqWuMO5atgKdEsswb5Q2ULci0a3i4
WANIBh05yU9wSvN7zkDmgoMRCes66VDKWroNPBo/uc9yOe99yQJhy5rbf66TnpaZeVDPaREzSRMt
T895k7/Whh1tqsT3s0PKQ2QTXfaVqumGaN3T8vvBQsf4rpJ6fkxZtbMurWDmrHxuu/Mx51EIhxYq
K+Eysm1ksy5aNnjPL4a59tNMZfG0mBP+5qoGa8thLb4yLJZNYVddfiIcazZbWk9wU82dH5bRjBgT
qbSZEBSOSDoO6B84F9qcBWaDorKt1eKPy56kvbrvmrG+jxYCkHHKap4krhIPbaO5Z5Pt7B4zKSwa
8Zq+3i7oK2q7jP4Qh4WhUaKsWgMHiICmJNTa8EDlMhrsS1QsHsGF0sxB4cNiYY+qSXx4e41RjPVM
3EnoZJmwDkTpH4jgks7E4/1BoHxjGw7GPzMtV7LB4/PFQoZcc9CIV2ayyeXZlsbeQ8bRBNhbJmFS
UVH72BIWfGQWVTSbkgI2QtpxajDDWdO8YJatfoIMYRa1W3SAUGqz+CF0KrNQ2mm+puoEsb/pkyZc
xITxsuBGz0TZesXu/8rm9f+9dnPadqRwzH+6ow3jGM0j0f8ldPSff/nPLa3zO+oHvQMSlo3EeEae
7I8tLYEP4f6qqDdJaVju5Sv/sx/C+Z2l7iV3ZAam63vWf65pLf93n9mf2JHDNhiIiP3vrGkJM/3j
lvZXx4QVCElXBd/vkvv4S+7IjFKevilkR9+pgDxOXN8hnd/Cxv9Ucs+2OSalmxaDvYTMe9EXff/S
ielMWA6xNnZI7YEnTuX4qxsRhybh1aI5wRTJHzKG0kfXglGlpmo4e0UZH9vC5/TcuvTjQlMONr5d
wwwpdfwNlQq7RwBAgAVYbMd7DqL586LKnKbIvMTwaZXOwEXvISmN0XznTVUhVu3yoHpmqsVgpil6
uRJD4QLAattjLIF/TORnxJYbNc7iaFJdF/r5bIy7UozNTVJdFFIEPvMhgmXwyrCoHipRlWvPFOkn
CE11PedNkaP/DcunqgL3fYodHymibz9GMbZhgL7vpgJjCl4psuiplYkwZT47T1qDUlmydFOSV4eS
MB2VyfnGAq0SJmRytxw6FUReZKql8qxPmcipWJVVTw9eJ5PsRHIk+xxxj09M6XnwreDpPbHoQ29P
/QAoXuIT3VkrAVUWy+a4CRjRVqbNzjBNlbhKeQPoFkbu76DfHFGJn+ekjKK1LyB1rheAfiwESxSZ
ZWpQApwls9e26VGa640A8Eqn+GFCfA12LfsqAwPeAKcU8DpdvsGFiOJqOBI0nwl+DwMGeegobE+U
YV9M2XRcUv8zBnRjlvVbTFwdKnKfMxx5U4LKa/tk91sMcq8FmG+cXKaI9yTPDVK9NjphxjgThBk4
ckQcFybWChxOwKEniJJ9jo3nm6coznYbayX1nUawYxCe8T4rb8bV37Nrwv11YW7ysX7q8HadsyR1
TpHX68cY7M6HQqxOeQJzvD52io8ikKGp/moAir5BaKgsxmo/AU+TEuiw+g6O+QIjONulrK8eLEag
s+NYBqNSPQanFKbOuYgblHFZxtBaeEK2d1QuTc8a7nq7igrT+NHXqeuupWW1r8gkgLwbr9rJCRAp
9XPB+MhhmG2H6grJ/qvjJLMfKZo3wH7E5ZGuoRXhEQEMu2NXqshyPAceT0XiHsvBtsrLdZs1DAKx
MWAN9pieTSsw11BzJmD8psg+FRfX5a9G4PGdNmf2x6/L4dYZPHkY3MQ759ivAZE6+WS+qGY2Xz0+
csAeGoilQVTwBkok6WpnzxJCut3ACdNmO1orv5EKNn6sqTT3fkS5WN5GNW0sWGd2Mdpf1RDIBBR5
2n66PvZSkiLO9DahVYIeBXbFuWp8nMYePJm0o33mOuKqLHICEi6WNxhcSb5p5km/LNqH36DoCtgI
iViYTh1twSbQdLz03mULW+Pem22wC5OM9vMcsxaeF7DxeU2jMZ5XrPFQ8xjAifj60XMggIKWHJ1p
jccCHRoWqgNHvrZuwlEVDFlL6WBr5xhthcU4FdWGXhKwLSJukh9pX8dPC1jCI2vSDEWyQypZGY4Y
X+kUsaxtI+wLP7ZhoC5sMONcIjjpme+xaayWwm3O9Qw/Y0vJNzN9sdQT3ti6Y3Z1ubH05B9u2P3B
+J4h5R26QutXbfpRmNDUlRVD2q9B68FkynPvGAeQjzeyN0DFL0HzZHYivV6k4KgSxNPw4kSqPWGd
i9+swQcLXroFSEhhuJoPbCQ5VxFFTcKGIPSXpnprr4ruC9qiQxVASbSUR4l7sZLkzTf9Qv5I8SS1
mvzyxvEa95vqwsBFtV+Dy0gpSQCgjoQMVVjSfNag3+HHj+HDpgpnGxO6/jHjCenCcfIx/2PLVs5Q
7Nuiba4iLyE3xW8K8b8mdLQuxjzrdkLbOqYAmc51J/E66l/Z3KJZKEwd7CE8l01UD3yTn9509JqP
ZvNzAkFDOpH6MUtrTQEmUySkkbx8KA0uN70kCc3NY9O8Jb42HQwJUt51dSueZ7+KLki3TJxMekGf
gnZoXv0qlVcyzXFkx35nYN0BF3Jbd7K8xWPlPzWzz+kbQzofH5+OZHs71wB01joZrmdoUkvoTI56
DqzeLNZAzKyfZmNa8sgrjG2MMxSermI5y7duYi/EA0roa65bt9hHDsaOVTu63iP3pvY0FAExy6gS
W5u98HqKROyGk9HCz86NxCB8suTW1miq5JTOkf8yX45HOXD+2ywN6J0RpBUw+idnGAYlXHPLOiMS
VKFVxc0zskv2VAfwl1kKvNWmbz92EGnOZJoEyZ/U3iOHmI+NWRk/2MHie2Ei79c1W5pDaqbMtjHH
s0ecS/7Zr5LHqjKNc1TN4PKog2tY5aXZGfqLhXOmxl4zzqWLaSXAgbVJzBL2esevDUqCn9JbHeVy
unwScrvG2V1G2wm7KQ3nftaHVFOM+9gK/EMHNnE/5OPyhaIAbQzIeYtTAuxH5eX6VNRAmerRSwAe
tW8IO8uOHdTE1oAIlE9U7yPqZwQmrB73kh54ekUAa7CrKreNMUoPJIcwNhAK5HruY7sE0oA8ee1D
T3vP4Rzn8CDFJMnRZEiewJacQ67IugLRllRZXCwhzcUcUhptfB3QRrjp9AyqwlcpR98q4zigHXvn
cAPCol8Mjy6PljuHtl8V6nHMqMbOpLepzFF/LFY6XktygXCltIbRU0XxjTIH8WA6fX22+oADfodv
5GSqwXsggzo3Ye5cmjq1jdVJTvJmXrCVHUt9gQQH2IKuvdTPP+o5iN56aNr3HXbCn20DEImnMqNE
CFwGA6/FVmDkT1rQ+K7qy/yc4JDhfGvzFq8sOMT7VuNtYC1fzS9iccEOZXN9zury0mGtUQgoa7Ds
Dw891MPlruJn75dbZwxkZdxMbhsfHZUu5F/GKNrZsc+uNk36eTyQOdS4a+bUexkMrkiqYod7n4X0
DniUdTuKGItQ52pofBhdzb1X+mrnAUd9U3NW3bW/TEVC9fhf0NeOXgy7cbWQeTj5sz2fkMAg+Bu2
0d8xwI4YEC/mpNjqUAfyccDti5fNxtgzNS90eNbnQKfZZvLa5Ub2HtXuPLacae02Le9o2yZLsZoL
/7v6w1Ydi/nGGICTB9gRSb0GE0HhsTM2PvrD18Ix1lrL1pk/urhj16aLEtbFXA+fqHqp3Aa27rdj
Fgf7tF/Gu4EsZf/HT9lcrFm10wxvweA/2hfb1riM7gsXJ9UWTVLWZ8RqtOameHKz/J5qdVzsF9tX
ANSCaxaVYZU5g7ErC+xKoXHxS5S24I2PIi94qS3qHVcR2e8s9H4Zynwh7efUi5pTQCnCPYs0734o
vPqaw0sOkXDOXw0ZQcP1Ci2/sotXbclYv4eTx257kh4kN2yVEztnEHlX1WQP8z4LLBhYGHksMsNK
zUQMXPcryhXtC9Qo8biiGxEdrfZJ1opWBjewype9xZPrh4Hn44dSrNrptMjAbpFBkO3aK3ivV+7A
0nonqiB5GgItEIPy9HUxjOXeDAr6VYe5Cni2xcOzlbHM87GF35SIcuclsbsf9q+HbxulKPjQoJkh
VHQPBFaDoJT62i/L+rEdh6PVKKTiuBi8j5jY+rRhkxPTnRrhtwqFN5OLX4R9KzN/ZOmgUJniZG54
n/NLc7ZZOlm27/t0OUxDo7lpNBUrlLwX7it+G3x6fdOhwJhJO64a06y/HKPp9mPV0uOJHHiXFGPz
0pI2/daNG+zzMrOeB+uy2p7mSR2CgbDs1honsPYFgVZKy53FOGTozHvhJ9MxwwdFaRK5gveYQ3JO
6qjrT3jpi3qXebJD0rB0euJIkOy9dhT7ejIbzEBRGmwsN2YOnQeKZWKKjuq1XVOJTL7ZXSwW0uCn
Slz/V0WRRkDsUCwpjIqs6ownZtn3yOJMN3af7lxTA3h0S7a2o2GJe2pOnf1oeeWnrBbsSpyyO76D
XeTr3rGNB5N19bnIrfYlm5r5kFl2wajKAx+PRrSEtaVdvjKAAR8NUR2RlmoScAobaUI8OiL2V6Uf
RZW3MQnBRN2KquBHYG/pO1wPaXrXB8XPtgMJweVS7MY2T89Gm+CNIdZUYV/G6KHiyWI7PBsmnatR
cH9pQ9g4chEOEmPvZQjvAwMJgpO+0okLJdJbHAcLg/bqve4aM8T5lcA4zWNqxHOB7rtvO81bwxgP
u3Y+Du7YXnU8kT6SzIOfViaRjkCtCzBpJRA90uhdF7EedztqGsYOUSrTHmbLNsVWgH2P+LPhxEct
bLbhNLF/F9Lytss0EYtljCzqjU82DWK2lyUH0i/6BxHv6hrGO3cSQ0UB1dRE+Av3cqboWO6uEaVm
3KDSam/RxO0TZQCX6pqh3A+ZjyMFKlizVWUxPRPRYD+GOl8djGaICBSC1gPeB2u6DBxY+HbbLuoF
U2zHAOiPyOz/X8z6PyKWcLiw/jk953+U3x/FR/kbDJ3fbpKv6vOj/e2gc/5X/xWng3T0x7/0h64V
2L8HdBZSyGSzPkSqgozzh64ViN8F+UpM/wQiffdXLuFPXcuyf+dPLhkDx4Emgt/2f8UPQPDwVKSn
07dckGn8u/+OrnURyP6K05GeyWeRV2bxytDe+Nd++6usBZxQe9SUtbt4LMjvu8VnWctsY/tcLTGW
2m2FaZbCK3p9guyzsjRQYvIzYTOwuUkqVvaXoF/EkjqMxuR5qObhXxHCLvy3vxDCLi+RlAU2J8/n
N0JJ7N9fIv5+1+Ss2O4ksIoVVFKxoRXOxp0XnAbaJ8gu3HiaHgZF1iejk+KPS+K/L0v8378Ah4JY
flU+rah/fwHYamo5OrBCaaqHTbkwiNQWPcx2Em1isoVhj3uN4pDuqkdSX8Ei1f/iJfB2/5dfAcwl
03JcqEfSu/DD/iI+agcXWV7kwD8Ah6zIqzz2Maa3pvwDnvXf/qjOP4DIfv2uPaYO13SgPzGy/P0b
eQvS0zxXza6sBiZH1QVbv6tf8V0GW1aAlFOz9ScET0J0gCoAKcQETTiJO7e0yhMRcwOt344+dOqO
m3YS5r1NG1d4uS52gTu1h76s5l0LgWRj1Ow/CbD6G9eridv3Q7dhzcPmoRdnDJY5nz9+kXPjvSGI
HcxWS0CnTXSlShppDVHPO+0u8fUcPeGk4dNaLDiFJXSDaZxuJp39tOwl23Cm/CwNbKM5TU+LDH4M
cXGPDf7lL8mj8x8fx782av4d++Pzi+OSMCUpM88xWUpf3sG/vEP+UqJQJk2941GKQWSa31LUQ+mw
pY9w5eC4VgGqzxBs//n3/cW7+vvVAeuIBTE9tuLXbeTv37ioA78GE5TupI7zDQav9EBQodsLQb2s
wrmxTvyFyH4r3GMxc0GXmiCcL0veUFCxmzxW217qALg115QNR3fNsUGuqmacd3kadSD3Bew77F7/
qipTINz/w8ea8JO8kPVMcEggCv/+2s0+cPDrxfkuwFezboxf8wGYO3sI7onnVaT+unzXARa4qSck
t/+g7MyW21a2NP0q/QKowjxEdPQFCRCkRA2UZVv2DWLLtjADicSMp+8P9DndFuWSqiLqVHiHZWHK
XLmGfzC0w5jHVz3iJrQI7cPvAGROO7xnbAeir9syNfMUHhrwrLGxC8CDk7H8eP+dv/3WJhxw3YaS
j0ey6RmvbxuPdgWIOrc9KpLBkklQcFUPXYb1RUtbIA7e4xaCOrL+0f78ywvTTX2198VRyzpTyf5Y
Zb1eRmMPJymMhpb2HIrSqMl2rf/+810o+7GWTdvQIb+5Kg9HwHn9fFUhgO00RREms1OFjMbzK+jS
z+9fBEvpvzwM7AmdzEszPcYqry9TlxLfj2wowI8XL5ETSeqY1sMarYJ/6Zhsck8ZOVsGONKVtuRX
pVW8aLG5nBAKDqyVM4pOtrfVwLNDKcVZJ1lidV+0LHJMDNHkVxUkXCr3UbGVGWcX5xZkszwg2QH2
AdnOzaAV3k4xxg7IDEawbm0BlCO+4XrK3AHQOuNffqxNLO2oosNLRVOgYYE6km82LkCWBS6NvvAn
AICQk1aPO4BaHt1JnKQST5g7XW+/TJ3bgk4aMQftsudySZ+tzDiVYomuIgHKzzSyF6n39b7t8ZRU
vWqvTHScelv1dkgrvcg4QpwTFfZNY0BbZojMgtNY31XcovUsimfU7ddiO/7cLGJBw8d7TFgcW6XL
uW/jVKUeepKYJgeG3uF2wW4f1+gNI679KiarZfIuXcQmK2wkTS4GQdX8h2qIsKyDWC3G9LkF/+Yb
TaNvY7totqlufa8khhxxX+oPCEiRPKQLB/FiU6EX2Qti+4ivxp2LIj33yzjpQer5L5sCAzxPcYxH
egeDS+Cmi90GUFs0GEYLgw+pPDmqaH2TGcaK/3V9WJjRtqfpsWOLVWFupc+GyeegS5rSN+UELmbQ
g6VZHq1CfMo075GasGQbys5HfSkJSX4MDhaAbgVyNpuqlQ92CsYO27Q7Eowwcqpnqbby0PYCzAX4
5MBDmQQ9K4Il6ux0swo4xE3xgkMc0hfNcA0Q4Hop85fCqbxwQtXcj00etB1LQB/GDSrN+toGdn3k
H25z+o4wpDgD8NjIfZ1+ih8J1jl8MCWYQRFsc41LzUP+osQKK5YvOzu41IEbhq3WWF/oYGR8cXxV
dLOEmhzFL8AsWQQJ0VpNR9dXkvo4OS3z+pyTuljKZ1hExV2PcCMCiIr7qdWLHYjSZzT7cM2cVTCr
kfMIZ5pnJD092llPbrV+GDKD29ZGsgDhU/5rXbvzyLJRhQfIKUI5XyTpsxuRM1qxccLc2gu7uXhG
fgapfVa4tioEnReuXLhvtBp2gNkrRnp2CNTqUXgkMnjI5r+3QMkK0zTj1Hay9dElZ0WaAveTaXVk
S9dsQ+H31aUwkDxgBRkan79V2S5Mr9A+0IfkOKqKEjDvhK/osmgRQXg+3zi3SxbTVyg5KZxpzHbl
tY4Y1tfeG71d36G+0IiJreYkAmcoD6fVgW/nMB8KFhyNNXvinkod9V8IadtsGo71WCNwxzx4N3VR
tSkJYEq7BizH4t/wHCzd/PcHLlXrpBfNE4pW6F1M2UuzGsfiGvh8Dhe9k790CDHgn0skqLKYC7QM
Y7qCE0TYjJGl1rXQc3iJFAPkQyAvmBt4zmawNKp/PTsWYKL9vCEqEagw5VnQfNLr4/l0wg8FCA4j
0Z2lmdEVI9GXWY2ie5rQu5IkaZtSXweyRVvQmmAEz97PCkzaxtBZufh4tZu2TT+D/yTkKfzegVib
053wEU4LMbx67siv1nA24yOIUJB9ew5KvUV4AXj5lE3cWwoOT6+R32oKKDOOWuG6xVax3ex5RhMB
wIakdzPwcc/VRLKeozaCEsF67AD4vz0/IfjBl3VLAJk6rUcBJG0GD9zY+RsI3cPIUxlpDUGByMej
G2fWFvdGlg0Mok2kW5ghM0uEEoTEucxecoE+iAQX60uVxXiOdK5JMAFB+FjPDA9MzIEDosl414I+
pC3A/kXnTA9GHIR8CUllX+RtdNWtXwdkFWSXpYZ4UIEcy9iHSP1NV+dInDLi9hEPKkCyM67kjIdL
sriPTiGQGOFf2NyJO+1aQMZkMXyAHljSLq37ZQe4Kr2tPTUHUS44floiAmuYX7+eK0bOTaH3wFa1
rZOGPxHknTnENYmNOPMi1xU2LfxkIkjTiTQgJ/lUY82ikx6BpxAsK0Zjq4E1n8bwSCjWr8uoE5At
O9xJiPpUQRVqbPzCZqAqOMffYo2O2BpVQFo1FDlobO4RCeyC9YyTHheIE1a11bOBnCU/2jZ3ra+T
xYxpBVaqpMN9mhVBP8r8RomK+bOaNPXeKdndjB2NjTrlz+e1UnXlc+YmL9UyPeKhMXNgoG8ILVL1
19Mm8oiLeccWQGoov5kcO/dtxVaBPDMgAv1Iw13HKLEXVbOjzYPxhC3T2zHlrVramp8jWw8RAPlO
UXPgzV1zS5RsrlMz6Q7mWAFXtlDkmoxk8pFA83Z5P7pBXXuRnzVg5+p2xK0QWqi6x3cqfk6cCRqT
oZnpbtAEwwU3bUPPAUaWTulL3dRPkaw6BjNN+UNBzu6TAc/4GhuGyY9F9ymjVxtS56Rr5097AhiD
5F45V2TEBnAu6Ky+YWDJCpx+Zy2USUMNg3GTi6E+SCtxGGnQrUIsH5LsuBJK0WU8uGsBlyerIM4i
bw0NoxgwqNoVFjHPvVJMfuYANwPmYmz1ET2CfFSXawxyVWQACPZrmVejwuczLeL/uW27s6wx2XtK
CT7EKnIfI0RIVnUBPcUs1W1Lo3VD49wkRwH4mZRMD2D94pihy1/ZQsLWDRYSYA1u7mokukB3zEPn
NU/FatHt9WLZDIYNjxUPbuSRjDaktZ5tQSZEXJ6+Hcy2yDe1nt+9cn1TTet3sreuCuDYcRGPv/KO
XiXG75E/4qoB1N/+IRzoIvH8o59InhUtIWhh0YZfDBhWWsQQ0PUUEH1epRtbUxH4NGt0qyM9tTEc
NfYKgjhbo4X1zfh1RYDcKyNueuAPOI76XQzPHydQvmmc3ChY8KY18ddE4RMziitpF+7GTUsGiZ7y
S6DB4jtweAN9QhYp75V/rI6omzXwALrFPGEpghWzVI9SMXK/QrQABkePrBKSEfsGxSq/nZBacNfK
Z8kFNukLYSnt0xdtqr1dstKVtIhIU1fJ/Nno0PLjCy+YBHICmZUdvYzQD7ag7IovVdOb1+aiPg06
oYL5wBNSCqRUeSMhmHom4Q2PKVglHQayJMHJ1CyMV8iYVGo4/Png/YJwYH+bSn40VM65mOAAnKsL
8AxBoV6gd3Su6EG+Ew4Mtikan0j1q9rJAP+BXE2ab2XJuq3XJUrBHJrj+Ewr3g3zajglLismAgSP
2wWN2oWjYL3PwVVPGt2HsF2thyJOa9yKs2ekpJ5R2XvCwZYc2VJP7QI5uEM2fjsm7XSlaYhupqrD
ENaJ7wGxH8WsfaeAbHYYY0m637r8jIbMt4wzDdW+sNFn7wruKf6ZY5bfZCN345JVbTDGIbtewyk2
M8tN3nPiDS7WM6iFPWIj+Czm8kiCMd0jkSrJAo0bIclrFM0DNZ7a1I1gPTp9RLFnKj95+hgMeoLp
kV7wrCAhbwEFJPeq1MS3VOXdY/DZBVruHAqTFSYKVgNqqKiYYoRyAwiE92w6LmShCjt6JR0fS1jx
oK9Zbuj8DNs0noFlr9Nil7gWteQ5eZNMtwouTD1D5TVIl2R8wyDIvdtu4WHJMfVlAFOfZpCbZb3H
pyWM1L49aF72UinJS8xpLyXnECjT29jgPs8nejdRhK3pTrOu1ZhlchuZFlUeOQHFtR4AmFEChRve
mOuZWc11ARSHqmWZaBA5gIj8PpZPdcnRM4z9eAe6moEWww+yyq4KO5DnVzOdyVUbZLrL7S5/aHrY
nqWqBQpDXlDWkN8LKnooQKxJiTvWMR0M0ihzdqFwetoxhhIIk5s1DNlu+V5iwfETP1BvS9dioAOC
VJDHDH3bK6wmbwaGX4wtv0WWL5Ch1ecyGqojMoLP59VPvYmMSIZll7m80ITgqQr7wYXza3v6Cao9
pR4zOj8Tyq+1UWWZS7PvY2+4sfA22sz5egbGrM++1jGwI4ciKMTiJCFUc5h5CBnhxrHV1eQWC2kX
KIeRY5gESAzKxpUCVZqIK65nfWG20nD51Wtom5kkWKmi3xUSt6feXAEpyaj5XsIxzGrniOv5RENl
ns5nrzexTxNQCe8X/tbf2gv0GHUE6x1bVe0LJOWQwS6JEXgOYeBRiBs0bKGlPjWCpiASEstuAQTI
U/CVEQRcdolerpNc8cVqvrqNeFTdVGMPU+iuaQbOF0oA/vMxH+J7VZ8WAFSOgiwp7gnJqDLpHQcA
lRj6YaNAAtzFn8+NzHONhHLKT+yckhd7wl7a6uyTBl3BH5FcOzKDnK5sMZVHiBQkdMOalDrUQGCf
UuolwItKx7S+VVTtdxHGaMd96F0IPJEEKNB4WzNes8AEPUWbmte3Yjdi7KZN//MWORMBg0EBDmp0
BYyLjlSGgV0Zr3C7qKWmZPYVXbU9HQlbJ+kqc+tLurZSeT7O/57tpqFL/kGL+i9NMbw36bIh/c4E
5LKXZ7huY6V63oeZA+UH+leyR92AU8jGCDJXgJYk9sD0rkiND9pV2l/aiJTvmA6gBo8hwLmp/UdX
jJ2tYePq9aHbwDy1COroBinaQzrapW8uQnzv1SwKIhW959pC5QuZyE+e0MPZmLSn91f323mKyRdw
QDS6YI5t9aIP3Os9DNB6zMGlEATWhgFsO1LodupQe4S8GxNd37/k2569SX/UQpsGCTWNxPt1H82o
OkTPaUqFbWS4QdEgndLE/Ekr6seplQPgIWXEKkQW+zQGMfb+1f+ym5kTcAOey9dnlPX66iUv1eiA
qoQN1rl+TkMHjUWEw9+/yl9eK11mND8Q2PzLmIrTVLeYknXhoqXmtscg3pcZyqZzi0Y+RsUdtJT3
r3jpb7J2QT0DbqxLfxuZI+fiwWDPxKQlZRfGadZeRx0N87Qz5YGQQCtndB8Tjs+NUOme6Xb8XE4F
nrKThq5i3Kyyf+nPpfjAc2VVArvo9a9zRNtSWew0gS8Wl1AKmXqqYI/l2fdaWPOv38kvQs5+jZz2
7Qev4O3YyULWClMRtIUQQnMuGsG97ih2VOVt6KbOrdTR2K1Wtf0aAMxWJWveaKA3zCL7LNTyUKjO
Z5na4G/T8abX858gmrHgtNLl5v3bWqeyF68BOgCUAJY6W9u+tABBp1LMMVq1YekN9GkKkme7IdSg
28SRiTxiXzfHhCbZV6MTYtfWfCIcAWjpKvWThiIfqEAqk0LoeJrVYOcc27gdgS1hPp/9sNu91amQ
RU1SkM45GK1xQs7ipY8TsQEgkwVKF8MFp1PjLDE84IrZ0jp1zG3gvbpaZFuz7DJgbGttrao6Zqnw
bVX0I3g1tLLWsd35YMsWVR7efzeXjlCs2nWSjGeRgaeQi67c6+0IJmjqKAxFCA4Ber2FAJHTAbUq
RqQ4hLNaQqOoQOugBHE2wPJcH5PWKtoFSBDNrkOrNuKkQ/4tvxJqrwSWypRoWPPmBf2NXYsk+g0t
CWRuXTqhcflhPNMuqBbnZ3CxDzHRwmMorV6cZvQyiPOSZJOkFBSR5yo+PbVxUznyCYAPWvl2eUQv
VAZaBjZSKdIdTuzig7D6dvEDGcawRtdXiUDHvHiTZbYYICDjJkSy7UofeTHAaU/4VdkfXEh/G0IZ
HWp4KDHhdXTnMtIwBUF5qYCzhwDnM3QEzCVnDMgap6teiqWlw+HQlUrX7nIz9fUGAhk3g1gO4rXY
Fo8igYofP6fA3Y9OSb2XUwLyfvOgXmvGiuKd/vYRxBKN04I2nBJRu7y/8P720RjgMQC1HNWy3kyO
KypXXUN6KUzaUvP1AoycrJANLluyzqmcMNsY+59rvTTntJ/6JnmZS/eDiPU2QDrAIpgngrYzrTdo
BiQGWkdomghVs/5leIA4eQ0rbQWhX3DNH1xNfzvBglaEOCRzX0NTwVO93mxGjbYyRCbB/HKMd7nA
xXIdS+LoHMN2iS0auCTUS8eQA9BwfIdD8lM91fmNXZLcm2r8LFxtvinMZtkPFN6gqLBaM5Gs95Wo
HW4yY7x7/zO9PUe5Y2sdFDu455A0vr5jidFA2U5sLaQ60rBuQS4q6EgFvUr9RCsbgqtafDC0/EvC
z9VYEapHhorDzsVOKkgdxrrRERzJaGw2oCwpxCf9mCHMvU9Ap+P8XJVUtP2hpT117Rk0KteeIf12
JSh1dOPTihYC+rYttqdI/bMAtCtaK/AFyGaFQYmZ2JTdhtU9Ad+nm772RCqNwkln/Azxe41mqUW/
dh2/mHqfnnIqqi28yWRvLo4Zxjkmc2lkfC4afdloCkM9gboWHtKl2CXOmsxHoxda64TSoYqbRvok
59lGXZgYWRbej7USttOOy00qE4rou6GgjYFqwwhfkmX4/qf8a9iwESXQeLmmCmbj9bcU7pIm0iRs
xHOX3CNAQ1OA8mWnW2aHqYKoOQMpclNPf6ZtTjfb4kOf8dgjukhBBSzxypnpEZ1jfQlF65DOqaBn
2grL7zr923m0aQrNA/NTyquScfctwjYfzZvXRfc6rXGJrySvIE5UJFov4r2MTUaw0mnDyuEw7jHH
Xp1U2RJmMlzH0iu3nruU30w3cnzUDvMPzszVm+zy+rqJdguYF7BG2iW+x3OnHMufqg7Vgilarcvp
Xsvp97sFnXADC4YvlbBKiGhJfoDSrvq5yQk5wU0mKPMnC1io36tOiR4wy5Szi4mSwwDIns3vqtZf
5XP9pLQ0X8/zB1obmkKfL0IoL4kS+WSJdRpg0WTPaEqGarn2+FaB6nwR6Uk2o/lFLSz4s95RDii8
WPZi7aDQ0rWPvRf+x9CjUNRfZpsVYeUCsMkdxo0fLLe3WRd0FVdzNZwKOZXt9S3+UWUNzOqqbJUN
ahhSnAcEpbmOhDUmQgIlsWDpULGPcxC5KnLkC3ywLb7RDA/E4TyGWdQe4JT0DGDc6qlY41tjP+LB
ibBbJ75VTPTR82YW4ajlHL5/92/jngty0jbZ9ypl6mWN1HeoHJU0XkLFNUMNWDxib91TPlMVn7tR
RVR+EPVWiN6rVeWwpshPKcqwyOVgX2/pj/eVaNC1ZU4lSGtbbMCIOxjqcByfZzHt+fP2DIUG4gtI
DkAjaOgw5+waF0kz/DFkI/PAAsyyAarxUfC4PCjPNwdh1mC/raih9e//uDkUDjPkaKo8TBNwBJ3k
HtAJZwrAuAzKykf4tb9cbt3iIJUMjWLizbGTC6tlEJljebGuWqc8zgoJldmydqgdP6qI3cu16hDj
iCjgMAGywdm9WKuJHJg2ohEaJkliHb10MImFmD1Pprdj1ORhrgAEOkgrxDoM0tB9Cndir2lKdWvi
HfR1NEsP/4Ae9bL+rrURxm/sDn2CcWiCkT3q011prwsXmxVsYu2N6Kr0WBmZB1oFa+J06aodmoA0
43FrWmfXp5R2+CHrK21XZy2u8DBWgAW7Yk8NYyZbpU5H34yhAEC0RMknGnd0JJtAxo0ZlshgXYHl
UJio5HdI9qD7CxwsdHSDd4gE4NFulAzphTy+q6iTdwvmAD5EYNfvE/4i0ZVnbUXbaWPTn2YStR0+
zJnvJFRqUT0MtA2hwPXk3IjRMKf2q7w0rgCoWuDAci+DGNBUu0qYEEEyifhiCYOFLllkhIbTuHsv
5R4UEcX0dz+JzryLk1T3FbrD166tLLR/Fu17P6JD1Tm59cFGM95uNJckTAdES1RSqddfr2UEY6WH
35WLxlrm7s91j1GAGqlalck2uVSmlyreRGgoQsowt8YyQ4YU6wescxMOSYd2XYap6saRDkKWRfKj
0DMDwZnGRnRnRPCYBRTMioumFwHSNytZ7RgimNu1K7FzjUV5nOvRPHrrr8/q7q5L9EfLAW0yTjZI
Egut0F6W1V7PWveDhtPl4QXsjw3FDiaPIdCoF0udyImtLnqMu0QuoUxmWKwf2QxfBs/zJRwQhphu
2pp1SX2nCrNoBMQugIEMlceB9ivaWpQZAt57izk97wZm3/sR+zIp4KLETpPkhnqCsHERoRAKxlIs
kc4Oh88mYPiFp+GiNozdcrxkDUZ6imG1h1qq0dbE3vaDtpZ2mds7kPxJkHUSePqpdFxer6oZKvuQ
lbWz622BtMgEQ1PoCMNk2XpBRNUOwuvckGj3SNshD5ElHz6//wrOCLg/E6PzPdAi16llAP2uwvV/
Rmm2jXR0iRB5ZueKP8xNuy9NQ1KIq7DLUSr2ICSo7T+TukS3vEjzFmZh5FedjhVQ7ix+Mjhy2+Jz
vcNBxX1SW9w9qqYlu0vErswT+TDiq3ywpMPjdIlzbJDtODpibL7oMagEZFOQ2h697t5wYgzoBqX4
IPmydJ7h1TOSwNIyRQ/doHHN2fz6Gee0s82GI3TXs6uOoyGnnSpiDZZ8PVydH8Lrk+IeCpBzbBP+
gsFjtPVWBdoCPR2Exs3Fx5Nebo0kivcebho+pFOFfa22B1xUXgRYjL0y2EDIXKQE09g4IehuBEKm
wxUEynZfNLYEAbC4oT05A1PtNlCsLAPNYTdBYXcLCJ96nbFXyq4U+uLLyIJYlSDrKJsWCt7i7oQ9
ALFI4ocZTvjWjsbifl7El0VmBkGov7LGnps1UYiJm2TAp8fpnpS6+vn+kjHenLS8TprwYCodWsHG
Za0lPCj/C3XTLs7lysDCCtTJhmMaj5/K0oy2Rm9qu6XTUETAKmur0/HaZpZw97mL9AuW5WijM1/e
Fh7bLKuG5BpJd/WfZs4cxsvecs1vsY/Dqo4MSwY1ug45Z166Hebq8GPJhHdNladu1Q7IntW1Jozu
pgLUp8utYtdfUDXod+gWPZY0pP18gVb+/hsw30QrREKoNmkbYfpg0i59vaAy3Gtt2inWThs4vF04
Ct/1aWQIxo1HnKCuHvS124UdWkiIBuJzMi9Ncq1liKbOJgoTWYLEXFnU5We80YF3pGw77BksJNWs
TNnpo2Bh2ihtS8Bx2DWwRmZEe7Za6mbbHpZPMMs+RLBWA0tgfhoH4wmSKsIYnvMpStKf1DoIjjOf
ukZqytnHgDbw1End+458MkgKF0+doaAcrxIBkXvqQpveQGgy8tsxmGShD1xywjwveP/V/W3tMLkw
aXoT+94khfOUJswoWTtDYb3ANnDv170i0WHYYj43fNDGdd6cXKvZhQFCjU4uVO9LMHPZ06tS+44I
C5zKz5hDPwEsS67FglmbuiBDhX1tdouQV3Ktu5KAB6Gc0RUvfeX8bQx3jLZME78OXnREZOomQqB2
p4HymeyrOcYlsZnZ10MG5JWf3QpyQh/hwQi/WY6P1fpxR9r+UrfNctJrwHxaswy/YGi2e7SPNCaH
U3XMWvwwUViLdwmQ+M/jUMgHBv6Rr6EgdRJpCkNdB6eRmxotLntpArQZBmQEJu/ARPYE073de/lM
5Fi8/qaEY3uUsCtuRpWw3Io8R7+X22FiiseeLIfPFrRbvx04ZpRkcEvkpnFnqpuOXdgp2a2u1tDu
ZaV+NyJ0IgExM87GbVLZebKk7TzEyg5eOsHI0ewgoRdEBsqGWD7YaH9ZLSwSejErHn09JV/vs9a2
i7yMQcW6ElAOZL5sJwWc1aVG6wkvkWz7P12dTBVBpJNiUahbl1W6naPdpCxYpyJeQwIi2A3A5rwD
mCN3nyy4+b5/Pe1tYknZZvFsGgUvwzzvIgVxgbfhnBybO3BMBqZsIEM1zbWPcA7x21jU5HryzDSI
0TKGky/hcRMu7Lwxgrpk88OJZxQwIj6B8G229XoOKhV/Sl+tTai9jtaFouFRUruWD2VLuLaq9XC3
MBBGw6G4t6r6HwQ54PwjmAbimkVna8U/4BebILNBhWaoyvsxvcnH2uWwW2z3phiSfMeU4aVBaNyH
1vySw1LXE+5dUSE8zm60XNPX0gOtn2is1PIRSQcilULkPx+tIifVwkIveQJRZgQeNr4nDZAvGBF2
k4eeaohXnoq6TKFej53ZhbW9nqZlDhhckJfkKBls+xIhT3Xdq7NO/JBlPz9XC/EtH1jnC7auqNbI
dg+ymLMnJ+y2uWi+pGmu7HhvaOvDHmVg4dQ+HZfF95SEKcDcTP/624L1jlSyspMOYoPwRcfe7xEq
2k5ACzbzeupmid4ezDR32CyEi1QbyQe6aeElTu0h6VT3RmsY4GO32B68Lnb3rcMOrRJ+RI3JIKrI
6/y2BvwN5rsLZdzK21QDRVR1Uc25wGMqlpbdDsqyIPSutQEyd3YIR8k74CPCuyssN8TW87M9Oz9K
8LooxZr6gd05HOHUGAERjFVszW6IDhopC/a/m/N292xeH0hTroCHjC88Mh0Ufxmie0ZH0c7nOK/2
/3xF/WrPzuY/aiYWaQz69vV//p/HuuT//vf6b/7fz1z8yH8pYvbqH/GL/3Xh1bPp1X8EZzLmqf8l
54dfbV90/zZbX3/yv/uX/+vXf4/Sqa41xB+7/o2DVNhn/8h/utf0zX/9q9/0TQdZMtoknmlThOhs
JX7fb/qm7f4Hdh1wJ6m/TJV5A+fb/5clAzli4ZwKs9/6rVj2b/co9T+0FRxA0stgSfMYO//7Ddz/
Tot/f5X4V/2v//6TdXZxhJrQSpk6rLpEDOA5ui8GtJ6eDnaLuHGAyyw07WWZ56/Ifk0fDDouQj2X
gRII2cn21sySRullqMfBjBY9zs1mPnwfVOzSmYjECJLSjQ9jlELCP77CX55LW2v2P6qC8xVtIA3M
k6gKCKqvr+iVS+72GHcHjjZ55UaUSFgCvkpwk64cg/4w+iOf3N7J9l0E5mZUPTS3+Fffq9nQQhW1
2is43caV1kB60Zce5e+5GG+YXS5HbcrFB7nMZbPvfL98ctNiMq06tLpe3y8CLvlMtuAEED3KnyOI
SFQymeJtMUf0fABB7oYCxh6x76t/ylrFJnpyxy9kKTAG+9p8iVFd+4zqf3cVT0v98v7rvBwV/L49
CiyIVgZIBpdF/GchiXmlCtFotjHYFOZNumj5tE2t2vCddkyuZ8RUmSpqor4uOmMKGO3HcD91NBli
h7N1oiOmz3F5N0/kyZo4qIlywtsWxdUIcGay0mHyb4aJi/EQmfK+QBfuuY+1PMQOXjy8/yznVu3l
0gCUYLi4qNLPNS7aPW66jGrXG1Yg+iI5zhZMfCTI9difhJsA0EyRrys52AMFTPbPyh5xASjKapUF
hyS2n2xPOfXT1H2zzcFAgWXlreaK9TRpZGKtdeNIeleYT8NaLRQaakY/HBAbSujFZd+EhT9GGllP
ntUZt52C/H813+GoOOzFbJeHXIIW1ZAjPmJggUaTnqChutGxqtwlJdZZGXkGpwRKmTpmxjdSqMlP
FzVVJk69Ia4tcAw3XYa4+garQhUNQHXEJU1XOIhq8Ksf9I7OG/fiXTok4SbEdBqzVOGv14VgGJhb
7WwhPGaUdzUdftqTo3p0qTeYfL4o2Tjd9TPshW05uUm572UxvthNIZ9N0XQ3TTwCJUS01zkA+y58
B5lSm4Ez5qk0B8V9jZU2k024Y9exKOefXj9qn3oR1ddwTxXS8jw+igX1EkgIKYTyWJ2Obt5nuw7y
2wcL5xLQs24CduZ6JIAUs9gKFw/rqmJAR9kO2rwZbuNS76P11eK3Q1i/V2bb2zWapgMhLhamLm58
bQhLHTdkpGKvLab72WqB3MgxVn+8v6b/El+hR0KB5Aswn7Ct13dWxHNJyTVawcgIZmvI+iUZ5gNd
rcnH5PPq/Yu9PTNcwEOAdVR6pRoh/fXFEK+0R9gsVkDnx3lS67led3H2waB5veWLlfXqKhe7tEC9
3G4NNHhzfMB/qTiqH+e+UpD97qp59/4TXbQK1zeH0CdnNCeqa4ASe/1ELMlMCL2xgopC85qSfvlJ
48Y+mtJQH/RptTeq6tGr0U1Uq3uviqT//g385ZVSClEkuMR/kz++voFaGS3RJJYVFJ2DKs4I4nGK
FueDU1i/6GzQBKROBVyBQKquqwhAvL6MTsh15yKzA/DpD2IFGZTqHGYp7kckdtiwTKgaGtP4c5V0
oWmm3GEmgPTJUoMfNsbZ9/q+xeHRrE92K8bQibtuY00PrS6abY7tTCDSuNiofYIFFdrcG8NbJB2I
5lcWfwSvu1wfNDSRseCsZDyz5lUXXZoFAc2mt6UTNBw726hPIcehwewvdq188HXevDa61uvBB5TH
9jTrkpqfLBjCOr2Cgmphx1fRnCt7BBDXyXJV7Iw26ve8au+Di5IKXu5qxhHEG9IlIiuzksvPNeKa
o5fwEREbHJGgy+vAiF2JLuQ0PhnIFdkb6pAH3GDw0By/QS/GF2ec9X/QI9UgKiT4OoLgoi2/MSL7
vhVwvwhuTZhKERarwmYbpd/A9X6rBy3EtAA3aBdnvraM9E1TIFrvjNPBygeaBU6r3nv2iC0nAq1e
OmO4rFgFhEZ1VndSi6wbjAlhHsE1EbpSwCQYk40XQXlEmugEVgdqInAJNtADen1bgv4hN91PMZj4
uwUIoFh+UqS1dxUKjT7eefFTWyv9ndJk+m7M2tiPFtwdIOLgo4SrWFikdgX5timyb3CoNXx20wpF
26kdfuqFJ0MzMT0adp1hfptSHTEvtXwUYriXbohR2SZFEvFHlAIAs6IS7X4lRu3IAmkIbdKSOwvj
pQDOs9hPBXN7fZYlToUI6GmTTWtPh7AFcszkzJW9/gtTOvemxNZql2qxhsp1TlsJHF0ULKPNTD/i
lPqet9UYpKjAwgGft6KwP1kirf2uMcp4g8GqWWxpIs7X0kjMU5QMiBmmczAZ+I8guVon1RLqhbGP
7McentE8mX4367h6j8YxH/vHZuh/ZWSXX1K9znfGAhrGc4evSKRetbA0d22PtXukN9qXJoNrOeSS
ydwsalB4c8GE2FuAaBjNqfSWLzjnrFaBGP90Qkr0n2IEpXJ3sqnxu+FOTssUakth3YPYKn9WLZ+t
l/RdIK/FLy7cvjBGBWSvNq44tYWrPVWNKL6OqRFWGY7OO6T33fuaqfVJyTFjAO6qIqRY6s3st9kw
fy4wtDoZ+DJ8FnoGEEKR86OSRCIUtZLf4oyD8OkklYecROu2z7BdyRhS+1pTOlzZFrfRovRBPk5q
0Juu9o8SafKAiKp1q0tM7BO+3n7Jyu6U9MWzHJwZIi1POKqWEspouFdjM1zqR4AezInK+a6J5puI
HkGIzuJ4qLW8/hFFWvJYqyzJxuhTEnAXKbkm13APKRaQL03n0+ouNvUUWyenGZNbGBk0BWAIbWs8
y17otiCSP5jzVYnJ1V1lub+SxvpW4R8GIQDKdgSdNJ2+Oq1T7814VDbzjKVqYiBE3rfJgnUv9LVe
xl+laL8Kj9nAprM0+VwAKfsSu7nNXLgpQ8+Y6wA/aZ3if2yPaH1avvSkvc+kKHZScePAQocMr0u7
+mLKSrlJuStfaBE/nFcPRNhp35TNeNCQ5Qr4KazZnPEIuOyXYcUMQCcbgVEPcFKlGhOygQk/AHft
08CUO8DISdnlTFzvIhqVgVbDITdo5LSuVT8UcrTvrJ6owB5E59pIMbIrrftF/F/mzmQ5jiTtrq+i
B1C0Yh62OQ/IxAwC2ISRAOke8+we4U+vk6X6zbpLMpOW2rQ1WUUWMjPS/RvuPdf2HidZ8ZnANKg3
ctDTyXeITkmcUe5kovV6QgQyuyRisZuAIOaFZAMsGOuC1MjXEdgYv9eas22TbBA03bBeAk5HtAML
FwQJ4YEj85/kCEx3SgT6mpm0fAxYwV6gQFSQZbD9k9uKEif76GQ17EQIOBc0JFx9m62DSshWs6r8
2hRoxRaMjV+ezqeVjolt6hJWxlkhugfXqhJy/Wjtwp1X+W+koGBX9ETeb6WsN05UkGFpT0/Qvs9O
hdPWYwZX5C8pmERecVs8evbMKmXJ3G/bzOVTq3Iq/Vgbf58PLo4nQIH5ZiZNo0e7sqlbiUV69p6d
lNxNgp3h2aYKjvjEtLGdtkyhftWqO0viWYFT/qozsoYQpPp73Ybuvrfs56ZgkIZB/lIHiqH41OTd
KgCm8D4aVJltp+v0U9Ce4ZhMq2i35AvBY63pzyPBwOvbVgw/krhOZiCIwNXOWmrPoLFu5ps7krSz
KUtqaxUMtb9DYIiiCasJZUezb/K8OBNjoB4sJ+t2NyjpnWya9hSEQ/Pkh92jLMhvbsrE+pn5ffPT
4Ee7SXGyt1tCy3ac/ewuS3vvnZ+62aJ0CKAKZrBh5tjsZdjKnwkbkFMX2xOCbW7O3kXfSeJMclDQ
dNctCOi7pcTRNYimOrZekHH0k/pQ9IV9KXU77caOw5tI6cfe+VNI5ggrwCDDSzwChBwc2T64ulye
QlHEZ9IuFtIPo/xs+xCd/XJMfzC/XN4nhLrrxC2dJ3T+cJJwuh4L6eZ7UD/ZJwgRQHr+0O1UF0fv
rbDtYyaT5pR7gutWLg92WJCaWHjigcnOuLV5tSwvluA8qiG4S70pQBSm7BfMXdljmY3esR90fOcn
YtraSS4uqor5f0Oirl2Uf7dVl7+Au7WRogn7wCO67SbysqpA7uqSehFRw+10SSTxqkjeqftNFC7H
wfcgNfUn+BeBnUFFDet7XWbgriHtjGunDdOtNcXRxWNa+TSaLPgmwrZ6j1wyJEgifVvQTW0aieS9
7kaCBbXqE/xaY472FrmS5YfVaWRkzBnm9zs/srxNZrNEj8iTfSZFG83kbMpE7UhEkkfAJu3OXnx/
VTodc2sfQx2qMKCpmIpD/5gLZY51bP+I/TF6iPnz6ASR1dRJXl5M1n0zK3W2dtF7VMBlD6y4n67k
zR4wI/2p4/6ELk08BACrQRwgXRBa5vCEeJ9BZQfrjlD1FeOoyyDI7RHpmkIt3fVppbEnO0RPKsya
99pJpvtxHMQrLWaI6avMnF2CkVauQBf3Vwhi6VvUR84TJlb74o66PXlCzJd5nofvAWMSDoBOyhdd
88NYth/89mY7+YozWZ+KLMvJb+HPOSBBNkQK9Q5inNbeAQb11IpzYflJPm90V6lhsVbCa+ptn0T1
U4ts8ii7XBGFPBMKl3tWC2cxVvuhaT2yg5zMebVSapIc0xsCx4D7WjH+AW8SEifq65a48Hjq0he0
nhMf/o2vNOhK7IEoBSV1Zhe2GHLRxWYgRN6aIJnf+8iUYtODJe1hgcg03eaTJ0PkvXlyLWShdm6B
7cijGZo5bKzgQ3RcQVGblkTQTRE4MItoygLe9UrrKrkkZdfyw0PMq6hnmN+z4mFsX3aWuZ8h+VIy
kep53y5yuOQqf6pC88uP8h9T5U94nRf3BG5EHKbJvE/G5Qttqg6zQ9GzzDNAyIk7JiyG6wYXXUR1
27OqY0Q0b+oq7DZtGU93sMedHdtfuYu8PEXvGoHS76HOHZXUO2AnG5J/kh23K/hsrwKbPyx1frbI
EHrDlHue0m/jR0+xdl/6WP0kUg7PvfgkL/tdur5/qIRVPULOY9Ng10Rr2VV0V6q4GDdgfqpNgwgb
tr0xybWy254lGsGkVWlN7JJKEudyWJ+XJOjHZ2soig1RiJj9/NadrrjVBaa7MAh+op7FTcyPMD10
aSAey2R+TufKOzR+XX/M6CYa7C/kWjFa0r8VgK9ng9p2v8wNtOa2jQAuL4IYLa697wnFBMNXJ10J
luf4bb2bcpw8v/XYN48QNvRB2Y64xbk6KyJN423YkAu+FsnJq4v2MSwYuKycJOs2asjaYxTU+s3u
sVzSqyjg+pkI2nXYGHpWm8U9kRhh9oc/Q9pcD9ydDa5FYh1lDEnVxgzWqdBxvqX+H+6jkgRnWPxL
se3dpLpDRmcFqBqQ7JAEGe2Bdo8cuX7jsZl3LbhnSfxsoX9Hv83Q8JUs2eaDht0+M6Jo9j2AKr7c
U7KHvwMeImXrleu1SgDHA28wu9ljA8t32N0uHmJBbN7mwVL2tJ0jcsFXM0vCI7Ap62JLONOQK0Ba
lLJL73uKj20gixr5b9nspxSqQ4Zy41yJ+LVU9smthuaXmQSRwLKTz5CFm2cTeARStOMCqZbjdKiS
8PEmn/6UQZk8TYXrXlCepiv+SvF1Owo/K9HI50lXXcBvFs65z9H0tbmVvEZmHF+iAlTpZhqzLw6W
8iqVnl+1vWQI3qKiYfU91J9QxTtegywOkuzuuxLI69UxontU/dycmrz1jq2YRpZgFU5KyxU/snZK
71uy4PkCMXvRYZydKwq2H1WSeWzsQdjvqXnadtspH798NSeHDv/veJsyZPdMBtVb4TMZnK2lOjWJ
GpJV2Ojh0R5kxDjF9Muhpl47h+UY/tYOYpKVyevs0eNRfSQjb6nlytJ4voKI/liWdJOHor8B0Wv8
MLsuj+uDrHX+Yxiq/qPLkc9sPZvFAYA7YydoLnX+OjlBsnHjxdn6aNwRIBOPQgaxqGyCRZS8WqEN
uSho2gPpxGplebj8ckJnH7gm2Xp7BlICFzFZ70u8vFlOXb9ClC9hRsXBpoPzRXNYj9cimh+jNI54
+FUxHVpegrVqEZH+4ZfEJcGYpLQsMGERLmZ17DpmEQdPlhTZJuphnvjAHPx1R9T3qzM6DExtm/qO
f9x9lW06b7Eou/eOquBvWxQ817S31M9ApjniaszW29QBMLFual9nT56U477sPIpdyywk3jWEC0Bs
Wp54oYzQ257YGm1XaDbNuOznKKwOhWfZ3luVpsMfRXwlrTWTw/oEjypEVjktgT4nSxaSppA60QJF
peg1KXOdZd0j3Rzjs7OEpd7OJItO1VwdWhN7T6XxkkNmZUQ5V6oZcVxgpiNnxaBKArBS6XvSrDqO
AmMmAvOKLJG7CmfRZmwUxW1k4na7DP3iQp2wUR6FGVHDYdzkZhXozjrOXdBcCi8ZXjOFvpb84nCl
kedj3I7nP6ZNwI7Te+uTsZrqVwCsBVVGyRW5cMMKdtjKu0OxbH64tT/8kcyBLjbskm9eevcxpXog
2QN4yYmrkGOAzwbK1TJVcX8NYrFchyYkzyqeDImFgbLvmIYhYosUnIaN8sps06VNe48y3L42dpB/
0lrSLka6i7GC9QXTdQ7uHx32sWIbe/qcjzJuwLdZdUccQdh+DB2L/rL103dWSnyvcFjT6GXNc60I
qUz7QBQ7K/Z+lS4DKI3JxR99lifMM/dkqZ2KAtwXNPWIesZY4ilbovJlhi+M+qYV51bGzn0RFPAq
8n7qI+L76mG31GY8LlXnblsrgxKGPK7/4eWhOuRcX2+iECmJn7EMSUHSznDqTV78bCiXtlo344Gv
qjh38eQ8tENukQlRYKIE0Uwm43q80ZzW87ykUIgiyS05KwAUwMHeNd3wLzfoYvTRRpxdNf8eHPW7
H6xXmxZgVeaZc0QqPG9iPEY7X3OENrgK3nryYE9x0pI844vst4oq8i9Mky1XJlvcDBWF9Sq23Gha
dajLtm2fDWszQ2cYEn3LtIi8P4Mb6IE4z8ypYQfpEXS19GWwDV1lFyujMlp7ZDI2AlxvIRYD9Rky
UV4cIQ604OYtQL7EPtDoX5nVEuir4nm8n9PoQckxuIycwQEvK8X0NA9MdApvOquxM8deY+fh2/Fh
87cAoSEUEJhSVOzDcZnhjot43vSL+Ywn5nBij17jI+pjfW93kfcOC5FXzjWMZ6kej+y4mi3TJe+N
22lN3BrwqTxdgqvlzISi1jkk8bKIN51jLrKuunMS9mqdjl37vZQz47ZqshBR0+taSIHXXkes5Tqt
iWVo4onvgeUEx4GSljxlLiuNy4sreSzceQ/039o39lBuSGBDnCQmtyUaz6p3NsL8YxO5gohU9J3P
bdyHX4wyENOjDcFJZeXz0TjDU5X28sFxmQtiiiBoL5yg7KXTekSls13CBSRbHDfLgU981IS+3UCG
seaJlUQhqeRdW15EwHkY4sfpgerFhlzcsiKAgLsXYXvoXWI1hZuYcuVdOWF+JlOSsPesaSH0KL3O
VIdrL0n0BfMX8VGjbS3bxJNs62r6q8eIVL4drB91Rk+bfYkeeXRboubxAtZoRSbq1wpIw4sQk3my
SIR5Y1/f0BJlaZWu/AnhUCyImCrD3PFQmY/xW4wikxls6T6PSw0Xf8nSNS0QjhoDfqn1vBgzDfKr
oStUvfZrHpXEnys0u9SSe67pnByQiEBbqwhSCerDF5Rbi/rkGO0IEEHmCge20ZT2KbLRI1vo2JCO
27UVBoZoehodouNLyvuG0zTuNG2XC9A9CTSeBgRS165p0lPc4ZOXTQ/eTAfhHaA/clIBhu1iEqxB
Zwz0QEMZopvNW/IvQNlXnvdKFMEKhuRn1oQ/kzIJVgHgn4zES2R+oTQ3NlAfrsEKXsIpDQ5kANhP
bfNXBrcXn6pFl5dsKF5qCZPQQfj0p3Nc5znqff+F/I30mFGCbMGoP6euRryZhvpJV9oGoR8U15mb
tJ4qwiVFPj2llhHPoanIWht7oukrpswMdL2Lrv1pD6B43E1DA+lPc+ajLD6D1LP2c1od0QNG+8nn
Mcrl+IeISvNNUsjaa615PREQv0YdDKuPzRcip+pouw3JTD3Om0gOzIbSaGx4wj0SPD0jX8Zp2hn2
sV5X8xmz69ray/DlD5U5w2UkDmEayQDuCx+7M2GZB9gP096Hw7NrCtvqMKK48dYN7jvQmKtuRFq6
7gOCMPIlaonSZrXcgvwvz3GPWqS1tkleX1VmEbaUBN9TbIn9ZM3OcalH/m2Ql4+T3a+bIbxzQQpb
Lf1dMwqfQHV5z+y3YXdQ7cm6f2yswP4lW6M5mmiHXV3NjPPVcmYA9lqAjxKtHa1ZPKzdLGPYh+Hp
6PXZWdQ5kWv9XH57I/i8wus/jRF3KAEdsRJZ04iV44oKkh5JAEFkBdhiaIGgChwjdxmI8046cFqE
WfPgL0S7BtYMRMrQIIfk2K4aD15B7BANkd7aiQDs4GdNaOW5Ulg/vAa2kjfNOzKzho0diQLbTBb8
aqrafw47AfFKSFf2xCu44c5f8vFQLkvrM2tp5CmwsiLce5UTfPTKscTPlN/g69m3IX1v4rx4foQJ
WiNkh7+mtgXf2xsuL9xCjF2gSSQto4w+Wx5Ty0+fu5Zs3WxKcBBGsXtMAg80UeeSo+xmLDCV1stB
RYbYnSjlVoxyHimU2k3+YmUmZ+XoeDL5KbKUgxhLSLS2O2ml5zCjP1mLInT0R5LkxWMisEIeWWfn
5XqZ2I+woIUhCd8GXwF+VU0EF6G8Y7aaBPchDD15O0+TkLCoPnvKtSqeJ8JqsDg3pP54uWGmqdM6
QAeShdFHW5fTz6Vxg+8iKqAE+MlEMDVhUICySEEggg4IqRmBo3aLMx4QjtZgEvioaQYV3WLaoi6J
rf6dQXG/zbGlssIcoxMkKGb4VgQZdCSz2pTX0G7wP7XdvZe7x6Fqf0q7RKEY6vuA+1009b1nifOQ
E3TuO3rB2Cpq8RhQkFx44uQHVKqOjrhb6UHYRNo43/ijbx5Etz2UqsvYLi3dqsqTPdlRn0qop6Cb
3/0UlgtMB8oMEAHdcS74b8Vi3GMLaq54SYBG9TzoVcawUeCUR2TjTE/c3TU3ZMGULAewvKUNoFMd
LZ+Q1tKo6rchy2rd+94AiVse61riy4tSeiYfbE6NjiVdt8mgn5OmHl/FDY43Zx5D6jLorjkCBnKU
LoNnpVtnjpyNE0uGFEOTpu/0C5WNcjXqNlHhmaMC2PKZOTmpKT2Mo7MZ8eaBSCtucuSMtTBS47VV
TXDBqRZj5gVLLpLDYjvTxqbVIUmyqJqrXdbBc6cTh0KL+WlmkwoAXedjEJazXxQnLrPV+ZI1QQ/E
cDbvS0TXVq1ZZTHZCHlY7sO+etfa8R6FcVKxG0Zv+WztjGAXquOLn4zh+9LBO2WdGVBaFyYgNXJJ
7MuM3bVbRRFvA3owK99Xg0jvPUZDX/SmdCEmT6+ZEsQXk0qreCctGTnbNHDKV1q4bDP0/R7351pX
jn32E4t9waCK12rsDv3U6l1Q6bdxqDreQfHKAhnyYBzhE0mX7WT6YW0Txy03QR8w486te0+wUuRc
yV7HJipRjLR0JooHbVWGdg+0Mru2XVSs/GzBtdcD4ymbbVhormwG+WsTZ0zgZYta21NA/WI5rXy3
FSD3K5ceHzVMuPGhHruTG7SIGlt9qOg/321oxDtcYd0tWLP7rgvmsZvZ5QHRWZ9mq4pEpucSwOW8
7pyxOBRpQddgTHQXSQKIXdxpZPsxrIPs6wvDzwVPQ9WheJRdcR0jLCuDarMTmxNWDm5VHuY+KatN
b4NYAVSgzZOZs/qA8AxSt0sSziEu7JIAmxsszV3y/D3nVPwyTu+sa8Q1z2GbKubEc5udA+NzhAWR
ehgL1mbKTWnkGtc6l5mLYzbuGv/Yu4qwtTDQBazOyD6pJSU2cxpaEneknIlrJviaL/uIh2qjR97y
teVOb8VgJP2HgcQfqn6vYwfrXuIew6jlGtQywMdPBYWTenQvdHAgRXq2impDlt9j3X4P8KN+N8Vs
rftosu6KW8WrjZs9oddrrh5IwjVk5fwhx9d/4KvkPSSMg9586UbbOLFIrVSmpt8jo82FBoFDvJnX
JORwbtUgudA53RJJFbVz2ukzJ+68VtRyeM0cvQ+9gr1/A2F+VXSp86Nk3HBK2QJtkGbLTZ154dNk
kuxSOE0AdCCKUqw5DZdHkd+y3f3AWkkNH47Ub71hhuQRqU34VVtY4zum2ODZ4fl8lC2cjEl4YEJ9
0zwFSLVWpAQgdg68YZNzyDKgUv7RxvjNNKVYsk1cBNUz+MpiPw3h+KNLOesa0En5Hsl2FK0WO+cV
V9Yk1S00nc2SiMZhGzXyC6m9+xGoOLvHXdxtWCda4Dhjd9UQYw3CMoEybYuQd6ps8B15y1niAGQd
0Sg+HfAR8U9LWx91vPwWKvIueFgeeKCY1jNNWhNZlj9Iy6kQgef9rXPwZTVfE8Pqet/S9U77hsNT
rmU/qAOPdUf56DEy1VUsj0AYxWvU2cNyu4hg4jRJucxri3cWyYBJ7mrlpIcgqvovV+gVDPanNPLG
+86qlmNtz9G6KCzVr0edI5+RY5Y+CoZFzzxd2Y+ibp137UJ/Ax4nMIcEYpc2qbkP66YEEzDRX6YL
vrSxdOx3VJfja2EgLflxdcsSMU58lD0xbcjGxO9EmHjTpnaxTUKzPHdJ197VRBLtuC1KKHj9cKpn
m5xgYyuX9YvzV5c8kYFQd2crp/tyRVmecJg4R2sE9Hu7Q7y1IRJ9N/jKXBm0jEcjC+tnQTzXG+yj
+FTTJB0GSw7MYSO5n7M82zljuC3defq2CPGGqA+ldhW5OiwhE2Z3qdHALpuppKT2+48mVPmXl5TM
0qUwz1HkYiFe6HfazcL6GAXDhqnxCn0j/1swJXlZcPFOa5Yb8by21Tg8O3M1XP2i6YKrDVT9NC5O
jXbJ0tM2oNe60VDZoOOLfFg8GdNJhpVzSBwSMdpwRKPitEz1kjx6SUkyv8q2oRBxIoY2JMTyfear
14qBJWZsylfZV0hILCRUZmguVmO9RrVFrllfvlSt1T01k58SijZnt6q2ITw2y95sq1f3yySiF28u
1JO1KAwC+aNm1Lpz/Xx6L5pweAgcb363UiDAhMFNZ6/JYvDM6fTOsfIeFqV3WaxbfaCr4ko+sXuu
y8Hel0JWD2IEjpoGqvhWKh12nQZK21cqo1WxOR0QWB3oDTOx7lp3lGvkH8GxjIZur/rYfFSi64mI
XIz7RbQD9djQEj5YUief8ywQmxpSzKHza3I3w8hg44By2RG3vKeXjjmaRHusgLrtKAv3vRdNp5Yg
TZAroImDpGw4a/mpKrLzKueRYWt2Vmb0dsxsc/7WiHyO1i6Oguiyhzbqhm0Fd2lDSm98BqWMKLb+
o5nXhDN3RplO854yOunJOPO7VZpL6LtDXh+6kKlxGIuPWMpvVEq/Y6ata8EWO0ud3RwhUeuGMMdT
0/wuwqJZJSEJfRmpEhV8WjIVCf6q1J3oxZ2OmrcZpGc8G5gAJYshy1mg6Qq55Su7nhx/o7LIOQIw
fV4G54BiaA0HVB6WvC7Xgc5QILAVGld6ZpEVT4x7qsFeCdc6YFE+wZg5TPly53dMvxfsmk+MuvzD
EM/5zh8FeuTWwB1ju59/Rng1dhYwsUtMfvKzy/7rJajpGBuTMQqvGmf/301jUzeyut9GxSh+WlL6
Fzih9s7EotjXQza8/qVn/NuT8bf+/h/uj3/88v/FDLL/3Vx/Vr+HfzpG/j/0gjh4DXEt/I//8lr8
b06QQ1b9/JI/y//20P/8/j3If7eE/P2H/zaEJP+ybfhCN+AA9oS/EEr/yxASBf8KEj9mQGizvcEu
hk71b0OI590i7B0E+Pg1CDy5Ca3/NoR49r9IDgoxPmOtj/76R//1Q/7HB/V/NoS4/zQA+ygOcZXY
AbpK4HjuPw3ALgqmVsc400kvr9ntDLQwQ2IRTGIt3Zc/evRU5Ca86Q5vUmjpCl9sOm4inadHN+xQ
qiBKOQBZciHhjPdTlVT7G8/us+yLiDSwsHVpx4ruiy4BjvWAOKfUi7gCrJqf4kRau2aqhVw5pMZ+
o7VldSCH6Km1gkxvpd36RFQ2wOc4cuROWdVuwXMF0rs8o/N1NpMOx2NnxDEMOV855e1d1ib39pR1
hxYNxHsouuS7sBj+UQAuKaqXdNp5NcpZAtrL+Vtgy/qcgnQ6mSFnZgDZdc85Lg8Id5f94kK4H+aO
Ls8tL0wM4nuvTPV2IQ8BmZ7tsHGcbvsB3z5k02AeNHINpiSzRL7ohcs+LWsWCybN2ldlmuZ31mXh
hUGghzBlejGDnfyg4ovxyzNJXrmBynhXmxQiVdYwrmBbjuY1lcNiyDrN1T5eqDTGxi3eh2mxT7AN
x1NduF9oD1D8IQogU5KDN4vi4bmkeD16qLYR1xsbB3oRZb8AzVs/3FTE5y4b/DtBeMCvdlatWM1D
YP1RHNmXaonVe5O71YUPnNfJFogEipru1PavOkiHeoO0GfwfGn4wqfGf2S/qTRhK0kBLpapTV7Tl
qi+9L+ZnCB6pF6Zd5uFO44H3eaOs+tmv3HxXmjQBzT6BERcQETuSYg5JwF3YToVzYeWE4c9lGawp
ofexcKNVLmjmFXd+uxKYtJnfpG94ffUmoJF7wS4/rtTA5T0a6X3MS0tv6LL/UH5U3WdlmUdYFaVe
cTdQXTB22kTpsNVF5G6oRvotMpjfAM2JZyPWNbg6jsqP042wU6ZIXUe7utONSb6D1hevs3IYeGiv
eltmtzzFErWmrkn8XM1z0t3FCreHbm33ceg8uMJWYvmbECsnSGZ6xu/BH+4Tv7fWDpq4HaZp92q8
pdrlOpyvci4n5iMuT21mJ+VridW728ygBXZWxXuW5CCGrb6ePg2F+Bn6WPsEjDk6m6yNYT3ZZAnM
+XcHPQfKeb9vlyh6K9oZoVyFFqZnzhH0S77RQUGFlmb1K9Kf5Cp5deM6sJQhWFU7EhFHLq5jY4sH
z3DLEXDvSb5lhok9fnx7P3gagm5qU/wsOWuqKqi/YlNAPUau0R2soPd3LAbjLfuDBzM1X4Mzn2KC
UNaWrTcuG/ddjwyvUl57iLueGRH3mexwqTq1i9ECkMXaleH/TeLt3aTv/2E34OS0fQ55hxEeh/A/
zMhplEe6GTgOsl64kmiUhnCftmWKwuNYt3czniSafQKQhvq9nEtPbpuuR7IDT5aUirSezqNR+k9a
SRLiZV2eE6oemF8uNPtGePV7g+llN0ToYLchIt9qO46gR241VfGU/PV9Lv76bnty8PxjzfciPA63
c0EHywRvXXnsBSfw4J//dk39fQP8uwUwuvkM/+O1O7jn8ezfPC1+yOXzD1vAYo0+9YGw97h0n+nO
WV8X3jPLzU/bt/OV05D6HQCyvIv6KSKumM94F6uZRrjr0Q6tLBH0zpYoPdKCF5PO+5xVF3jdUv1m
CSVe6KSWIyrYgz+XCLVMN6/dqQeVP+4a2XfUiMPJLd2YLij76rq5gbDjVA8zc/IjnOiOPXA5nRJn
kCe3Ax+xHgoG/KjyvGOtei9cgwsbt7yPLhGSRb5RoaLwTObqYYp08km4Tf25KFvtaC/qX27lTddA
LN2VpGPkpPo2gR519N5YfXrEiZw+LLeYa34Z7XozZe8sU+SJ/Q0mYogtW8MOZq+Zn+FbRn7txno5
opZCK8KiLWUU7IpnWpJckQothjU/tl57eSF3BRjmfc9+Y4el2mxhrk/E63JGbvsh7d9GN3AI3Eva
t/wGgurK2v8Dq1uw0CuK84QMnil2kJ/boKTPndgnvlk4BO4xVFvP3qDdG7qIUaqJ7eY3G/D5LbSa
8C2ImvoBQGj/QPetTnARnAOxIvIu7ez+wHjkWEFRH9Vf2BPSBrv4Np6MJmd+dLXWj/OtmVC6nhAK
AEzZS1/VfCIT08ul658hATL7cU3D+sZxcXV56Qt83yZZp3RCY6699WgCjbIePdUnvYa+GM8d70w/
kqolh/lMJFV4V8UFwKSwzO6igGU8joPYYzmQLyiHaLHX5OUh9qVruB8sjS4oYtC0nx3Btq4KAaP7
HmI2hIqQL0zxMIGZu4SkHDCVqxWUO689EYWdPMrbKcIUjnIlOlp0mz1D3sWVzyWZ0J0mdNgSC6sm
Kv8cFQXI+6haQ2F7GG5nlgg5vdLbOeYJRz5WZFr/QShZf6nbWVdC7Ws0SFtfZSMJYWUAbPp2MBJe
zyHJSeFvyJoSD/3tDGWBwjnDpMpwEEgik5GPJNfldvLOtzO4d/35VOuGMxdr0kKahopBhyyc6E7T
Pamoa86GiepnoEMGDmUUbQqrB8z118WQ3+6I6HZbOCWiaVRy3CGdKDKsK/AtSYv46wqykxYnR2It
IzILp4teFrsJ7lEvEJAy3+61rJcei3j0QMT52MggLXUDIt/uyaknMj7/6watWxH/0i2zG8Yv08ge
281aciUqMl7bseoOTVrofUrkSoYu8XalG5tIZbFYA+Mo4Fg7p+qifmXwzz9Gf1UNy62AsKgkzK2k
wAtEcVGEOmflFgXEVFF32JSPaSK7dVjJkbz0Mo63qTXNZxKq2w0y4fmYBuQdjDVbuZbSh1CN6sZQ
m1wmgDFJ7JAH2eHNDbKQpCyKS+AO+dHDo3DJReX+kE3oX8chiJ/qxaE77Qc57FzZJ79JyXMf5lIH
X2RNq4dsWLJXa8rH59TD6ghRYYqOowA4AMjfmjeV7TOrJgYqXmWZ9K6h5U2H3uoKhtv8Uc4NN+wZ
f7jBQwVF79SyIb+Ok0qyVauj/tfcq3c7JOcbkjGLgcKzgx1Rqc4+npV8iQQvPKdrOKJ2ZbwkkVG8
iCQm2rkdAlS6hW89kCvlHVE9+89V3oQPiPODNYBFno8qa16gTzADbey+PIJCzcdNhaKUYBsFsUw4
LTTyBH7VJWxrsQ2VTg4UlvavOTHTFxqXlvfYsJ2mIBXeTmsT2KswFEyChcPbuCCQ3Rc57/i6nMOM
PUxbnHUfW6ekU8yh83k+5fDBkEVkfYLGnOlxJiz7A/rqg2Gz9oIgt1ojLyz3WZ1mJ8kyf+ZNi8NH
VJvFZ+6F6YYQjYD40b4af4lAic92YnBoR36JgaZI9/wrv8hyZ7lRucF2xEp7dtvkZmMiIZSr/H+y
dx47tiPpdn4XzVkIBskIcqDJ9ibNTm8mRB6T9N4Gn17fri6h+/ZFX6kBTQRpVkCdPCdzJxlm/Wt9
SyQPVoO9v3Tyq4zpcQpcAeZzLwk/Rpil5dpT9IxVNQPMdPkt5BV02FcUM7AmOhZsTfrQ/KRvyFNI
8V51mYvW3A23nsPwLbL1sJ2QV/livTB5jFFo8Vk2OHJgA7bcAVZ5oE6BcL+LKfiBl9LBt17kXJDC
qjxq4jq87ROH8pIij8e4cAxtxh4H6zATr+mcgA2pilcbM+e729jDYRzy+m3yvPQt7ERLj1HjgMCA
YzX2ZNwD8eqoHI4GirI6em51S6bzPg00pOVuxqQ/zzBrfPYKXqu4q7ZinElcMFtUZIprtz764AxB
kmfeKYCVd1j6Ot3arWc+8KbUTHnQnubJQnGOVfhTtgl8XNraJoIA12P9Us4clOdhWeOBwSQah/vA
baydsnFhJW2RnGsjI3Mm8Fk9KmuUz3QUdkTOybf/HrOa46KTdf5NiSsO5GXkpE9lPUH+XCaMHWmR
FTuduvUe7IrH0bgmrgGyWuGCI/vC3zomXzlIvlWo6/YkE9JSqd/xs495eJwGPz2X9kRvLT+oIStm
5bhEo4ZmmC4+lPiWt1OQd/s6XGYuTg6tmlhdjzOGlX3i8e/PItfvBSfBZBsuJrjFf2l2Xu1UO8ce
9GfcJPZejvTg4NPOrqQow1vbGkFIpIxTmhGr7pjm3QeVDLeLFt9XlsUWBdn+6kdL3wcN4SBdP3do
dPDiwXQ8yqg1xX6CJfQrdRZeg9h/LXqYMRbJrA1mZnuDvX7a+6LpVvDb570YFMbNORevfYTBDQWZ
pbhpx5YlaexpopT1Q61DmPdsJTzfwCD7Z+SJ5VnVA1PoTPjD2tbejchi2skqfuZLXlbyNuXKvrJC
aEqOG8mHYYLPtnH71od0qQPrifyrc3HscvomgBJ215FRPeNKipZY3VsAbw9tknEsssrbwqcMSjS4
Pjqmpbjl071KhoZVRHLHmDtrU3i/CM3nKQ6Usp+YF+blegqYXtaEV1DTlzsOhOdejneeGN797LNa
HskurqXbE90qZfqdetFdlhUYTYjSP2gvbD54vti8lOnvJyqiznlc1u9iHKdoleSoEDhhrBZgtx4+
wEVNL6oInA8Ude8N3iDjQtG5x84S6YmdIL5ROZY0PyYpNoR5sS0tYkwQ2o99mya0PSa4i+YhfkjS
Wj3Sq2g+PUwQK3JZxbFd4MMsKc5IXWZefvD91lvYT/X8PrDkrUmd2w7jExkfItejPyExzda1U8bw
Fp5t0umgIaxq2Ztcu+ibVXpwK4+LbMxJ1uRMIkdgNAfOkPjP3AqD/Iq8c3jxcqwjbnN1NeSDu82k
HdPLwMlvJJC6boOhOfgQiqmOy2NkxsQQM7gaSPge5KaJimU7EqV5b0bjRQzqyOaXSfEYlSyiTEMt
6mWvG66v4mZv29lLbpn6lLlMWLKw5kB27QjAXsudn7nkc9CW3XYZagIwrBlYAExeb70Eu9e6z61J
gYfPeAOzUrBgL3gl1opCQNRVWa37oOArxp5CMIPz/NWUuPIsYN0/ayqCD3HGCgG2oNt0vTK8Kklx
KKXkey7LdmX7WUq8v2I1m6ZmwgDhbQxEkbO0w/CWurCrZeuHhzCTZuIYVXxFHMJbCLOVzGZwnVX8
3he+u441XW+5t5gTCh9ptjZ45F6+lgFG1kwW5KKUFRa3cSaprp1GzejPWij582KuScz4qEnI8jPd
ZZqPIKTAuq3sX8tATaqWXfkdh9O8IpCfHH16sEhLhniLnbCvTmWZZqRhq+yDnBcqdpPJ8NG1xuC2
5KB94a7Sn93EG47CKJQlYlbOa2q547qPkvqjUA723Dqvzql1DdbpOoW1JPyDcJJ8745tA68WMlmX
AEaby7WYUwbX0g2oX9KpvecNc156rmsXmGMx9hPdbpMC7SMOxMoWESP1a95Leqe5Oxifz3MoA7yo
w5pEp/8oyzHYp5NOX5XI3WOT5fmNTjqfKaTlHcMpvUSOmobVf30X/k+ck+tV2KN9ndmNwAwf/BN1
gFClDEPX8fcWcIOt56Y4CaORdGHjMZ0n88H918nn6DlSZYk3BbprtYnj2nrIp8z8YPZRt9vc9eIt
xvjFXkVXvRJNh/KJIRDkMOyYoTWB36vCKdTAaBJ4OH8ak++JRI1LKJsbovU39Nn/y3q8svktoej+
wy/4P2nyp/iL5eLrysD8G/Dp+Ou//zf771/5N0He138EkB6Zc1N4gh5/5f/+TZD3nT8cB1XIda49
PhoEwV9yvPT+kD7BeZQixwfv5P1djpf2HwEn9SDwtAdrQYE5/zfkeIh6/yTOAI/1SYNBv+Z79NSf
cv0/gLZFIdIotMyyL2x3adf5IBj8IOAjQHWDR0e38EL11kVG5JhSFCeFusv8cU2RZGRvuk66XI1q
PIyTmAJ6pLze27FyFrf+PPQ7e4r7x4rYBvSeip3JgzG4qk2eHGKit2e+oWJTuNV0mIJBTbfG86f5
RnFRONOhVybEd2mdY1DmxMnmehWMca5q+m1TtKBHDKieWS2FMYb1g1v/dm4wnOwrHXNGqdJk4qWP
PDRiYOIsLAGZUwYHYfo4Dl5zILpDta49l+9w7GjSG0J7+MUPBwQNQZau98gZnjWZpWmN8RtOBV6c
cA9JQ3PumcD2cMIuHEK/aozIWDS62oH+gS3YoW/eJb0NmiWLGxfqvoYMfJL0lmYrltMemjOSpD6k
UG8E7Q5pWW7D1k301RumOIbGpfVZDWEQEEc1yU1FV+5XUwzJTYfIKFZtVenkPJOvWTZAAHvwpY5u
1Z/AOnZMbPXv0VQNH7nMJnelhr76LRfL+Y5JOVqUwtU1E/AEHWIi37KiI65rsKwExqy8es4OtiWn
i7VY40PKfeenU8DoXmdpTBuxaSbrvWtcY23wCTKQdhlpXizphfVGulHOkLyjvHYNtDt/rpx8xG3e
ix54LXOZan2N63+rGvEAELedfywaCutusBq8taFe0n0CqNtZx3AB2Bt1tpCiDK3gbJMz3Nl1OW5k
2zWX2lj1JR7b9sBlunmMU1/cNTPtGdgR0mLa5CBK6N/FcCe6fr4TY+oMa9Ngp6pqTXNfS6MHpDBi
stcGwS7xEfcXU5p97zbVrvJss4ujjHS8IZovojI4AFftXue6St5cjvugPRd/WvvC9zmH98uTXc3z
pYy4ILj9DK382sicssNvc6rg1zgAs9uB0OJu4O/aa3B+QBuwJnYd5dCDS2FD1F1LRpYWnzhmyVvr
2i1YhW14su2+OsiCfsjSUeXeE3Hx2nINw8/uvCjHpYlSUQrZBeQfx/MoeQ1WQZHQFj1N6L4jTsok
5ied4L5uEj/pzk3YUu3eJ+aFUwrZtmGYT861Au7PVutGKO716tq6YQNWxBjK6OaCqL08OJJOCCz4
8z3PurMHnqDrTUx+4dtHmHzgOCg36eDZT0s0La8WNvpDrq8+0iltOGY4c12+ctiVby5BrdcM09j3
ELfpq8aTzwFjOLjYg+6hV7Pjd1mvLkYWzUdD+OyhLFz7awpCVBpQTsETTclYDuM8Eeu0GDxOuqwp
2WpG2NwSwliQOZX8mpaUxF5tde6LlE10745UAHOEK37MUarvfaTdzzS2um1ceGGErNuNj7TmhQdT
k9NIiir/pbsQxyfXd4mH1/LMfapLuAuBSOtv5kT26/VBeHYWvXxzDpvqjT+J/GVphH4wxXzR8C/H
1Rz3BZRjz574ObF7Y1Tz7Q/HQcDBmD2XXCHzPLwDjDacDGvEYzgn0e+COzy1jONs3mC0MWbqWJoP
jso4QaZO6HxnbbVQ6gtWI151mYTcEZS2XA8DxFfwGdFjW0TlF5Iibz8pKKzIfg2nGsOZxKjJEbS1
/fnGk1EPwHO5BgjrHlsP+W+EEsJakMeRzBTPQNuaZseVTfTEDt32xGwPa0ybt8relPawYDr2wZuW
Jh4uIIJo2SDm361qBd9g7feye2SYCRemmgEnEITpntIU96pSuFMFcIczYkH4GOWu+0HpdHYC1RJ+
WlP3JOpivkmjYSK+Jkz6wO06Kw60FyYM3RaJeuBEwzGbSdrTiGPkkSy0c6Myv7/NmywmBKuCmHTQ
HNzR10bTWbpYODIpxFkeuM5H00EmPaqaSPLnGFLDp0wtym3HSJ/xpwrsoOl0Smi6u8klU8YkGwrm
EwNGyCybg/uiNFieq9k7ZWkLyHoie1SscjEl1Kty6LdQbCiDX08qaG55FeSLQux4YPKI7akfgQAH
YfE1E5D6snJn2DcBmXoGfE77y+7hDs9VIp9HsM3bxQXd53NwxR7S1j/JEU9fQZ0uGTFrr2eyYUEr
IuQztQfFyZBYaZ8jLNnld9hVdItfTxuHwcLzMjaOZTYSUtixD+fqJp0Qxqvm+okaJyEoPnnVrif3
cYzjMXuwtGupdSt8SoaSOWO/9euguQtilpdVA2HPxso3Tl8WA0ti1LhBH+PeDN/OSBTnnsakOOO5
czOGFYUub8MEpnA5YClvC5NeD7xd+1BWugjWXUWoGyO8dtdZx1ZXEl9j8xpVdtd1c7TTcVGdYvQP
7Kv4qX/pYuJKhplywn/jOMk58MwU7CRxpxel8+SVPTujBzWpe7I4AY3bZAy9c04pxj5QXvASxIQ3
bGZOJbobzq51Joert5PR9TEZu/IZTxr55abv0vPSkIY/x8Ab37AKqXkze5QRdYrYOaiJ6jR2U3PG
WisfZ+HLkxsAuUUYY9bq47hbyA9flrLjAwlYdK+aYP/mBQ0YNXyYb2JqFcCkpjx2i59j2vbLxyBs
XOZhjgSgozr11ssWz20/ORyHPK7j4RHCirpN4ji5y8Mme6toirvlwNa4eybnDFMaeidvAjP4H8GS
0OqSqHfh5vXeKKhtUOV4nGn/3QTIbc/kO7JjjNKBUO3U1KOWutMvKc60clsTY97H2B4/ykhMYPdZ
9lepbOtzENvBNu5RRikCkvNB4lk/EewbjoYuiq3sgSuEIRhccve04KV0r9MiMn4auBgpZlASpbmj
sw8fYg2KzOD4B7rc/TvHDDE3fVuMv0OvC7bDDJ+Xg9FW1FdB2em+SobOB4TgbDX0mXem5ezZNSE+
WtzEth7rt9bN2/0I8SJa6ZGxwpKOntjPVlexNuVR/pTwmLw1s5jRFsblkEzWSMGXYyePcgnG+TRY
XpCuK8yp0bZ0pPsedL35UWOeSbC+JhbWKkrgW7afsBsOS1fT3g7Rtl2Tu9Hdml8z9neSDnAKhjr/
SBo18SEG47gyILI0TWPSXi/xkF1ICPOmBqTwNhU1FRdVJc+5iPTlahR5TgTS9bpyUNcHF4SwzdwN
e5aoqGf3CvHcZ6lzSGnE2aRV1O4iQQ4d6dF5ntxjyEe+Q+S5mr+8264Q4oZMvbudihYtMgD2oMu4
OBY2ZgFt5ujS+X29sZR9p4vEvlMclZnAiukhbKrkJltye5cRG6ZR0maPJVIhCaEyd9WbMazkDidO
emfPc3sTEQ3OtgxfvOJQZFF/C8qAs1HLdebVI0VA/hZgpbORprTUGZ9O/0qDtqKraXajV2x+WPwI
GT3WlM+nG2fglEj+u8wxhVi4lyEQBzydlPfe0Q4RX/DwEmNk5GrQas28nPx2bN5pW1cvJIQMGpnG
w+pSjPjagWl6YLGzXaznIv7gBRY72BolR2gLrgPvTPmklzm6rTMPCj7fp9wES+2j4lIhHqixYOYH
dRRqC+fNY4nbBAvKUgYUVGpyCoeaurid0zlIucjrTsmqaWxrM3SYFlZRLptmvYiC31IfRQQw6QNM
tswiPUkoyLW+IJd0TyUNl4w1ObNvasyz94vOh48KKgoh49GUt2BPcD8ikVO9bXHEMSQw7v1O5R9d
NnNDi3FyF/ddGQtoTlT8ehsvppiFQVwIRM0eZ6IaosQHcJhr2+WkyaN8CEcZvIV64KIzalrsV5nm
UV0XQ9NV+OsxBmzq0jATU4v91nWWG+17JXwC1dMEmElGyQv4pcI8FFVLhYJLed5317pUWtVN0Zpd
KHpNWlmTRNnkEQ/Hfe+4XDnyvKJuz4/thU0vDyb2KvPIOwPvBO0M71FMLqpl9SeAMB5aEnHnGcji
G8uS96iY3qGgh8G5HE3/NJusyzhNLW+MxrUFVAaRlOU37df07ECYZ0nCz/nnnf//tPjxL8nUP/+R
Zv1/k2VRoWL9V/LI+astgWZnX/9RHvnzq/7yKvp/UNxE6hgvogSYey2Q+cur6P4hMI0wU8MwAhIx
wFTylzhi+3+4mGiE+FNG09rhf/3lVbTtP7AoYrBBYHP5D6rb/w1x5J+xnXQ5++AR0UTYOxmU/ZNn
R2FPqzUm9C2HpQPXw3sVZt+2T26Cdmcr7B/GKvtumD38L1RC/5+bJ6ib8UmCekRXIaLws8j/CNKM
Ys/h4J0PW4XP+HfoarEakJHI+Xl4wI6S+RcbKG4bBJfEWh7nrsb6QsJ0AX3R1d+4cXDtZZgogN1m
3FIr3yC00pRQ4YE2V0kiYn9bkSjwLxTr8pIM2Id3jhdCcmuhZS1q1Ccr6tUu4m65rErDEsogCa+Z
au8nahU2ynF+ptyON0Ryd2ng2GtCTNDAmvLRFAUz20hslQUkuI9nom1zmz46s624D82jc2dXln3J
YTDf6Q4nDGOKFKO7n14ny/x7oZm7/eyo4sF41Tar0xvudt1tVvNRMBe2l3U4C8PunSV88WQwn4P1
GH86ynJfet0BBO4GO7pPmMjdMKX3YKzg9ZAMeEh9SALhsvdSbHZp9JrATXpU3jgzToNlH8FAscHT
PJiqcTdh1SO0oydH66x1rR02IAcDET2x95PV9d/hLK8VtlWAlyxK++BXX08IVGaiaDpqA/FC91HH
f0qesU1YO/FjVzWoS6VrAK7kHKfaVQGbm9mZT42II4jbwMIAv09U0LE8dTcnhXsvKM2JtzIz3oVp
oF4rtxM3yZ+zVNTxyxxN0bCm7RmjwtKQGwAMWaK0gebbV+4w34yp3++IW5bra/xkRwnNci5xYb40
pa+HdVN3VrTRjle9Sk5JG9lbPpCHbKq5ovpjUF0i6VTpKnYzMme4c/pwM5ZNsXY7WqYoHhrcAz1R
FErjUV1ei1yCukLSiXqMJ6QoZ3Lmvrnnz00N4dvS/u1Z2hPbiBvTdvT64BKribixGDF7rQeINGsP
GuRx6EYQcn5Z4USNRlFlq05IB/ymhq9RRbX36hkyp9slNczo1chsENs71aiq7WAFVLo2x7DoNHn+
yqtvmQT3n8zleJCyRryTZY9/h72uf/LJJI9dVgb39L8hvDcmB/GTuEP87paYFci9JtFOkvvhSiLs
8YJTkn9lkTFmpzALmAAxBPucIKudFDO1eR2iNjALG1NAfLFjmy24Rbkj4WKeZLU4jyXyED5TW/a4
XDiLFKvrufMnkEnF/T7CgzSGdvDZ+VX8xh0m97eu31ZAqPIMFmRA9mXswdXpASPVljaY+auo+u5l
igKOV5Jc+leTpA3975DfN7bdKm+toLcIcnaN/dvqEvsp7uviFeRI+KBmR7+XA5dcEJBMFPGmOpDH
whTXkmszsNwOJcmqSjXutsN/jOMA2irXb+ySCGjOgA6aYFFL+dxzcKm0VNG8HSu14KgG1W3HI0Fz
sjU24zLy+kYv47iPr/1e6DENt45I5OeFS7V9xVGwimQgMKjxyyfr3tSGJKid+dlraiw8K0JADVjT
U1P9FIKemQ3VCMWBKxqaAwQ+bVgJpT4OJYd81M8rBqtO/fRiFXl8kb32BqaMHphYenymhwQl7ZVf
KVSiWhXEPv1abUNXtU8R95aNW7sTnguveMCIkW6XmksfysbcvDsdLkgWM2E+JmT/TxZzfqPQciz0
GG2DoSMiZQEYHaOUezrqCpF4v5gXKLVTz/lu5ju1ALMMkUIg5zsMuC+OJcvCGCJ14bdaxrupV9Nr
LjBDUc6V49Ejnkj8V+D+/0j6bvTW0eB5hObphiRhaETKiFwOF8vz6xffzOSnu3DUWJcgBbxPhMx/
NdECCAEjKUs6Zl+LobKE8A41Nl4wbfutiY52CG1kpR0nu+MEKuILxrIJmhXjhFM1qijed7nTBydj
DUjIBkBRfdtWRcIsvkmtryls53BNSqrttqUsw11XEt1dTR2TYtdpUjgM9YLGGTql5SIRpS3RRvKM
cK0qq8jwuYE+AjxjPLRIjyJD3/bIb88tEDQgawVf4i+nIB1rSu/88JYnqf3UQPBofm/1Kxm74jQS
oT8v5FUs9jmVH1Rs2EGzcjBvhW+z6EV+Mt0BMffLbZGxUi9lhk3KoNk3K5j0+ldVKvU0ZxJPNLIY
IXFSQuDqBt1+m2GMH1rl1HQyg53djiKY7vxissF4wTRwIDy+ldzI4Pr5VbJONdtOpPKIaWxJR5ks
STBr6ic1r97W4Tv/gkx4h68wXA1aXMcatpI/otDL79xw6KbtQKDpas26ttbK2tPiEDKTYcIw+OGX
iAx3yEH1mbmplMltxt9j/AYxlalN4eeUs/jzjKOitvnZ5jA279g41DPLb31BPVP7SMzmo2J/vlEy
mlHtcpl/FAOunJXdAWRk0qjQ9cdUo7nKwW7AE9EBz2toifZzGrz+wnBhvAvnUF6E7iAHmglnAmVv
Lx4v0k/CTiGXHsA/yFr5XpI0rtFdgCrg2yeJsZCGrtde02mPDh9CiNdfmnxIMAo8VZU9HAchs/ym
IU754Q1x/L1kOGCYdzbEUG2YMHxwaUynKpaAWbrHZXYBClYRsxADBeuL3SV5ULYdzyxbEOOuBfXt
km+qvrZ6gVqS6Xv8EVWzJmbozmTTSmBMltO6jL0GbzM7ecdLQFILYwjTGBmEd9VYvQGzwmPYcq/C
hFFRd9iZeMfBoFkIklt6PJvYVcQMHVy6jfFyHAUhGhjdfKAjkZj3dkEN73aorWsDnPR/NrJ3ziVt
4d6KnHzUMksJugOIKnUzuPZHo8LmBQOA+8PPmPFDCucx2wayA41pSw4JcFp0/02tKeStZtDjsGUI
7z8KR0WMWkaHKxdmbOBF8TykvJ3OgKA8TZAFCckVA5BKHzMxQKjZqs7D6LpvU9/wRBVQwzgI5S6b
PnHdQ5uLDmAhYlW2YoO3v9sMCAvrdB69J20JrcFC3L5XCUjGjTDFuI0TOjpWIJNsoNJzYU6Io9aP
MGkHfItIxRn8Bl+s6ZXtP51mZA6RD4n1GVHLp9ZOZ1LYgQ6rQCALZBwbktpTiYfKPURjzdnEtRfq
z7IJryvGT1C3aOkOE7Qo5LqbpamJbo0jnEdR5tQh5kzwuDouedPCxQUr1yupf4EmB4iCLwaaVb5p
G1qPnd5WOw9439s0yyt2kDbyVRuSt8nA4q1GYVowYzMjUZxJCPK9bf00dlR/CG/NgBLDkGshPOOi
XkW9X+zcBKokZHSu5gzz13Mdyfsh9aGJKC/eFA6eVgYNOCTn8hAFHm1OJvXdh7S2LJSbEpNu1+Zb
HYQuW+6ImTz0mPJr4t14jIqfwSLtN55E53tKunTbjonDG1bp4KKHtr1JY2xz/I25flxsk+C864P4
yTJ2cYuSyufHS/E6ozShYztwvvd+l5q30PW75w5HNeDhxZvNZlBRZ69sUw/fRJGHn25MKB+ht4sL
xKpQUMfB7ebb8TtixwuBQMidpmKLZV5Mnt3B9iavtg+yEDj1Mia18cYezPSdULu8qZemeJoWFpVV
XYb1sCHHrCnhxtTAobLvZ3kYXIdub5PN5uTyIHLoxQ3MPYCdFscYYwbPJWjLNlY2+V3Bab6gyzEd
xdFjbLGNbJU81VljPVZmgWyjISQBmVx8mCTEnyY89+sqSGlf8Rr05VVeKsiOeTiy35sE7p2OVYAN
fWTaBkmckyAbZd7Apx9zd1PZTY7WA2cGHZ7ZX7exXMNHq93qxe6LYkeVSEbVTVaLM7DzeGRYcBWQ
IsTtNwTboIPsOcS/M02AYNXokFNRaRUcEW0loAtEk6xexeDkzxOe6V8SsOIBIWyuj1Dqy/eSm3HF
XKBNaWKrIrHjGuvdTybDSOVYZR5ghhP2OYhGjodBGRj4qFQxO5txCl0WBxcaA9tw1Ty0UMCx61Dg
DtIHhvVGUdcZrTu3FRepGX/RMN324860rnjWJariZOW/GZDNepUBiSDxZOuQdr/CSqODpyL7pHCf
3FXMPvAR91OAKaXwxYmpDw9cyJt/7FOvvXQEeplCZS4ikOtxzRvnmuEwfo3j5EcQOa0q/aU0zlPC
7ol95pbsPUCxZGpDrGZqqmMh5XI3xxkUTSwGPZevbeVMZFFdTL4VOA1pR3I1SXXf8QLcJxQggejq
a0CmDNgr3Dubtho7ske6zyjEWbhYLLAoYbpT3zhOAux4m+zLxi4fmH4WGKtbcPs2p0ZkRNOG/DPG
zW8q+mm3FpyJFQorh4s5VfdOQA0k4foDHGk6TDlfRl02XUrVildRFhIpkanYpmi7N1z58MMSqR5H
fCVbRj44Pcv5XsfWTJzJGxTYVIocQe6g806ALnEuWoHYMD9IztjfkLvbxCdd1eblHWC+4LRg1HTX
VRhg/mPx/u13et/4ovsGXJtdopEQcz9ilaqs0T/pWDrvEsf0L58NdK35gIY2r/gj7gDgpE5CCHP8
jZl1WZSjNUH+GpTHGHf1c9H24iCbELrgFBhoQ/gIzjlJptUYWPUBH/74Qto6+wwHseCxEIY04KDL
7tPJuAZxAEhGuStDbML7NoWrykoq501/5UgfExTCX5bdtzcGLjbDqzhgA0tnW3AaqE027fKR02SW
+sEDHWc+3Zl+M+wGb0KCJ+UJGGKATUQFrM1JYZNd90xIl4kHzMxnofInZ8o2nJG6E6Z0lp2eb+2j
V4zEN5RBhGIzzxYPxUg0xSMjwjWBZiIHtKysOogptR6gJRH7VJ89hMHftZfIcONKijY3fucHx2AM
5uAA+b7D8YUWyx7s5Oq3HwFiSFByzt3UTXcmnRdASSLmYDrYKW6xwqU4w42aBO6qWx36wXEe3V4w
vYh8wZIY+sCd0I8jWiDqDq95UmjjYawgEbpO83KUzNSkuBnaGohQP3J66v0Yfbay5v4naTG/3/9/
ffR/p97vfxrBsHv961j3S99T8PcvTWR87V8mMvsP4WLTQvNUCoXh6gj7SynVaJ4EqYVtaxg/fzeR
OfYfLv1+ktp1x3YC5fKX/aWTSv8P/odPY7fGf6auX/Vv6KRK/3O60cbGZpMOF0oTbXTFtUznH0xk
cWjq1sNysY9weOU4XNS0YByrLMpktPdF7lE+ADBAfKwzgdUVfz6hOqOYlLik9CaPyoegc+CrjVxp
whQTdly/DEu5KUcOkhpRZhPT6nVkARp/xMnQ4xsAM7NK+8hKKNsuOTyPvrccofT6GbiWRDyGue3s
Sg7i95KZ5ipHqT2kJSYKNAE64VI10CSXTQerrNvf7Nxm3euMyi3sMwHxHtu/Ez1z6Ah99hq/TjZc
2JpdIXHGseAn265P/XPq2ERPuXegq6TWPk6d4FdaKNAyXkN1jd2F7r4yg2ColCT3Wa0a+EpSc86b
YV66/bScqCPggByAS5SLpknDyaMqWcWy/cItxTeK2Ao/ysdIBpaOlW1NQg6eoDf4DxPy5UY1dXUZ
fbf+IYq8AUIibnBbffaBuAUhmq4yNz8sJr/h5nRePPMQkyRae+5wwfZ9izm63cyMrnbX7Yyms5Yd
NgWuWpFeu7q0ivq29ueJqRdth8+9x4WVedHIAmi7Ca3E6bllq4cSXKCVll7fkOYifB0XhhFSH7Ri
xI0qKwwClrk1+Lo+Cat7R4bc9WXp7AGQrrTUc+6CvAEh3B1mbpS3cxznIGV6J9oYv8/ECvk0Izw5
68PYNYCuuLm+jI4H5L6OPCC08zLiyrLsGwZM1rGSjfWzg9i3pqWBQztPGgo38Ki3KVdQSzjqEtqL
AcsoPhHUniL5lShoboKn8hDElS7J6MTlnrha+TkywrjXFdQWCDjpj7auPnrfaGh1i96js2aPReaO
l85o9cqAO2dbjMVNmTT6Js2HiEm2iskYzDchfS03o5jLXYsL4xCIKduH+GoetAXXhxF9UTGnZMZK
zK3jtBcOdz6w69t8drlq5WBK8SsU9o1Z2gqvnp3q156sj1xDgY2PFcr+E86h+ViwV1+kfXXXc1ga
vygin05hdmUgwxzYj9nSf05FON2EHDsPgRbOMwdJZCt/qiaYdGn7mXPNbLk1LV2zpg0dhFsgMuwB
4QSAegNdAlwNUCHa0yZSRuHk1xj9s5keEIt/pvTUdBmVKl6Rc9oJkjG/iiabNaZSQvX4C0aHeGEE
AN/pMNboVNLmkAh6XLBJuVwIZHKXMi/nfunmlwnC882oAnGZbai0K0mG8ylYKvvkZvhsVm5jIwUG
MroXvYlxidvUOuEg77C56+sZ0dbWGec85u/JJvLIP1qm93JxMKRc45xYov8He2eyHLeSZdtfeVbj
h2uAAw44BjWJvmMriqQ4gZGihL6Ho/v6txB5K1N5synLSVo9s5plmi5FkREB93P23mvrLW6YYgvj
KANN54wH75oA7ZYwqFpioYg41SVaoqJ91SHBt0uAVF2zpP4SKxVJIHZeObkXKyJ0al7jp0sQtTCr
4SbKs/xNImoiQeKNtFmKf62uKVa5BFqtJhcfTO/lPhhqH+Gmbr7Ioho38RKGjZdYLNdcPlvTEpYN
wmx4gNgyoo3IYYlPEqutgEFteKRuoQYdjCV665V9dIGqatLuTTC3o/vwHj9Ufh9LTz7XBntF6qzL
H4O9mBXmsRSHYIn6epMWgM+FfLaCmjyKRQXymbALV4mOuhG5RIahu9g/izSgrMEaqmdJM8DGqMbm
OV7ixuk1eZwtIWQ23+4uWYLJYokom0tYGYNoi37dJJDKW8LMZGBpn7wmnO0l7LyU3lzCPCZZskSh
aSFRWwu5n6hgYuF70f5rsYSn61box9pvgnv+b3CslpA1Wk6+z5fgdSeK+la4rb6l0Ln44B7f7xht
8jdBRcybr0gO6CXIjd4Rb8Yl3J1ieNnm18S3MjzijksM3LomwmWWRlB5iYlXvcPafomOE7jN76ua
OHlCrlw0o2InzXVxiZx7nGp5UL5V1zT6pL1HbmywgAiqq8gLn9iA9j+KFiSB25CW6pqhwKSkRW1t
3YlJdEWdLPn3xhmGnTGxuoFBalcXlvkda2BC842Gb8n0xSfSFMVB0jG+yrm9OvZrMzUnTM/GjVX2
NDoo6gTi8GY0sMvyqN5aU47ZAcnh4Fd5s+0aq1lbI5kc8s24QslOSDs7pTZmhhWvSU7eUxcKKAKB
nbRLsmMEnYyfxQpJRI/Mwsvq1fR9nsy69Oo1N+cRO60phy9NO7MqcIggi3qQu8LPMVgajcy3+Fv9
w8hFfZsruGHMRf5qSB69GWNNluv2npRT9VFpOz0ErLs/agV9f6z49RS855+YhW3esZVzw6Bhb6YS
+7HVFtMZ3W7f2fN8wDc574tBZK9AfD9TDq0sD96j0WsPQ55xVy6MQ8ftuIM3DH89ODIklGx+DPsR
ry99UElpfnGmvqUDCb7zXeQVE6w8JbW9kpEJWKMYrR2WbELWwjR+jkHjnixRNs98PiAZqEof7Bmn
dx7q8jPv8v6gROWdOlHN7w12qpUZFfdBajUYIKZ5G/Z58IUXIOd3Kmihq1mFvSsxdVunraNbKxwT
DPATyNV2tPYVOL37zC7MSxvHICp7s9/2UViZa9Po+2qHbaY9CLdDd/WJ+P/E22KvA8PAi5umTk0O
q6GYKVRDvEXPdp29W8QgPZ3CeIQxG8ZbKnX7QzGO2GyNtnCzveEX5SP3i7i4wbxhRKxksojYDX9v
dDRhFaoN1pZkuPMxAJ2gqWYPQWfHP3KeOBOyoTsQq4Nr0lKl9dXO82SbcN1dq9Synlqvz3ZAIWci
kalH8UcQxTssfpAfytjc2r4JOQvj1cHMY7HV3lA9tsNwBw1/VVQ4mcamPTblWG70SHcdU1BKXphp
ta3TcN20w/g5xOP4k+n4s40lOkHWv7vVQkWX2FPufCN0D3rW8BW9OF4X7Akunr0EmiqzP88OOMwy
QDD2luXWkHE8tSxfTnatnsQ85GfS6ukW6yCzF2EyiACQ6rOKTkGZyWIX4WU8Y/CnJQBNZR+Ug/Gl
S/NuP0jLXTuicG9cKASfyq7tHZ/RcF+QXuBl0PkTgR0sfrYK73EMjft27rudkeTW2o0o+AtZD11w
qEK5ScRCsXY68ryi90NUGY+SAK8Lj83o1R9WgratjCq4z1m2UulUQqXhEcU6LpG3ukQ8N7LA3oY1
InCAEzVeDwr5OIqJiW0hqpI6Tin9IC82eLQ/mdEuAf0acrsajGPul87Zw3NFQHekQ2Z0rS8BS5Vt
U5nyRhsCNCFxe3Cmg/XcNag+lcB6lLr9cIyzoLz3KLUiv+jOokFmMOJXGQO7rIe0Ymttd/BCY8zb
MSQQ5c3OMwcdSza3UUwHsSu2DqzzU2zl6uAFnebRQl8FS2l1g4Ej+9qnRb53u8LcYsoWhzmFO+fX
k0OANzDhe1TWxoHmxlEzkUjnNrDUQBXjpTW7B2m2IMwq85KSTdiqrHkxgnJTw2687SdYj/0Q0bZW
yq92kS3CYdNs4pKhpWI1hS5ljqdKwtJrgiKnf8WBLwWju8Nyn4O74o1BQDrvsuGRcKf7ZDozCcCw
C/gJ2J81QRv8N8W6wvlj0+gf57QlDPTLnAa1Z04GM44O46CzlWFLfCy9752I6wPqkwlMwGIwvta+
GJ+UZfmvcJmqOxFRZoB7uf6GNT/ZOj0XfHbUItxHeqqeRlpYd6Y0sMR5aczayjfu4abQB1SrGP8q
pAXav3xnibYGIn5FQzQMLjUF4H7RFfuq95ytU6RnpWLje0hBz8Y2xvLOIKN8IEXwjANtoUFWchvU
vvUqtPbOnQUMIlmaJTz+7WsCrPLWgbGwyySlvhuaPCkmiDzvjZt6uJeCOCNtOe9lL+91p7843FBQ
+grMYr6YAOxH0wMe+QvlmvMl7jFYyFRRWG9ajY/xo48id0e/AIZTM2zkJ9ZWcARY4LpxjddFRVuk
x/IFR3omNlWMsg9J0u0vQFHxUdfcdnHDCPehLNv+rs3mxNiNPA5u2LiJH1Kb8Sdh735TOQbL5y4S
j+WcTj51A5TJBC4lnRDx3bPTaeMgiRFt2mRGqBIKqz/RPnP80bfjK7WNNd5qGe9APmU7OdY0eoTM
Tm51JRfM8U0wSIXQymYOw42c55Vmx7lFOInv5rTghCaecQqYX+9jE0mLzEYfP/JB90mfj8NRlE5/
nE1u2JhpWBhGHVfBfBhGEDyYVqj0VYC4FfZjD8HWKC8ESJO7/nrlzq7Xb7xhxplTmEt5Ug3t4hEW
O0piKBEwhygiWcJN3r5e6uE6WycS4Nz02YaOPB+4/w+G6i7+MhOky3QA3oSKTtR+osUhjpw2QYCt
0MueADyVZ1BLzBouNzMeRssIYl+nEb0MJvkyokBYYVoJlsFlaHCq5+4A9jua/Hpr69oArr50l15H
HnUdf7CLF9Whq70RjLprncZG+tvJqdDampQ3ro9TiT2+5b1XBXEDX5FJFkWPOIr9aU/5Tku94jJv
zfX8pWocd5MZ1aMBc/6AvlNeaEYrHxHhWNASo14bAKqNFbL6fPJGCKl9xJDmNEHnInbqah0prmF4
Jzsfc4VpvYha4p5Rtn3vq8F7rnkNCGAtI2O6DI/pdY4kq5ASB+7YFDBkOnRqrAFGMnm61ynUXwbS
ik7Zfb0MqXoZV7XlhpeaCbZaRtl4GWrzZbzlH7kMuoy8zTL8ZssY7C4DsVpGY2mE6lvhgDBvk/TD
XQZovYzS8zJUg2NHXLpO2vMydEfL+O0vg/h0ncmBimI+XQb1fhnZu2V4H5cxHsM3E32zDPfFMubP
y8Cf8JAmicWf9ghBK33dDKTLkkAv6wK5LA4E3VmbX3Z1f4dtZS0t0L9ivf70QOVuKJatjSexIv76
QCW+EE7OOKk9uuaX+dV+rd+N1/pxuG0fgJsXd0b233RsO380JfIdLZMmb4tyaj75V+vgL4/wgX1B
DgM02CMIBNSxtjHeVieZbnH+UoTJxbA6E9eBnmGFafRhyZnEpoNxcbbkCDcfCOuOVMuUMEVzQdzO
gc2RRNWpZ+5nGRgvbVe5T7CMeHJDAIZXnToeSTasBc1hrMv6YudNesLFMB45mPm4sR1YuZ561OOs
9qz2Q2bnHNSeY9W7aclFsE+f32DrBMd2CLJjv4AdKc0wvubx0Fx0V6QPUd4TicmgrZ577ndfIvDB
77RAJemGzsBhA4GkeXZCe/k45iJ7+ecvo7P4Kf/qZSS75DuW67JFXcyXf3B6tpS3M+vVxn7qlAPe
MD52AkFIYjfawnXjd+Xb8t50OgPR04/hZcdawivwrG8ttNcCzJMXfk69Hk555kxnQ1ntkoTyX7nf
lc+2qi5Ic+1Wm3jJuQMPZLM6CoFyo0r5aCbUJ07elB7Mjt0BCmdieRs3NLxTq8Ki3HYT/yrbFz0X
5GAu3qGGgZLJOxeFbV7OIxJQHE3J9Ziar0eWcz2+SPCQKV3OtH/vSv9/IoDVdRaP8T/e1J9/sHD9
g5X5+iW/W5m932x2woCBTcXI6lm8h/5sZUY9JWENP1XYjv3Lit4Sv3kmXiPf8QgWuoDL/7yiV78J
7M9YmS3eRSS+IbL+Cyt64QKT/au3OFlyV1rSFCYLf9smNv7XTyqdGMx+VrqF3YCtuMRBoUsWV2sS
afpSJLhNgWyIs0sXJYOW3R1LPudUxOV+xWlhdC/OgO9jVQAbeXUrZFxkqaI8ZoHlgjJWKTXwNfbT
HXQkdWdGnauObACH+NLIuvzO5Vaf2wI37kmbLmZApg7dEyqkqpJwcOTyhEG3hOARVwnoN/xW0JCz
8BMqpsxhVijX3ig7YZnYAUdkE9aPY3Ee8MJ+JRmY0KeOteciZzM4s7NsNHhM032p50EQahDqqY2M
4Q7YJFuVfjHk0u8ennpL0UcapxFjvsq0fxJWOt9SpV6wLzAofFxB93f6k8DvYW4p+miMkztF4otZ
YHnapakfZwBZSbes0tDCUD1I06PIOY3GgJVBq+etjGYCZgBluey3EOCGOzIkXnsRrtO1GEcgZ6yr
kmcsexZrJO/MVEdXbpJXP+uBfB6DZQxoKp6aSzklpgQCC79x7dqLH84ZkgmjhGAbEqQiZunVjVkH
D6VbEPM+yEvQHVX6PQXTUh0nS2flZmpTvoEDLunVxCFylxoB+ebCc54w/vSHKQimW4x3/r0YemJZ
sZ8047ZtzfKrsJkMaTfMx2CPUJCeqOCjmANWx/gM0917wFPrfkeEtOOthj0BuVeP/GoUXY2Y5xI3
22rZipdax/oFGd+BmJg5FDkrKASa/IxXn4nzFl+cKKf7KVEsFODRWMZwdMYumtZBHmKzusqc8ip5
6kX9TBYdVC6KaHsVR/tFJ0UHRjKlEpbBPaXp65aFW4TnAXU15Dbzw7lKrsEs8TPgqESKbYPZPzq9
kUyb+irWsmiw+O9QcOurmJu7pp2uh9mnOsi9Cr7DVfydrkLwdBWF9VUg1otWXF9lY2xXLU/xeUxx
ki7Ccn0VmWlP1T/dq/SMflwEtJMsknReUXbHlgmlOriK1qZdBA/5omSLq6iNQZbP4HAVu0kkIHyH
Ag28ztz0U1+FcSynRKMDqZsNfl8cjCvGVcXV1u7yL74f0z6NVwhSGNB8gTEJM0fyXM3+beahhxW6
GTw6+ly/OpsCk5/2SHFPwJcPZmsmz4UY6OMtWFh5sTNfQr/NMLgh09ejCOp1nA4eFAea3KwHq4nL
52YAC9Yz7VuyHwDm23C8Tg6VpV/CKGHb3k79PglwGB7zZimEShN5Y2oVo7erwhz4BqBMVyYVHdWH
TcnURfRA9dbcsnN9YrOQTs/SUTVcmgkCZ7iyp9FNd72mZweTVp/gFs7Zzn4ERh09DrpwP9KMCoEN
Nhq6bwd4TvNdnGbWtLb4yOidLytoh3hMRkxa0DhtdXSh0M0UqOABuTEMI3nuJnTCVW13Ej/BiLMH
HFAktIcAMvGYXwVthHce9jHANqOu38uxOhft0gprppQ700uChd3G5qYhL0lkvHj1f2XlT6auNNjR
fKzuW476vVVV6e7fe27//xpV4nbucLT+48P98T15bztQLr9GlX7/qt/Pdw5k4Oj+L7CWPx3vrv+b
o6Ctu5zWEKOUw8n6e1IJdDqVMaSRfBdrEmc/f/RfCryNnk8MhyPf5gZgyn9JgVfu39xgBZcEEyWf
Rbvtqevx/8tYUJpcwwuja3dmTox3bwRjG9yIDB2ATGPpUk3OYmXVjn1L4XmScPrXLqDOTW6k+W3L
yibEfAqjW/TEwdng2xe39olPw4vkgPKGpsJ/Pkj6ihLNVHbhIbiDosXFNa29odtPjc1hw+6ZVXYo
jWHN0yi44Wmy7MSgIR4jvwVdpHWeV3sXm943Qslc7C17HMMtPjMAV2lJczjBxCC8YKd0P+y6pt/M
84f92PugGlNKH2tyKdu8mtO1T4Xetqp1+tiLqv6Op8V4n4oxy7+aWeB+5FR2sioKMdBOQiecRfQL
Rlw42vCzN73kJVOUKa1qU+D8h4KZqr3X5+OX1jQ11i3ZCKTkWn+jTi3AkDiN3yD1jMNqQM+7ZfsB
RCMvWKxykehmzhghMEdmnWHPGzcJ6wzTWwzEpG+WZg9wYNVd3lg1aW5L+98qyGrhu1mQO1/FpH5T
iOC1Din3bJpb17HkN9VZrA66IWK+d/zCOLWtvaDG817PGBH83j4r+I8wRApMZMfSKmCsdIV+0RqN
ZiW6ruUHSDOATxQ957s6KZIPu9PpZQZceJ/FjfMZWdb41deSTKeemCsgJtbFqcInWeKCGohDZWh7
eVtk+35WeHBzye2EKFhN7sHEnvkc6bB7rjF1oAjOPn0Q9eyUjywLknrLv2B87ocuuy+qOnpIrTZp
dsHU+YeI3MLeNsfwNWHTKRcKPfj4TVxo2oFII80vGptHc3KtwTJofxsNC0YMKM4D9LDkXbY9ZkGo
m6F9trwKkIVsgObDieuNFSFn86mte3qKcUJN1crCWNBzw2q7hYWNB3btT6p9ZgdEyFgzXH5D9VOX
JPb9lMtOE+ht3wV5xRt2YrPepu7grzjLCns/kGytUWgTu9pCHgvTDTHsfu9wcFy4egAjbAf1NU1a
ufIJEdBBWrT0c/p9Pt8HSWdnj2NIQafG6XIgEG7fA+vqzmNvRs0+awnYrCzUmG+4E9Kz59E1S4M6
VaNVZ3obq8gV6HJtd6c4gBu6NsfF1yuLYYsy437zw8RCAbRiC9O7NsJqU/XaBwxdiWzn1qIB3zZ2
ya4EI7AzS1PTqgQSaCJp0YWPDoU+8ImjxH8FXlG/JGamPlw8JWdv6ImUUZ2mViwNqGQt1YvuY5Vh
84UtNHWW8+7J2DXvQrQUd0tihxodH5r8XV3Mw4SzTjunpneofJ6xjST4TCr9KrnFfoApRunKvEll
e1RQykdEOmuUAQAB5FBcc6Humj0+usBNQT/V0GcpWIs9lkIRw1i/HrmnRBRYaqKGccoFgXQjavuE
pc/aiEqgi/vKCiJYOoqPORjkSa1S0yebVvGGfS8dI35PjcoIDsKPss+p1hZRxtC+FHzC55WHXv29
cd3y1vMquR9Nsm0RpKp4BZfT+d7oPLnDCeI6+HjduLlF6+vfDNxIVMY4oLnN0r9Q7RV+5R2VcGn0
eVcWzVzuOEymb6meMqDJivbTxqSGhutPKPbS6gp/S+vY96Rxxr0X4sCYogm2YzRCbtCJRWwk76ze
vZDCnL/wsJH5U+oTA1GJoW5FyBti53p1c2rDKn2NJzvQK/Iy3qIq58ZLbY76lkY18ydxk7kFjlXp
GcxFnbEU9sKLSQXoZ2fXRD/SOhbmngE2Vc/OaMAO1YyGBjECzC5LnyAfs4Extl13xWyLm8abKE8O
SvmkAsDQG2vQlGZrPikOrCOqTJMyOtsyfgs7Kz9QLi1WCKL6PRt1RTV876xFSw2iHCWNiDzO0Nuc
mvqsIZ25ci3RtsWKS2W4TzT0QKNxce+nBrJRP0/9kcYlefSyen4FfqKrLcQxjANwUQu4Ep0TfzFp
QaXMgXKM57p1cQqzsM648/k2DBlBB2fqzBWPo8G0PglHeXc0RNlvBmiIe0KM4FXrUT9n4ajie5DQ
VOKCYpcuWaGheKNtfDwgA41gbIcq/nS1S5tX3JRqa8y1T39anw3eU2jo/ufoxSLfyDyv32TjAKbu
2raJ1gGkm7VjkONbx2MgezKLXr6l6BFZT/YTPhs5B/e66WeT63cQ9hvVeTy1HMNyX4ilORzcaXAw
AXLsRA5jy/GD4Uvqe+OZmz74djJLT2VOz0NlqX5bBUriCur0t5Y13cJBL5ftspMDOFo+hwYjsVdc
JIaIO3LzjzrDmm+79UsZUkgUhCUtbgl16GUsg3Nsw1EhGuN8jlECrzLysQzIimhZX00bZ4rfUjyV
lHp4P+QYf9DRauytmHG0C8IcIDB5RK7R4ei8dGlc06te8SRegXsBCoPsMNhHx5WpvZ6Il1XHwQno
1AA+WmJpMojuEtqd7HodAkqAY9QsvogxUp+Y2Ol+ElZnPUeVMqCbml0sD0OaqfF25u3zGZBRpK28
56rjRBlwB5Dx5cXp8FnP6A6HNEyMraBrk/dK1p+pHVcbjw9Eu8nsODmWXWZuoyTxHlOqG4mJBNmG
cTL9niN9/VRx0H3LFG114zy1H0ZNcjidXSfeDOCciVaC1rv1SLfA+iQTu01JphDKBoHkXqakNIyv
ThSz6QuGPi7RxnVdoLLH1KDVinDjNucNwya+SqJpS6G5TV10g/2rig37trb6OUZzR5/cEp/Cxe1F
aXL0Z7v9oepAoHWAlFyaILNjnkORWvNE6L0dkTF1N6P5EkErGv9mmGklNzsBY6+zdPSRV619kk1j
gLKjGPyjEh1k7Q5+yZspvC7ZTFT4YK421MzTAiOyty+wQy4NiOybjmTgQA1OkrxUym/5xmqUIAmT
2h6M3pHm67yhRlSUCuM62/5nLlFzvErZkn1v66l51cSxT1kuFaEr2vmIFJIBuSVojRkgw21orMGJ
0fXW2lZypz0Lj4Ltyg5J1ojmjZV2jXvpwzgnB2KB/9U87HbDAHSWq4tXZxyrJt9PZPl8IzM+pmuk
UQUHOHMfBhxnz7a7uNwlZTlHPELeazLUOjmwe6of+gRm4YbSmGba6pi/8hKX3hTfNVSH3oA3b/Ta
BgD/LqFBPYgqdx+DFs7yKsCogfBNlqTiWSl4n/SSuTW1YTHu+jbZEMMgbd1FgL4NLqYPMpTDWQf8
etbEkCiS5DEun8lqswMOy2iq9ijYKezviADqS4is+0NgMIsf027icREOy+0ogQMMnlZ32TsXheCR
fdoUXhSeceIPNT5wPjb0sjKPxpghAfYQCuEBPXUbGs+65zQgF8y5bNLARGL3XOi+3/IRaH7AY7Me
ByTTdmNVfvYQzaPxVdSm/yz6Ue7xJ/g/NCmnrzCChrOS0vgGmJgQKm23ULnKRBOntbguOHUnnHVO
AGlP3TGxtSE31dEswukFKDAwD4CN2YvrmFXHxs2h9TPMzCSlbCOmcNKBG06khoUDZdJ4PZyjaWTc
YloQ781BcfsnI99bNbjECEZeK9xsR5GkhHQeLdEzJ4pq2pTsKIxPc+emZ8b1qQbCQ7sNxJGMyhjt
Z/7Pvujz722jFNxoFgxiS5dV+IwgE0XYNIaxsWihABjEhqKJnFMMa554qJFUyU7Ow4AybAEPMN7L
pvWobxOZKgHOZDI5RhQ5oS9TvVvNG/ahpXqtx8FSj5J4Srv3eadVWCVHfNmrJNDv5EJW7RS6yW7o
6C1lE+htQ4EBcz8WdL3QJS14Y85EkC8RSRfav20HEMNMsSCph9JTK2rFnkzOm/mUBlPwQKy9hrqN
KFOQpJj9UFwyhxjnHrVXZzi3Qr0Vpm269trOe8AU5KRkM8WrggRtfRPNJdcjmInaIW1T5XQdEJAI
TtJq++gOfVK7pAODYDgkiFibsZfFA5uV2rgoyZ3kacpYr+3xakh7145zFB9xvMbJaxxWTX6QTTBN
uypFUn3L58l89xGLSGZPVGu9pW4ICcAbQ8vjkgRjMuR1H8DEg41ruWY2Iw42aymrj5Y2ZfPNdvsW
HQ0fHiyEBWQYxHLyQcWX9XBIlYUhbMqtZgs3zTqUJFH3Hdq/5Brojl+iglDXcYrdxNxFTcUKiE52
CvNKBw/pmj6UskM+E5QiwscwNl04uNhNbD842diW9I5wOmcX6UEvOBW1nmqB05I4zIqTIYejhBO7
/TYuKE/chlN+Q8OxoGKrjiRrVXfoVAUxr5hoTaDejBZFmXvRM4eU2y5704JrjjkMl36wodNSEIHh
9msECD35sPgMg6PT3bQpXEzLq6gOFiW+dft7vBX+t4TLHdL61FXepuXHIdtGHfh8sEJFsjWCdU13
RiAR2WeYZjtPLEu8WTXGOc7Tb34CeHpVW1V4D4KSM9EJqjfDHn16Scz5PmnDx6SvTb1p4pT8C+yf
hQxl98k+HV3qNGgKr+HkwZLiHWUEP+eYu97RwrhjbFgxLMmVLJq+T2Fj20iLFszn1OzbU133+ou2
akpsYLhy/sspP/Z2bVCn6mSPOqRnY4PzOT2HI59Ybi0BlV+BmqSL4T3sP/D26ozbO5IOp1CDHXNi
FM4OcdvQjNP2U/jchks7a4WfRuJCCK27ybUzcYOC0Ycbvho7N8Ap09hQlONjJse/BR+lMcf9GBbe
Z82jP96OtWi/tpbDxJQmVfOeU1JxNNrMWGeuF1BHk7Wkv/LZor2BDqRsM+fSvqOex36s49LZI5Xk
x0RM5vxhW/w6YKQ1Z96X3RO/ef/gQFXg60vPKmGLtscKX9N7SJf2Mypw9zLVYZfssdSKU49DGl4C
KS3cA1b2jZ55DwZ/QzaPRgXLzDdDLytzU5Dtz259ralYmm2koZ3BD/ZM8Yt/Vu484cNPF2WpUPiY
NxXD/qZtArfedDImQ0WAzuwX8yx9fnRPutt/73bzf6AqKVzbImzzjxeX9/pTf49+NM30V5vLP33Z
nzaXSvy29G8B+DKlgJZk/5k/vRRCOngIJDkJuUiT/Ml/QZbc3zxH2LifLO4jSiyS+e+rS8v8TUFq
YipanjOSQftfUSb/6GdwuTApxzU9m9wQ/3NxWPyyuPzL4ttQ8ltAN0irwDaHIRaiDAGKEXQpCvC9
S1XY33/5Tf0d98bfoK//8K3/IIkKVPY0Ndsa2wlusDBqUwaa+VClwcdQc1X4599NLD/JryYDT9Ay
jg5sS9N1HCH4Zf/6kyZBz6YJ7WTXJ5S3hHXAcmJB6I5KpBglqlczTJI9r3S9zTJN2NPr2Sviodz0
rn7ty4JC8zl8pn3kHgXiRibj2taZ5GIdvNTLjT6tmbBiEjmWjdfgn//rrb/zz0eLpgjJY/1IqOxq
TPnlheIG2XpuDwCGeH55gAxCIKDsDEQ2boVbo5vhnFYTbSCpPdI2nsRfnEDeibE2Nz0NhytT168M
P+E6UeY3wykuke3sRZl+hN6ymsnxXNQAZMaB/1bkiCqFwqAWDmrvlhF7Z8XtK6yF+WQUJhyPIGsO
NPZsph7E4wyrCRQwhSi9jB4dmRzCafhoU7lKgZawLtyMAeaJME4fmIIeKyA8Tv1JbBkf47h6G2PM
4t7kTpvOzr2bkmkCu2CVHn2l9VFEgJdbCCIbqfhhRpoenMay91TKhU9uaj4URgYD0Oc723WfXeBn
TO9J3nl7IuQ876FCngXNn1xoC9Nb0dO0BGh0fDc13rBy0KOop0/DHZ1AI+da4J8cYwguSqUzt9ik
vR/6wDnM7GFPXVuqN5s5ax0WcXmnYI+yTqxohYRU8jbiY93KIRIflZz7H5Xu6KO3zoOIhtvBBA7F
BY+UGazPcifZ/p8Kzbcw3RkJt7B2RuFVn3GcfMYs8o5ks/21wLe/c1zrwWB5D5knYl8AzFJFp9rx
v4a9K0BI1mvZ4g2ySLWuqySIMdgHmNXztr6xFEx2XT5h2C3+ZEFBYfoHRbJ/VDyUREDh6eHwlhTk
HP+QOfRDYvYVNdtbnWUFJXY0UBXrqu6idI3YgcjAo+spjsV4AbNpvEWB5LJfqZqpJa7LC8nIr6Po
uV4H2Ai0Vj9Gutu/2KmZ7WE1tmvXb83HyC7TF0oj9I03BubP62fqf8GBT1P14z//4/0zjwkntV0T
f+9+PZ1szCy8Wv/4UHt6z+Ps/9y+f+q/82W/H2q0EiOdwVv1pVoSrn851NzfhAX+iLcG88pf1SpY
9m+Ob/pIAMRhMX3Ivxxq6jeOQR5rPJmx8REp+JfsNn881DzfFliBbJjSPo4bseRlf3lWku5T2h2p
d2VWuafaDZXMqN9yB4hcw1qEpNzJYaQ56BbSyi+/qb93qP1N1agyKbWVlD9T7ID66C4m8F++OWqJ
mQzcHbdWZswHvKIgqxf3RDO2VIoRdGcRn1CDxRS215UZXzpueN+ZH8DIVGOUg/R12mHlz/N420ue
xjAq5Jm19YjeENMj3HChjZvWv7EpTNnohi75QwAdaDoEZkUIovIe2CXJ9KZiC7auXffJZl2/9kLB
X+hhUCS6M1h3TmllJiSR9oZ9DPxpapnWNP/OuwysUreSWWvfes5sPFlmzUBe5fb8AJpK0IjZGk8k
AbBhADS4G2ziax4XnxvMzuhAhjF9TWIOqtqDs2eRoKdY0tV77sny7LP43ktyDcfZQepdj41hsO+B
p5AeHK8W1EOCqt00RqyHo0EyyAaYb9TVHgdXsA9jFjMUOlMSy55FvSlQPjbaXyUeuSbBL2pznzZE
4Hlwf+3pMPVJe+nCxmDlWEf5Q26H/Q94Pya2WAbRFa75YsKzWfClmFSG1yEMsSGzGMm/FHb7ggdZ
bns4uzBvurMqnLNf4D+GGUjRWqPifVIbby6uQkwTzoiZGL8N0JxWcxmgES8+uwmqD2fHON5qFA9e
LKo+iVDm+wzL1V5gzVkKcVR5KVDDj1E2spbvo+EphPZHeHvgwdqwUm1bZNdZ83K3Vmq+w0OB7VhU
bbD2vXzcpwYwdLohLkjG4S6tmurGNtjEcH0sVpxIcOqMVh0sUNqgipQPTqnT5FjjIapQFXPiKMkQ
VLvKyHj5m3ze+bpyjqFH2LMwhL/rCZFt3E63L0BE1Mtyb7upkor3dCjPyqrtVbu8z2kWytasmpwb
e2r8px6WMjcL3W0GSAhb26R4QeJnQ1yqI2jlCIFP1FVCRJH/j70z240cSbP0q8wLMEEa91vfN7mW
kBRS3hCSQuJq3Iw0Lk/fH1XLZGX1dKFuGt3AJBKJuEiFy5102r+c8x23zX8EsSLgW7vo6EiDDEHU
bvKqsfqVYnjwexb0NmpXLxD4gHuzxO6gdMq3xSLTeOfMxLau7EEgapLkpGHc9e33kuRyPCyYq1Z+
1hX7aTliBjvyP+dYtD/8QYUAApRAzracUdlyWgGodB7tHAYAEZlj41+dJA/Z/oy6apktu9Gwswyj
2aMmXJTbZhqTpJ03cXXs8nh4r6cRYanOhLhkWPus3wOCGvczOvp1CJIH0vTsZe9qbLHVIo3ZNHFf
PKpUuIeyao6qZDweFMPXvIyQZDsOO8yY9hebCGoDdNyHKXbTmwau+3FuwaBaUc3iOG5sfQW1j2jI
TekT+9HqntDShx9ZZEdHYmJZWrv0tSXGLUDZSrqH3GyyZgOuVN0gWSWiyC7bn3ZUUP32g3U1q9l9
wxSB+Hyo0i/hWdZ2QJj3UMIl+VENofUmQezcET/QE/0Z8RGOgXpiOFntCw0ck2Qw+ZJkbvMMl8N+
8uEWHBPFMremL402GJqw0vc4mPa1UgSXMHwHGgomw2o/WEyV8Tmx21ihHyoCAiSIYoQDyE++tHME
vntKvqLI9vyDg3Bn3loJic4HMRizs+rSbNpWHvIfovCQETGmCUjGQCy3jk1kYey3Jm+lLINCcMzI
CuROG6dVCZaNB5IfpiRtpzyNiepEnZbkFVtTommncoMAD++k3/jhpatxRM72ZDFWcvLFBWCI4Bg1
gfU7mPuQNdGsj1ieop/KRr64yQw9GIu9h2yCKNJ8bTTQmzcGQaz9sGsN53hyB8h5ZecfI0ZlEaOL
fL63sKqyybShFEUxlEnyP+pr1yZKnHBDhxhfpldIb6XAu8QHU+rC+FH2dv3ZRKzk1Fwl28EXUMjM
Hhspss2pazYeHtQXbn7YS3JG3bZmih/aBLR1FN79Qk5YNQOMoLX0G1SSPZ0Bq4qhtl7HWgMqosjD
fJmY5ZJu03SvRjkoZ+vntfMTYZ75gjsnBeU0iw9QERAVnJkE825ud2YRq9uBtfEvhc71ajZjmO1J
UEB4anlzNK8JiK/2U8wwcs3/lgInb9gPxbVvP4Kk9Zi1k74rV5XTNUxrW34Bmc854plkZoU2WBmQ
xzjPpLGCRF3XPDORnq+SeSLUrMonBJVR7PYkn6GzHXfBN2BVMto1VmI5d2geq2eOHuJIELX6/boa
df2UL7TWfOG2cskAii0sVwc3/qVZ+K4pC99wZS7UV42dB1BAYmMTBntZ3jFnIlvb4etQL9RYa+HH
qojZ9DaUvn2bae1dmT+1azqr8gLDiIk8G4WzDBt49TlrjBViI9JJSe8LyT1Z+LWGtaBsaShQ0TqQ
kJYvukGR0JFeExN59iubJPdtP6W4dqo8VF/t9L1TWsC5ZjcaO0ZQVELhQtaVjnY2uNC7eyOv9nbn
jXfJAI53zof42VoQvdUi4SSzBs1HnQgG+wvMN1mwviqJk1vlL6xfsWB/iwUArBcUcPJNBRZgEUdi
8zxzRmJqmyvbcdubYE4uE1HnzOE5kPGW7R2zgjgMSOFRLxBiDZYNNa7T5FfxDSlOC/vqfJOLB99I
H8YOXiBbLvMM92Q7L6hjXTFWXODH6GytNTXZLl3AyBSwHyhK3Q1zudt8gSfLBaPsZDWvxw96Ox1J
PMHVAHA59wT6zzrZObU9LFv5MrgjZhpRsacsG3wZMxpQ7V5dnascpDOn3MB4kpuKOohC6Esu+Gfm
CJCgMdLND57IPFZrNpEbbG74hehkJZ2zyCFcpapvP9mlQ/txgrT76L8ZQPKbB6Rb0EA+gqpL/s0L
agBIwg765ggVTOnxYAAtHI64L2v+6nimWsu/dbtsSM5q6uZ+rb+FvX7sch7Wi963W5S/Q2OCrvuW
Ay+lirfqvmXCKOqddJst6uF50RHjcBqeLdgceLN1mp/iwK4XHj7V17ZdlMikQCqc7N8CZUAj4V2j
6vmam60+tIuS+Xv8aQqRodtE5zx+S57Hb/lzHnhjfSRhxwE3KD0m6HpRXq4XccESw5e3n+G3lFp/
y6rtRWHt/kVsrUb2UeW3CNscK5wrRpio7RRX1SVZ9Nrw7VFWI8RBxs11QdCBFBT1nPUt9U714KpL
+y0BJ88IOTiWNaThcOv0vHViY4puY8TT5Sb7lpLX37Ly7FtinlMQuzt3UZ7rbxF6D1rZ3GZaCH0K
vYboblhfFB2Q/E+99ouAssccqYA9Ugcs3LdkPmcg5kK6osd6EcX7iemxPAOherKc1j7LRT4/fyvp
9SKqR/amIe17CJkAcQ3NwKYJMeMmQCNFyVojap3LwnhD4pqOm8gAXYNchjJqO4gSTb+gc9A7eJ8o
rrgm6P4TpOU/i0Jnz+1U6JS2fPEIuN0QH4uqBRnTNsanaWUR26fFU2ByqhynkckzYVeYDtAboX1m
B9D95GrXN9gWs4L1ClYFcOm0IKoQ2LUR/IVu1F1kleFucL+dDrz1LTEbYY9iyBmvNRkUycZPoGCi
MgdovKnDxn3sTIHE6F/0Y9afjRd0maFpeQzE6FRxbf1pToGaq+uL1Om2kWUWCAbi9zItf7AVebFD
+UO4JQernzAoV+nvKtPz/X/dDy5DzD9OHZeX90wzcKjumACbfxpy5pESEpf24kIm5c2Y6/LCh1+c
/+tX+e5o//wyC8LfRsrKv+Gfmk58jVoMs4N4Ll4yzXRfx2sf5k9wcJIZNmauaylWIiyTXyXHk9iI
YTHqWYhiXqxxco+TUfYXj/SMhxxm+83ykQE5N8UVAsv0grqyRl3OWm/dcy52d2wdq+j/q6P/Ekv5
L+YxgMqIgOQw+sM1/6esy8fP4q2M38o/OaD+/pN/HctYv7EU8Jjle/x9LH+ZfPwdUyZshscMbKwF
X7bM6/62awh/o2JAuQzLEcSZGTCo/9uuwf2NkickBxNTlW263r83lgmXL9sfb1PPdW3LEwH2yTCw
we3942wkzUnAs7MhpgTpHjzWyQcJTRRMMFr+0JDDZxaA4ja8MATOKKe1PxZqpxPPPnBS2DvmwoAE
NPdlBgtqcO8V69edNUclgcsoUJICMQp+acKpg9g/MsslS4sF6a9WRNUOLmYGRgIQ+LuCIKhuMtOx
SHNcopnoOZPnri7VTVO1NHq9wOO5akntO/v4Ko/pMADRp9sF+ZtloBfp9TBR9Y4B8LEcPuAstzzi
gjMlpX7xhNRrt6oFrHFQpzNnnE/wtYfLv+ERQFZC6wD6UlX2VErARuuSfCIUH8UYttjaA6Ncl4g/
bjEMQ0XJHKsGYm+E0ByiIC3RQfruUwna6zU0g3mCU5x2xzrMokfkVSPqYzPPIbw2XnKd8pagzN4Y
gbx0iZ3edpwAz23ppvk2b1MAqEw/VnqYrhb63QPt4PBRmVKyJy54XqlCqVvs2QBHIORoKPuW+xyZ
g33pbNt4THLffDGqkikaux59nBo9wM1fyDR2DLNyIjJ0HXvj8osXNmoBfvc+YSRRBWwPwJJdzCJl
YMNlLt+9vnaPCrYLcsLUFPySQYhk0qahzM3MukVSR/FNKs5EKERGrFdg2OwUiH3fC+ovRDIWUKAE
JhJpYKfKVyZUEGFk7DASzLGpgQUq1tZqJJ7+Ig24++u0n4e3OGmy04DH5oYbqicUGgK9sfekht5V
AHUi0XmjRwUPHko92pDWO/iGTJ9rVXUbxDXNGZt38WAYvkQtMza3EBHifSUrMqe7wb5NwpyA6AAC
q9dL88wVjY7CUKDs5tz8vZnn+ZQ4cXRXwRK5mTJu1LYa/PcuL8edaY/qmFdEgEMefmzIqR7CtkKp
2Cd30PqhdpIf9oTEMtrFfeC8pVY/nWEHOChvWlSoVDkkk6qfpkniM/znleVTHHGZnlWoEbyXuH9p
3EI3/SHH4dCO2V0tWEIn7smrd7E/U3aURAH148LEwSBzcMuurtfUduDzgKykj3wP/BtlIacCc+WV
BzqM7FSgF3hReC8fEZlV+aay2cyB2oZGvapHW5K13i5JDI3ZHLD/uFeTj49JZ4dKnPlUCtTErlGT
V57zXGaBc3VlgImpXTSyk6yAwfpD+mXqot61QJk7hg+RekdeS/XBLiGEhmtRMncpDwqEzLgWuU+m
u8RJk3saC2+z0EdQms6wXeqxiememV09jEEAFX2YGMIywdavdZphNkid4TSZpXtF8U5DNth65m8C
N1zo3noIReMfgrkBdQ1AVz8G4SieeukPB28Yp/ewSOXj1EEmAgiUOe/c3+kXbApCzQM2ImhVJpG8
WVHhMDnDdoGyM/H924xl1XYypUAalEm72eVV1uyHuEGTvTgp9nWfl7coCu1HjXEEgq8rfuRS2ZfW
QG2+4kPx7gA1WnIjvAaoeIvkc9+bfXw7D5l1j1DRI3877S5dUsuPjFuYqxrZ4plJXXcpcmVTMM1E
wQMMOlvMYK5lKdG6Fe1ExiLDWPPsRbV1oFGNz66lswuBGjl9k+sSi9EalvVogHhQW98rjC3fX//q
5528D9rYfHDESKBnbZErfKIa9p/iQpoId+up/RhI61tjSFRr34TrsMa+ugYYecoQIvGdzxDHoW/X
KLmNKt8DgwYzly8rMRtmFznG5dXM2s4gicIlvsuG352EnXUYA0uCKIaP4fLF3SpTpvuW/6ysYS5/
KLjsqIBTJi1peKszgF0Q0oOP3A7TmyGO8p1Fagij906fY0+Kg9+55ns+EyyrtUv8Vhl1yLJc/0x3
zzUUsXeJwgb3PJyINc+i8kxWJRkSldsPW1/Kd0sV1bawjPZgO6X3E9TIzgv6n5g06z1ffdDZIKqT
RkB6ynL9y6nSz0zV/tZTxrROINKtdcXkHDbQKTWcZu/2rnMEdnwrDMffIGw17kmkQNI2x+UxNqLT
Ak5Z5DSjie/PmF6mehmLRhDu73HB2pCtYgMGmSM29BWPMNDGncRKvKuS+qUwyfYssIKC/Unfl1FW
caId9okFxQa0GWKHuR5juHHXkbvyYGknuxm1UTNgqbtrKwR8Ivf3fqwPTA/qValQSjI26LE3jRZd
k7hYTjcjZcZcOq+8lvhGmMUVcie/z87CBo+9oueYSKBwF7JzYvLHvnLkvrGzE+B7iJqROzXTZk4o
wSEIdmhhmBjWjOmLNzkVqA3ZQbzagKFCVJtTepNNnYb1ZDXYNW2jeWg6IgvnZghoDB0C3nw99mdJ
DrFEzN3GGzXNMM96w/6UXazTLUe8m2+duksoZowYF/HQp3hOasU5kApVjUQNErtBFmzmfZQV6ZMA
HwbsjgnRrGWBjhmyKCbHflqjKLupKmzbE1sBHlVT9mgrs4EZFnYDTP9oGJ+jKPkVcru/zi7ZT0N3
4yZwPnPVZCTPRM0DKKYUQYAr7e9NE29qcTpmsbhnxDm/GnFD3A/Zx6fMbkl5I40NwOfQTWs7bAfS
UXP3XcG2+R2BUrOKLdAUQQjhVUrD38G+a58qX0PEx0RcMPM5Icvq71g3x8+5i6VMYk77QupSAENz
6h05yGwegoLsnkPBAuYwlFg7V5rNBKxShFmgv5zyjjNg2PdFrq9IDueToCB7TrEanMh4GE8N65EN
JjTzWEuXSKXady8MpCsQMSINjglhtCuXseIH2BXzQK6d2tgo9HdKNojApOXugdTsgcA9kbkJ+BFt
qe8Ozbq2241Q7sY3CSYI4Lpgz5CAq4b203YG6rmKWxEJHOJK2mAexBvZDXKD9HKDhPPegBR2qqrB
Oeb15B5SOINvLs8zuOyUFK6SKMswz+7qLq04YQROauSp9x55CZc4YqGPhDu6KZlVrojEErsa9h8J
ji1QC1tcY92fhZi+LEuRRas5pkYGiJ77qy8gBUFLJUyWUusa5pWzK2PwHh3Kgr0x07CrgVMFDrd+
7KK2e5ocVHRoK7B5W+PVjFGA+WBuN1izMzYZI2b/Iba3eUR6IwydcEdo7JisbXt85Yf0BXL1/N4G
M0a0zMx2ThKXF3zm9oK5ASrueH0JaLtO/V2d5OhSYIcdytRJTj7cpfsaG9cqYsF5RtWY3wrXL664
3KJ7SMYBQZhlfgGnk4tVQtTjHd9QppWM39oLfYi8L2Phfs541HDVReWtPQrr6vbCO/Vt4X6GSRTe
eH1IbsWQpD/stmngYnrg6olcSl8NS3Y3PDaLY8MccwOB5gPvRXjwwSxsYifrr51jBa84XLptCRuO
4TMHPXWRndU39dTgLCEGPYXAECuFCaKeeHqg7YlnWDwFrdMhbH3vaLj+9BBlmZpJfu9PGKOiTQmo
7wRbeHoegJzejjJ5qdAS3plRnaOrDpqD7dcpwQn2HuBvzvQqa3Z+6llblj0MnROrurZ+xklXR/G2
pm7alkDY0Dp7oIRl7v40aWX4mAN52/Q88Kgfq5eEtdHvhFTnJ6iQ3MCtcvA9oRoFT9L3EE/SOLmP
BQsg2XuIhut5/IhI7F57KedeFAheeWJcpHzO8dH34zMkySev0/HPwIioMvHesynWr/DxjnOc71mz
1kdLFm9sxfQdJyqkQ5uSd2O6vUIFamxMk7RM2izwqPXwkaZDj0eqlicIEhO3tdZH27UssEoomYXK
0fVIvDNDEqxDE8dm3RQZXqJfoBXDX3FQ28cM6n1ACWsymCrajwlD4rkgCYnM97TId2JAaB3Jwdyy
k652eN/4+EBm3BpuwP4tyds75OHlOvGq+t3khrn2uaVRb3YDWRiZv6L1oZxoQriUuKhuJFnQ6zFO
px9RBAAC833xRq78zFthtS/LOfmgGRNHjZFhgyLWWWnk2k+GMQ8PuZ7xFcBotV4JyTJ+l0y+dk1q
1gc2T982x4Jgk3mUND1dYN21WGGhIJDkFeDBxQgS5rugnpi7hwOrOzo5na5rxfVy8Ru94LIduLNQ
MVcsXthb9Wx7Ubs3HCmVC1++96o1HsGvkIJfd+FlLAlIi+puPeqSxGFcFZSn5in3WnMrffkJ6OJA
cNljwBR67Vk6vcNuyQalKKeDCvx4Nzltg4K36o6s77vXxqz026zRY4fESzyDoguBY1TRh0HNVJBG
VTKAbt1wz+Vx2HRo/8aei/qC/E6++kHUUxu57rEyKWnxORmcgkAc0EuIFFguASftqrQM1itlySO+
SWW4F3aCSG2AsUypXwW7qM0CkMOT5zDkdYlgLSL/99AzPKCVZpA/15RIW0z94RXEd/HSAFLbTwni
KE/Y45tH7i5nR15ayOsnk2dZOd+D1dSn3J1H1FaKDYCLiYIoJF9sI/iDx5lJxUOIhfAtnqJ077VD
/VJzvvGIV/bRnxy59fKB/QbScdwsUJy2fWeZG7gM1X3ndsRg4U5sPxGCaTR03uCvlHbUjQdkcotP
z65WGC+DV2QXC79WfKXE4Z2wQSCeRy9s38EaM+Ff2ukzDw7E8qbqk01tuP3N6M/i1EZCwKqd5EsP
O+8Dxx7OX77u5HwU1TVqtXsFyoC3bF6osEj6BuBjhF3c5UDdbymus3qBKU6HNhM8ahoO0Ye4Qmyy
ShO3ONaeDPY4wNsfWU0Nu6KEI1wYneImpItBdGexLChK9eSZwBWrxaUD6WRxYiCTiNoIVX446+w4
lIjWXAV3nRCh+tRAiHnBeqMfQ6rQ+14MnCZzZj9LMaanUFsZ+sSesyga5qs7u/BGkWTGF5Bb1k2p
dLNKLBgbbla4R7PWyC8gu4lqXWWe+6YdI6nxAtvmG0j4vGF4MI8/CUP3mbUwk2bw0Dlms43Dqj8b
s7K2dsXyfYXiZN5NrDNvOMfrV2Ay9bP2G1CctUNjEHRqNQWiusWRHpB1nvunoHXZdPWaVZMh5JUN
KiVW1ilAhH6W6heg0N7GNbPkNnJGsW8Btvr4HHPvdYZKStFAhndXB8XZyF2qzjTzqxXxTc3Wb6IM
pb4Xc2mDN0DYPMHg3M8MrXbmRA/O+2DjxSpHExbsRfCb0VwauSL7iNmDJblKFvErKGpw5tuF2Zwq
4t31Ftqr92449BcjuTwLOc/DVgujWnbMrOoIBg7DXt415a2BySKNsuImdaAMumIs1+7o4H/+Hmj+
t+nx/gfqx/0QwIxgJfH/Ftvtq38Y6f79J/4y0PUdxOO4kUl3QFHnhx4T078OdO3fmPHSZFl/YVv8
UTzO1BYWBnphnyRuLHFMlv820HV+Q0PMCNi0gcSHhNb8O+Lxf1Jw84uZjHNZbkDcsk2mzX+Uugmf
DaBbDMM2i8HKjvjgdhjtxZqYN+5fmY3/gqD6z+Pj5fV4QRc5PZ/Hn8bHGC/gARTmsJ0d1Fvsmr5Y
FhPQNaAi/sM1+E9kfML+896ID90NTDh7ocPc3DX/JBfvPRT7dpIMW9SOOehwl9ijJk4AoAtR3+TY
f2/62c72BQzVTcxz8pdXUAupcsyZXjmsywmKtU7mRIYrKYGE0mCjjNufhEgiO04Dz716SyJTb2I5
nAbYf2tlLWlN2XdyEy5gKLSDXX0aUW8zk8ytRxkwf9iRuETyU+e05l1aCOJr1BIN1WW+8wmRjtHG
d2pUoIr+q2dw+xlj8trkyKHAKBfzXdiwP1h1DVjWRtM3532n7zO6kzPCLVMfGofJ0ipPQn6V3mdl
yMZgsWQmDY+slIkoSWl47p2VERv+vp6ZM65kkWEghHcQY4FzWvbktCjtl8yM9uQr7+jH3A+W7sXW
wNFcTt7jMoCuN4yvotMcG/MZARQpumNxGRMBcxvsAGrx+gV7C9GJJj2sQxZa6fqXaezx/4VI8pq6
Jb4gNIggSopkjb4FoK1Jzn1hhawXDQ/yeprTo1NK5CdQni8psviVHJ18M+HfWXm+EZAl5V87GJzU
9UA88UmtbWvsti7kQZTJ0x4kwIJSWilhPDA33cAWVWjIx2Qf+K6DzDo8Cry+GAVsXr5tERVa8VcJ
z2Ll9hl/WMR3EJ8PqoASqnF0M+VQZKY6vLjwJOr8wLwfeouAjKrlq8MSKBb5jSxx7Qsvfh8ibnWm
RcHGKY19Opj3Vd5ic+UTzW32lpGT/ABWEmOdFb/cPrpYuX9sWL6uC1D8LIqXJgl9o1D2fWTnIyw0
61fmyR1S64Z+oAMFkn2ZAgJcHrUvHFJfOgqu+Au+2H1fGHacwBiAodRovHTS/Ihbb2+4TPomLGgR
TjzbuCQFTS/llqafDth6NFHTxERGO4MJSy5St03nXlOjeilx6a4H24FtOxRnMxw/GftnGwCK3g45
gGIbE4zE0SJx1d0QbpFP5DjaIDqkITSy3gGwMCXx1Y7G9yRSP8dYeFtXUK4RepByABqPkR3j3vZN
HFJkclUGIknhw13LIwzyXnxmmldRvomX3Ax5AxG+y4iXKwYwVa6zz8D4rJDA+sTR0P3XlV5LpHKY
u4RxZOSvN61yhzUXFmrmxDCp4sg1ioJkWMkXNW/E/NgZCpm78h8Hk3da+vKiS66DY9bv6Oar7X/v
ufm/lSplO+Ce/vBY/6edKdrNt/b/3LVvvz5V8g9S9r/85F93phyJpiVM9p6cKBiu/u8R6/9mhjYO
rBAr1uK5En/fmYKWwoezHH1/c2H9/YgV9m9AqEx+krWphTFY/DtH7D8hw0PhWg5oKQ9bibBsfoU/
HrFd2YVe27t6X2dd+GPo2+mWNG6Px1SYtu9GOOfnwQybev2HD+o/Of/QwPz5sLVgbaHqxN7BG/e+
xfp/fOVeeTmGcXKiPaePdmlru/WbFCQck6ptEYbU11ZO+i6W3ZcCLfC8HZ2K1WbgA7BfR/lgenuz
qC3ScVq7eI2wtrKmsTBJOxaYdfjNmG5NVUek6kpkcodBLBAlCDB8/6yB8IJVXQXTuz00K7ub2pIe
0PZfJQyRt6kS4bM0M5ls4Ufp+wkcCqdJx6oiZQecMnOIAEFrS/QvxDGmO8ic0DqkPDtplbJG2XHg
4iSdy3cU3Ouks/UG3HW1UVH1oYvWuqh2yO6Zbfs/0es2ezsysksra4vym2lctSazIHoyNMm+W86v
6kg/MIL9mz7pwPM9kJYddjMBxpbcCCS3d0HS+zs9ypmnQQXu3yqf05Ql8UBoC+8WXRE4g+Vce5hk
Q3lNUhzKpKrnWWg7t2U9bIIR2AZlTLyJB066oW3ghddewZIR9SRE0Iy5r3hDwo0eOHRQAjNPSIpi
SaLcl1GxgyGmeTBzlrOr2nsktK+VSwKvSiomPJEaboe2by6IsbrjzEmGxUv1u67CvVXh1FozKUf9
ERPs0A2pv83BXG/UyN6jc2NcWqayyFa13aODPWJlaEF2S9v3Jxbt6d7GFbWesQKse7cUh5wF5i6q
Y4mGNQeI5hbRpkWjuZ+H1thqTPMYxq24OJbEU/+qLR0TOMpQyTc840q7Uh4tJgEP01yofFM6xBHE
qqdpDYhWZtyamTYJW0Ei4w2TfCfcIDpDP8uxo96gBeXVmrKF654ms/8ac6bcwImw3snmk78Y/rCz
Zm/h2tQ8Q08PnF9MsniJzG5NUpFESFYtOrvYdIyTtOv6lMyyItLac/iss5Zqz5y7ZN627pDOaxUm
jFeJTPc8OiqvupOFxmZtYocCsUDUzkaw5Ls6aglzHi27uBRKWnuyWQqJrj8JfkjXaBvyPhxz04B9
FtQmFgpIQqGDG7Ml13ilmknfC/CHOydOJs7ruKbPZ7fqv6ouYGIcAXa6Nr5NgnUD2OphGgLzuGgF
SqZGsUR3VoljbmEBgNEUxAe0ps5j1bZMcANECxMf5oJwsydngJfg1cWtLSv9HII+IrQq9KHceKOw
z7HhtMM2cNlTnqahsz6rpkYpb0vrmVql6fedtJwvZh9RuHNsMRENpRr8dKt5co2HgPXIzgsbtLbg
Gplzu6K1kUaAUVvZRZY89gJGGdMw49zWJl4A/rHXbpz6Dz3rhoHfT6pdMRs02dMvL87flUwurCb3
tWk4u36CdCK1KA46Ce1bzyFSjmL3knY5qSWsCC5htxQb1mJIYQa5gU5PYl3dXEtvVndNZv5C9uwR
5ttKmPVFfDCxj96Uvs/0MeYd+ZNkZy799C6JjG4/Yrk4sxMT2w6Q7PvstSS1YjG/wsuNyWmYlgAw
lY9fUgIVp0gT6TlMAirbLAtAn80lxp5VO7nWu8+m9lSIvjgTvnE7YvlAQ6Gszt5YVqm8z6aaLDyQ
fjWR1E5ULd9L44Xc2G0J2WgN/8V9ypPJJwVe9/chGjLGJilCCVYi+gRe87O2G54fIAYcZIAA90JE
vzcazq3r5Ky9wtGIt4OMGYl3ibwzTJKp1q7d22uzGqIH7IW5/aiNuQVdOuVMCWOUwJ0h+6sa8Fht
EzhAqzHtpltiSpL11FWCsFB79LmzYPrytIjfA7w6G6N0g4MdwKGDqmGuC8b79ENCPAUF5Cos8GgC
aDPXeA2AHA35FWumWrOgPfSFIPpYuieYBP5NLbzkRAv3xemUXgF81PuibWKqOO4UdcSCOa7rCN7X
tp1nSA+piq1yY5D79Yt4aPh7cd6aF588KfQItLRqmywxRGy3NSyZRD+kU5z/7FLkloVvB59mYvV7
hnQjHAm+MHsXSag+1DUb/63WOrgioJfPPteJNDerPTCuLH/1CJnu1NhE71NBrM0P1Uges91cJh2x
6LhlEEl4bbapqQ5op9nUbrH2zNi1ZhsMpPleY3rYuVLNNKGWPvvkJo5t+WJA85LrZFSktaKCt/0N
Wn7bYlcOjJ+KNghQPjRp9zigaV5WwJlz9ZUPcHCiLF4VemjupqCkW0AaRJ5Yu1G1NO6KzomuowFY
IKekTgNnZwJRgIy3sN6aGARSfJTQIbZD4LTnDJiP4bZ6RVke8xaSm1Cbvxp//Jh4vqN98ikVTDEd
0zlM1sbYQBfE2EWHCV1CiOLCNAw6ft8SQKaZREUx+a1zEnORk9E5Z278HNuYNJpu4AaIBh7PwGZW
A945CnZjTh4AuWIDydIdbt5tygBw15GsdklGXJOF0Vkr0/DTXzQQzMZ73d0UKqDLMCyxqsYxZ3oJ
ByRWUbuvfVYZXKFhSy1o06WXNG3j/BQVqInIQq+3NC74vpoyuqkCTYicqp8GNzEew6psD13o4qqf
ic/JvLbbV15g7XkCBWeyAUFv5q23Bfydb1woMQcMYw4u+PCONT9fXymc25HrzsoDPopo9ejsjdwj
4m30430bIPOy7RZ1umI0d6ZcULiDl4uaMGDfQfVSd15ah9sM6xdQrzIaXsGYFg9+N5t0X0X+pUaX
TRZHztHS4fAzqwtv04uxYmnomhVQSxAdm9g3oy8TkvbBc6cAXU0h6g3HbLQ3dOCydk6t5C42Qk7O
PNbmibE/xmuR2W+h1TZELorxlpURachGXYYpnzebvDiUKOO1zuQpJhPuRxxa7tkMtPUI7Sj6LABC
a3bFgdyjGUlzHkxWdMw60z3FfNS0d2MWbokkSFF+jColGQYv+r5i+r+XWEKfcS6HK7gMBCojM6C5
F+DMmW0wWii80K+4CKW8Q8pvPEKezQ5poqZzNmbklpmTfnHcTp7ZsJUG/eeipCtLEkJVz36vI6YS
p3diz495Nk2fPe00X1P0Lw8taNAHAixrhs0pWR2UtoQeUtrvsihXzwE++WuUlOUpQY68nyCbMZBH
ewaBpPXil9RpnI2UZnF2R2N81IN0DrpM9b0Buplq0ovubFUFN5CUGAGVgf9iQBFjLtVUL3S79KcW
YRBdfG2DzMOoyWhl2xiu9rjPHEnlnqCr4YlnrfCfpxeIEDPqwbZlk4RAdTVE6bj2GzqLVc9Kr2CU
4nEzEWIor1HoJ/uwgIIgdLmsBCcUnJ0xH7FGLZbv0nqC4qPzFWmImHWiwSPY3QDycMcRwfnWwxmY
eIDhXZEKXyods0JNV4Y7zy4xHHrOspJzMhLAw7cs/Q/2zmM5diy91q+ikWaowAb2hgnNMpGeSZP0
nCDIw0N47/H0+kCVWlWnperbE8W9EXdS3WV4SGYmtvnXWt8qxUaDBs86wxDGAN2whXMafnJoSTea
hba+DmYAADjTpnyXqaE+lFXfvPLQzhfNbThtqjHfJTXfxNF0YxMvJRoqo7XPIgV6W4y1cT00ej++
F6YxVnfE9qr0nlLGwPZaFAj6MjsueGsMMjHM+7we/bU0ergydtcyurGcXtupsogvmRyCh7EU0deM
nL1DkwL5Ng8y2HVoNHflZIjXrnDlQzcOBupYbbgv3Ry48yaOcKIHmRZ+joMVH+nCMd8rabQQFaoo
4u0orfGic0D9WZu4j4KhQEXJorG6TLVgrZgJDXFgawSrmmorBnoj1b6rujE7ogWZ/p74tnxUlm7V
D/TDWi1g+UqaG0qojHyzAAM2QQaLDPNTLNaOCnDiu1kAEBHj2BQdSsGH0OtwD8Wc2xvKCrPJolwt
4emVU+wIr2A/PBUidgHwm1UJCM4OsYpq+FkqraSIjb8YE4yvMmAm1Zmv6TyEu1y45VPpGt07SLKM
KsqyutRK3kUaIEEcv17ZOM6pnQJMSXwOYTtY+ntsh8NbkLvxwYpU9BTPvfYiykI5Gxru5KsVTeOR
kRF4D9cplnJR6y7A1Rys6O7z9zJON9UEUoITdXhFkGTYV9QD7DtewvfeDnpS2Jp1K8Oy3uJ42Qmw
PTeRHU/H1jLEYqiPL7nU5BkmefdtO9HFuioRWEegFOXKToGwFfVcs+LY/jkInbcuCD9BV453eCCW
0VNVZ6zWRgPz3erdr84p7XXYZdRFMebzejART7Xjds+A+oNNquXtc5wG9MGNlnmGFFEco1Rmd9g+
vgIZ6mujbN1LxXH2lgRLxekqKn9KknbsoIOxzxmUP8yItYxXdX0j5nZ4SgQtzY2WhNeNr+LbYq7N
zVRXTb7JRNlejb4ckImC8mAFWXjXMwDwzDIiLk44uLztuJN+VJMhGXvl7XaaYfY1TlHf9AilB/wC
z50+RsWCU5k4HmRmtxkLKJTo/caWIfNM1jHFgDp2+jpJTc5AbWy89GFhYKFjigFC332J0LvefMwN
OyB7zYFttb8Q8JneIs5i13kbzJu58dtzRwL5vuWUh08s1eV2hiF7hP9dnpm6yce+Yb23y6J7i6I6
3/hzG71PJIfVClYwQl2OIo2uHeM0nni6InYVL0QxX80ue4ozqH6NPQxLA8a/uQzjc272/lMK7+Oo
CPI8aQWfqya0Mm6CFMQ65ZR4WWiKW9QdCrzsfvC0nlzvOJXGOdSy/EsOI0EeuIAGaNa4vdYz9rzV
lPvmpxMk3LC6OqtPetCQN5sBke41PmjokSnFZqu2TQBLV0kbeIUmy+d2LCuqed1R3CeKBji7Npr3
WAuZrdCgjV9pdKv8hVSt/z60OgBLN2B9OTXQjG9nVr+n+RtxGX/jLuGVy3obJ/Brg3bgfqW6yPzo
rZwyZSOb0Uzt4h1eQImSrdvPhcWQRmVtcRVwUoP/yNrBDxQTkMuBuUaUyV1cjdVbWDWkT9U3N7Vo
+vOc9O17l3X9SSw0z8Zw/E1TROl+6kxYnwv1E6uBWBXL2L+29WiL8067UPyqiL7p/kowkGWJLyiI
LPJPaDzWeA3qL1R7zcKmrKBnTatuCMQTQWqooyWFTF+9Lp0tWMppM8XER1c+thBoxHgxnxPukF4A
Z27f2BHgVX75gDPBN9nUCBuZoa/2aAt6H74abiQe7DjnAxSJmZ9Ba4rLVDjNyCAoyJ9kVn0139zU
yp7y9xk23lfBGfQQKo1lCDnZo1Kj8FSv4SyHv5oEDLZEkaCwTNB3FeQbtub10LbmelgArhzGnvC2
Fcepbu51f6DanUrZUxADfGWEjJfATRUaR3GVdKXPKd25tFEjb4h7Z1d6IEmEmt8k2dFPDqrNYaxg
Mz1E48THQWPod5yzuis8sqrLNpXhLyYX7NopKoTb8KShyYzd5JyjYAo9hh71Tri+/hHy8fkoSVLN
GMOLjK9Pq5MV6urcc4PaWqnZXuLJvp3mUOzYmzHD+BoGq1aYOLM1NexSzYWayFDqRhn6zTITetUt
H056Vg7C9BKNyjpOdljEddarc0j+lWlXo+hacvHJkz/i4kliYJbM3+bWM8cwfdIpO7ZoiqutO44G
qVwn1KXfUBqPrD7QOdvK0FrHeCc8c5HaHX/iuUx9F4IdUcot/dZoXhECzEnWzBLXsjOAOgUUazR1
2bzGk6mfIcbib7bC79KOXt2ZUVedQT6B4gb/dBsK3TzrpQYPndiJfeqWSl7wNfHRAFd/giJeniIZ
OcRecK3ng8Ukz8h5TjFetTcM1xpUJ5M+ZgrqoA5WvTYNSJxlvAnk9MPF1uCBO6YyPTD0Tw0T1qHH
TXdvsTKhZHVEI6tyxvwzO8k2iLtgWyt9vsHvF+1C9I9qJeLMOY9JW97N2kj5alfp/CvNzPdWMcw4
uVL7WKoyfrRUxSo4Fg0VhyYtLiXDK7HioSa6rXTjyQonidNL7zlzEWsxGzaztgCXbBP3NRPIXbWh
PTotjfDxRPqExmMYCXoZjpt4TMc72zfwuk/UxrWpVR61Qgf3oOXVGy07nacFReQ1WUzTDeXoXNdx
nWTVTU9GeVsnQJhpbWEj5W/VoZXANNFJh62Zsp16eRiX03qCb7eRZsgzXvSMGyxn8nddUtWIWKnR
X4vUbZ7gDosnUGcBFu0pDldMroi79lYcbewUeitx96h8oKEv07eRakasxZjj8i0dfXpxounLYCRb
FtjYM4YfoJKTQHvOY9kcHR0gMSYuhgMIinF/wbdcRzjqrOg+tGdqGlJXY9iLj1fRrFZF3VdsZ/Nu
7gbrLTFm6+KMbiG2NvHOahPHhDi2yixYt+KK4hn6ii0DYjP5qkvjSI7IA44uCDeOWz530ow/ek2f
ZsDriE+HceH/HWdG/Q8UxuQvlekPOy3Oq5sRaQ0pV1XNHUBFDNkG7qPbcmAQZ/YSd2HSvioRAZRx
ALNRRuq+aYUZbgFckAI1bZNaHSN7ipslcp+Te9l2VmiQgaLBXZvaA6/CjG2uHK+tqAFuqrDl3bdt
P3q6P80PjC/V0akM+9acQLd78UBJWwAelQ5B8D2fTA0sBWbLwC+n10gH2jhqkuqFod4zQ67mdR0U
4ws6OhsEI9Tp3GbS3nThXVTaXecFueU+JHhHrwJqIGRi1cipELTPvsFOsCe5UuIQJwP7Qba1KdYh
wjIBFCow+hVTZ0XrPEbYFdiH1PUie0LfBk5mAIMrKLeFBFHEW7YR4zaVbntnTsb8zOB8uNNwxcKc
ELjUYczs2qY0H02iOjdEiOUmcrRB3xYRnacNjNmbpksn7uWDY721ZRLiu7XSEy13/W2tGUnFCFKE
8lQ5I6qLECl/DSEDXk8Rpyz0Sa1/mfDxMP7ncL0N1RgDu43GG2JkpKhsmbgEpngh7grq2zUwCkbw
6YsQrkEkhbgP/AUqENHmfR9H+NxGzecCTfWfYjttFAguMBPrMTPVdV2I5gLkRL8Yg5nfTJrK8V1A
8nqdwbFfW3OMRNpXjnXWGw1sJ217cb6P2ko8WqFrnDBWwofJMEGGq6Zj/kmSg+h9PGn+jyjJ5vfS
5eHZ4Obl7tnr1UJcnsMcUoXJNW6u+/SZT1vfr/M0Yidg6jneNLrp/xi0dlngeIgUYdZn2zaNgyna
+Uwtu33EPafvgiprTqztbECNq382sqtDzy3Y+bBmaI8W5UZ3wKKo4cWMeyWHlpJVM+y+mk7i8+Nj
W60Gx63oB2hH9OrYz7w67TzuEGm8bq023+dyto+Kddvr7SK9l+ArjpqBaE2NbPeZx5VZrmeQr7sy
1fN9LCkT9cCjVO+ipOFgA2yxuHBFYvpNAvEx6U3nDv5AShrfptbSqPlLzTrUBH31ArqffA0xE+SO
yG60Y5tgiOl4De+hcLQ/2IEyZ4XHxH3QZmHS0pnVRrQpmvCWVFJzIRmvUA9YW/KV7CRII71tbzPT
Tk+l4IuED7QHsot9a4050wR9yrq3mbHasiH3xtnpYNj5NrcSalWG9EJAPYnXoRsbJVbZYr4DQco7
wuGGJoPIukPcyg+pLsJLY2ChMZJRrfu+4qohi3pT1yJczeHg32T9ZB35suCGp1v7GGFZr/nbl9Dv
sXBEBehUd3auO3ueb6cx+6wENcNJh+swLGDdx+50tkh93EeDOezogyQ3Gbr3E2TpDZ6hxRbL6PLQ
NjpMC3MY4R1g738wB34v17J5eKaFY53yXJNeaoZtz/UVhaZjwqHh8T+0HNvf7LCwbn1dF3gnzbG+
SA703ARSRQzUoexmRSteeYx6ZWYrgF4NJNexpmvO+VHUCY2eZduom5Ba3PNgFfJuZJzxlsPnBJQI
pbzluot8E3Z8mgY92LOqEguMcgduDTMFTObGV5n71KyQ0QBdIIpGi9aM3bEgJ2qYsrXiiHDqMNk8
m1AQOXS6HFlw1KwTYQwgcVFbSIOK8gk9tT1kvL5kjMBJjmHteLqtmxsHVkix0028LXkYjIhWbZu9
WaZPMtafu01qTc4XlJNm6f4jA8d2/6oDM6ix/aaOtoYADALBVxxk7Rjdypw7bjCGCIdTQ7nEzsgq
IAaoOYx7S/VeKplL8kytdvBpul9JZiQRgJ5kPrejYpFz7aoEm9aE9ypH8wHzNTxE9ig/sV2MHxHH
1gdaIfAEWYRlWf/9Jcbuxk6xmqk0easS9MuFTgYymDWPG17GHQ8DOotx3zk2OkzSmmw0SRueB03X
P1JTOdlmKH2SdvXExjXlrnXwYX6f+KW0mY96Pa5D7D6HSRFtgekD+wlPSCm9MjDyEhh4Oj1XTmKg
24TuFrsYe35OOeMGXnvhrwvf0DBs2dF8prSO1bsdjOSIWa85BmNDl6BKJvsH7QcRszwdxY8wSsFu
ZUSlT67NndR1mUUhBWutiRE4DtnFVuT9ljIkqzOrK3cc+TZJIgOgDEVBrx2dRo9pX6OjGBR943ka
i1Xra9qBIXtGXKxuln8w8NAR2YiMRzRbM4VaYoAGy3KlPnGg59clCuodmxdnl5TtcuWTvW0OrZ6J
xIPjNb4wbzY2dRJrD8Fyu8ocaHJd4I7tWqIPbobvBrYo1c+O2xufiSTK0zLu22p+Qv+GxEDrbxUu
gjUGoOw0ZzoNz3k1XkMIAdouliF5hu8JmcbYUAIqeLJ6PGXxcCc1JqPgpbhdNy8dh/Dj5OeAWCjl
2rR0H3kD5q2folTxueM4cW0sq3Mww0u1bT2/0vrSwIHP/wMoTSBZdI3+ooPWuG4Awp0JURubotVJ
J+Akh64Bsugl7Mr5ru77/KpIsN43odA20vCzQyps/Uda9uDfS6e+yroC2+9cxfW6jIbIo/Ro/gG/
OtzDGbEP1NFAYO+oHhmKLlD/n6nwf8ZU4CnFrfo/22737/X0K03hP77md+Ot/RsUDVCOFGAtbqGl
O+534638TVomTA/Bt6B6GlTlf5IUcAU5LnRNNgyWFGnaeGp+N94a9m9gGfSlT1ZgDeLf/BN1ssQ6
sP38EaQgIEuawlV8Fx2B/VdbEMt5aCQJFd5xT++6rUO632ZznhF8ieOXAFTfKxktDBTfLSPugide
LNsbPalg9PSGe4jLur2HvMwhq7dj96mgt/zFGHL7Gn1APkYwWM8DhInDlHGnoEHBvO6WdhMqKoO9
RdRVR78jYbKuRCtpQJ6ZZzVV115j0DUeJLZ35l3L6IsGN5qJHCt9MNDQPGcZkcEgEbdsRonXLQO0
dhml8bAE+FgYr2XLoK3WHP+JS2N8juNsGy3jOEdzOQBmlbuJlmFdvIztLDAyLJjsFGZsUsSWOmTw
uNVwJ7GK4NqNTAhdDXNJOSapZ9JXt0Ff5pjQApmCN9Ved8KBToYa7pD0WlEjoF/JZZKI+Vc7jst0
kUWnv2b4L7f9MnfsW709A5JhgL9MJStDNocgJT1gL+PKFPn2QOpGBy1MECTp1LVPaO3aYuVgQN+5
r6IGfDlreX8MbEMic1TJTbpMRNXiAWnrcgJwyLwUfQzjA8m0bZEWnDfDmowysY4N4T51rIGzPPpJ
+ZWTyFde3tZ0KoywZl510HtPZLeGFxIvzYPrd/5PMXNEpW1mxgOEfTjL1xOiVHSw9A7PRGSG+msG
H4QjAjfvcuXM9vgWT9UgtzSNRLe50/tXjGXHk6txja/LwaFVaJ6dyCsYdHgTSU655jOiOWuNaHyx
otMqv3L6LvsS06j2Pl4sklvIU/u6KfIrM5Nw8EZV3acT74usMh0fs/01jXF+x35WHEFWmOdkmYBn
yyx8XKbiKBbdM9fw6Kkgcus1lXYhVF+eYqbnX9rIfokpjKKUuKu6YhWDH7sDQvUZMo1Xy1ge9Zzb
xWj7dJ2byuuGXIHFiAshMHQsc33bLplkLcN+DpXCi+ZmOsKLsG+y0kUjSx7HkK6Z1bAIBv0iHdSL
iDBxFdgHZNCv6kViYFC+AULtw8duXDpRFykCnHNxMyzyxGRZRFuZW76GZm05m2QRMuxF0gjKNDnk
yTC8ZYvgMRDRXIUM3LxikUMGs2q8yB28xFJ30SgqrumIJ26X9u8xKdknNZohB19ElnKRW+ZuybRT
PrYMVVGTzjIzI0Z55iLTNKQNOMHK4AReAwizXZc39EI1txENNM+ks3DiQrDq9kYFQYM4PlWoHGuo
HMK8Qg+wFJdAy4j8JKwON4apxn07hgU/r54hcPSGGJ4smmuOXVFMnj1rxdm32wppMjZuotlpzmXe
iU0Lm/vY9HYtGHrFCv8ulolzQucLUKYU/xDnAvHTsab2J2aO6mwIe6y9IaugvCmjTzc9ONbKy5uG
IxkTteExqsO82gnL0dN1rvDveZQquJhtYoseJzNWp8p0q9Dr8l6duSF2myI19W3nV6yDhY267JWS
uPni76VlEBt7tJ3xiV+T06vmVc1S/GoDQ6VKa7QgQiYKWuqKkD0nOlhKqiU5ipfyWKNzXWGwWmTZ
xbSA5ae7G7U+/6RF1xrXPgHXN0lqSK3AuIavY+Eg/LMg0ntLTNVGR8XvY79OuSSgyJTOeQS6DIKi
EsNLRTFLfgTvRz570IrpwFBB5ZirHBN2hxtpH4xGMOG3qrRfYHlkwOxTp77Vy845m8W0LNqDj26K
AQxGl9ZCGukMpJAdcFWSnAxdtFcrHPGpJQUSILbNZhzPlmVn+h6kd1mvTQ5H19x/q3Azjq050nQj
GDo12hDXC2YVS9VgqOI+spYS68GZGVlPfg2jo17O311nWeGJe5LR3pehrp3ses62XVa29cbuwmBi
1pVN93qQYOOURtK9RgAr1DqLBuYOQzfAq0uaCetop1mYjiCG43JLiVQHpqmocE6JXkxxah0EMdgF
BhyNXzX1Hs9dXTQ7JvdTujYkRjXO1lV6iRJAnd3gNufUlV/VpNXvKnIvchx1LhIqgCU3poW1pX6P
243qxrfJ6duU62FvvclOp0Q7yJLpoFsB3UcRw+hdIHr74ifO7NwGywyciHUGAT2x62GLysQvgFba
7pLUbaFoQr8f1uh78aOGL2qhSARPkEJQ2ztIfh4Td+4Qg1UPP4XDrmK6A4dqC81gQ0RFnbWkb+wV
qeaGMjsaoA6EKnnuUYmdl1KlFgQSKpSGzEYXyAjMkQIIZUEuFhTpDolbPAItDs9JhiuRETxXj01u
5fGLsnt+Znh28BNkI3NvniG0In25zbFI0+oZOGUmD4tQWq59O6Mf0vwufkL5Nq+SnDcOkJAA6aQ3
/ICoxelnhW0WkANtU9ewZHli2qVHinFHd2INFe+6aKdnotLOIc2X2infnuMl6YobbQBKxMyyGLtX
0gDzHdgOZvhh4g47WyntFaTZeDImR39EomTTWwqv/Ch3n0hua496SR0W1/aA2wDGZg/bb3Y2U/qo
6KfklWXRbW/i72ItNw7bp76X1G3NkVm8AccsD1jHMawwyzHvqVNxehSLRPvIq6WsywEyo69GF78q
XlqHo4LbUe0Vfbd8aZhcaPxql+xvHBWUmMZGpmPQq7v7guqgn3bIIPtZDD4FQfU02JfYjMNgaw9T
s677eO5WbVIkt264tI21381jMqCEzG+5LToxUYThu56M6A9GWu4YIp7TD96rMcYm45RPDIbYBXoy
7BJs34XbFnhheKAZxWeV4AFJyry40+yEaYZRafpTGTPUXkNPtUnpzxbFMmT6gz2ON3rVIInTsZbQ
7kMbGc6DG71KIj6etrGAB5PQf6GWiVo7MC2MilNeVWp9yiekfOsO77DrpWXE+w6+tbkVS9XbPC4R
IyB6zaVDHbkMjo+6jM3G2Fr10hM3BFTGReFkXcUk7ioKE0rWCJAf9l6L6QwVVOxhiadGcBPPesuJ
dmmea+I6vsH8SB9d4OTG+yzs4kmrlq46YTX6tVWPvCK4oHA96yOvUCnLaC/GwHlPgI7+MMBYMAtz
4/bJFeOA0TZEDLOlHfzg9pnurbRznyI9KnbhjJ240VrjGrtkfE6npWAP4vIMYydWe3baElfSdw9f
FuuTvSvixiUFPTqnUbbA2Wdj6e6L8CC9DWnCHZcorfmVlm72E7iJeVS+FnzMrTFN0Jtn98oYzesQ
UsIBDzTb/PdN6H8tiPn/aqBEKBanv7o0Ht+zrPuXf33Pyn/7l9N7QylK/cdYye9f//sFkgYfqLaS
E4GAOsl04m8XSPM3boIK67lu8T9LBvNvF0j1m4BTKWi/sJfo4ZJw/P0CaVIjZOM1QdKR0BWZ2Pwz
N0gIIX+6QeKdknxQdTJqfw6UwMMMRNfhGc2A+q7wXA6CUxu+EZye/XWJUlJsXN9Hoxcagc5VR3Jx
w25fnaax9w9FEFTbKbRJL+Zj6OnTaCMCd+OeyWlGDQ11outSC2hr7RjIe36D0jj4ZrOqinY6ZAsz
KOUxeh7dtNnZLRtYU+nhnpWouhHYIJ+Ra1gr7SLcZWKgJRk8zIlxkHsA6WByHcoz6AthfcyiXi4d
idG749YW5leuM3Qjlm5PVRqHe4ee7V1C/nnbT326KsqBMy0e0fi+qPLWXJF6ca5mzE0Mr4ux/Qns
HjmfQa7x0OZaccHjH00nusyi00RJ5lVpQE72ncKHIyA/ZTzPCIsWUzBuJ1CSme4Oa98o5a4ILf9H
Ct+czVIapyru6RhqchA8SR9v4DSbe+En6kil8vTQUQ+rnxp8puaa1CJkKi5k+rI+Zeqc1xTkYFvs
SLEN/klhN//Aj90zDi01IoCawIrJOJWmlPonaMTk2WaK/UxLQrfXZWm8ULYz2mtdhZwWM5PtPmVX
WqOQ1z86s6P/rgPWuENiT3TE9UYdBg2dlUx5pD1oGgio8yxtn6/raFqcxDzvU+75AWu6Vp8QsMt3
rSRiuYK67661DJxKpNMp4c8xf0pUhkBIO7NuNxzPQcPMprFhLxHezBDZC5f/kvA08YQg6owLomb2
VQ28Cx62//IpibixY3IBCfvYmAMMU7z7HMFnq7HFOoVRiNcqcYKbDPbrwc2q8FahA64FzbVYPMpi
wMir1Tiuqy6cbv3AJ5taczWT/JHGbc2P+N7FI7cQRYLGo1VdIZlpcI9ybSi2FKdy/M35LodQahO0
c+F/TaXFz0TJhOLqIUJXWws+KuGGtjXjYluN/+7qXYLW6eMQVKMwNnMWqdijyxwmtVmJ/IoUFAQe
u6jvClzOdLK5OAe3HTHmtcG14hLRRvfF+AL4iI+zeMI8UIKSFHgowDe03aqkSg5HvpN23T7G2vjp
K216n8MZ/yXfVmEREuaX7nLmXoWBKiqEtIw+EWzquOfNiMTVquzTtj9nfe6YXprgCAfVZBR4t3ol
967KGMMaGrIEBLkZWo2EFgeNLl7461XYQS/nNqHuzcjG0QunDwJ3SxUSJktQEOAnsXj9ZN5aHNDm
AGy22cyYvKJ3bzkH+uooJlq1V8jw7iUdxx+G3ssD/c7qBxiOdK/raXuBtFlejUtz9SwqecuL4sq1
cMrxiRrs4J3uFRiBaLqHciKBVBsdgktqte6NnbjGPZQvCPDmHGLXzoae92nkOgnGbh4w4Ux1BOvH
cqmoHmo8zSR0gnvXKBmx9KX7k/gy8+yx1dj17Sj8iLBLfgR+3NPj7k9LX+cAH2UR3iaV3cYYrdsV
FSPU7klIz29ajWS5am0zg9Q368UVqojOnbUI3vhDsn0c6vptEwtOs9KllTkpNwCgLMhWRL4c/O4M
t5z0qp1M9ebIwKaIq0MutRvQRuuW6fymRAIju1SCJxGJ4DLXG0oduPwV5JGg03iOvbxrrW34V8B6
xz0Cu0OAIdPLzVg6/hXRkZTKD03HfFzVdlMul239HQXDfbSWigMO6+6lmNM7TM/DOkDTWvXSybdK
c8CzjqorHyzVu6esTMd1IGX0A0Sl5GI0Txu97/SdKTn/9bEZbVQTOWvw0MneiCCxp4pEvQJk6fGo
15tiWdNzOBZe1RKnsoJRvlIRgE8wCmW9UwNHo2RKo2uNde+c6ZbA0aLVXqj83sOe3lyoKpW3OHVA
L9WFQ803Ro+dNYTy1upk8iAaEvDCzt2QyV7Sbzr4uAgLY7wn7B7tuxxHUg78+1i6OMkkWmVBaTOh
DK8csvgcKNovN8Ic5g/s7c0+po73gmEXjsnY3lFI7KYeqyVzOq50xiv7tosLNGnSlVKTdTfrHK37
BkrXunL17Ag5ZMpvKCUZn+KxCL/iOAkuHO/8B6NkPMnTMbgfwdDEGMxqeS04Z78PcOqfCbfRVaHP
0JGiKdtLaHn2ygWSs80tCuNIZA72XTaa9lVaz/TQmPNw1deaZOoY2gbEe+GTCiPXMuvBwEUmwl4X
zuahJXnD+FS0lIdqcXpRdpNtImpZxQrfI7Aaxczo2rD7+V1juIA3gxEl6bWkwJWHvnYVRiTPAeJw
u+f4fjU7Wf8KkyDe6pLuSy4Oate7GUa3ZTxWrqibTaBDyPxYwVS/xlgPKGkGSfDTpGCPEy3LL/d6
JCvAtsTIO6f54c8OHqI5N7YEU7Tj7Mzdz8xhScaS0N+Dkwyw30pSlyZke3r9guTdiFz8D7lrBDdB
wkhqPZFP31ZKmWvS6+ahQ/dmN8AocrIHIU59pg+eq+ndrjRjQEGyYKXT+JpDJILkqqj88TZ2QmtH
bCI+NpZT8WpCe/IHzJAZ2wlGlcnfI9M1l0HV85bZtf3QxG5/G/aDSQHQxH5NAfvJIf8V6iI/NL0m
OQwQW1zZsWVfueyrH/+7x/j/C3kq38iSvzqhX70nTfj+Ofz8Wf7pZI56yin7b0wVQVCWjAeppwVv
/V/SjvEbsg6nckrtHNP9Fn3+E5ItfrP1hYRt2mwupBH4434/mTu/Gda3HsOJnYG9pbv/zMn8l/4w
a4mN2wLVUSygE10sN5I/5q4VcYmwNnMJ5DE7ulmzYytPr4KsfgNQyiZj64yA6eiMa4p36IAGCqY/
hUjLV0XTQ+mPX7uy5m47TzuSat2+rdrbmM2Xkg6xjOs1Yo9lIwGrpi8tmJCVDlNsUNRe99MR7C2n
no58Od6YtTHEN394N/6bXPmfiTHfvxy5YKF0UPU2d5lffrkYRmtL2lSCe4s9AfU78b/yurzVLfsf
JNh//U5yEejIUrlY07iA/UrED7Ra2H2WSa8RnEVJkAF2uCJ56Iky8P76lzJ/VeMsuayyyISWuaiF
C1v9j28Z++uQ4S7RvNzqf9h+BT00y5/bCS9o7YqD3xM7Sa0+8fTKKj2775o1tMJ+ZQdVyPhtoCKs
o+Issl/5rx4A7Z5hqs2eUvVLoA0nCILvgJqkKoFIWcVHjQESiiWXM9RxylQC1joVDVvf1DkBdM3B
pGF53fbJuJF0R3j0pLxb/fxaVdGbWdmclBJd/YOXWyzv3B8VSX55x4WZg/yJcRGV88+vAS3UYT+Z
musVjrMLY5iKGWnIMmy3JXcmt3gpM4tNpF8bYUpagSmi7LPPlO35r9+Mv6tCsKQt4CSYiLcSnP3S
3/unNyMcsVYFikNqy+IqqooDkma/0C7GFirSH2mXnGTMCSNNT3SrPRRqglke2ztOsukqc407s4Ny
NkYe8tSOE9j7HAdv2SQAyKvLP/hhf6UM2VTDsAgR8ViUZhaXP/+wsK0dLUE62ej6TGYd3QtYzIPs
9ftKs87c1B6arjiQr9nPo7WLKv0J/Y10ljRXIdfveo69XlCeg78a0GwI3tB6GMparv765/y7d5ef
k/oMgxA7j5Iyv/XoP5QaqoAqkyiyNY/uivvSAVrJuQRS2jDiCe6YVzeCpq4B0dNinJ3U8xs19vcU
EW06JrZ//cP8isT45Wdxltf0Dz+LbpUixe/te37OHLnUV4krCNSbyJvGrvmH3+57TfrjJ3v5fsj9
1J3yTtmG/ssHCtY1U/zUdj2zpa6mC8pi5bRUBGQIdZO8h1NgbB2o5FhDwTBWSwAcizQchPDNnkwT
ndpvNsGQpZxI8he/w23UuNssbh5myJUn+m3TdccscOur6M5FdQPm5K40c77ivCj3scXNFfIEKOze
gClcUMQWdCf6Lzkm5irbSFldpZUWbEF64tbG8r1vHSIPheK6TOQtXhk1nNfWnG//+o348xLL+Gh5
YXDJWexVwpbse396IzDFA0NteSMYdIDkCrbQ0sfYIfR4/utvZPz9Y8KsjJEYZ0i+kal+2TYUDA4j
93mmzdhGNkp+5krQSOaUpBldk9RaEz7H40Cr8Hxou+ny7+ydyY7cSJqtX6XQewqkcQZu98LpA909
POZJ2hARihDnyTjz6fujUpmliNQNVV305gK9KVROok80mp3/nO/gx/0cOPmy+Q6+yIBxntm8gLNf
FWrqywyJp5Wnscx2H79O4+8/zbev8524BkgIbbyqUyJH1tmkDdsmtRmfJvljwAMaEFTP2KHqaUVU
oEBnY3GSpJQ9p8LXOTOUx4ivnDNpUZiq1brPZrQ/yUbmJDCGFPa+QwdmbRkHYALpPVMwSBZ1e96X
UIuNqgOb2jIzVlCh+KlxYUvtEVrmicEtucKVMkz4qOFpbkrRdpx7yoexTZ6CqBLcR8P0ZTK7e5j4
FrUGUf8tRybg4BzKbdDV4RE/xbxNCVt8/Jn9/UfEbsc02PXwmEb7fHc3p63LdkMv3HVoBuctbBSz
7b1Yt3dBJbYfX0r71bXYc9i6KcDfmdq75/SYYJts9JI+B/KBh66bH+a40o8Vtab31J4ZZLiZURfT
qQm/hXY8eKXeVCsBtm01tLSCzBOxS4bI8hIX3m9e3Fs9drmZbEaT3LWIvtxN77d9WdJruemkNAXm
2WFi+GMqx7m++80n8H6nwlUcFWYpDBbN1sRiUPp57ZQiDbveykKkGsgd4yIOQGJb49fczXEEJavp
rqGFVU9Zbd4lw3RlUgSAVGZ4tlF0m3oG317LuMDrMl4iAkVnROnTlSRo+psNxa9eqeUYPBT5WaDj
vltcWk7FBKNA1zlWyaoSo+OCIDGjiqgWEhFBHHurqsHRAbD98YfETv7NTsYGRi/Qbmmo5qnMofDt
Z9RD453LsAzWeWXfB4PNEsMpzy3XeiGumZITbqx/c0ntV9e0NCFo/OIJS5/Z22u6+aQadmpiRKqD
XS4Wy2xcjYfKANsnYrb2efc1Svu7OjIIR1tPcMUjL1CeKX+molIpy3NA5uRIdMg4thcntx9/JMbf
FmDCkezv2ODacGXYub99fbScaKUqWmXdON0aMWIXmAGsR24XjA4wUdI5Oxr8iIZRfEtM2Buz9YW8
IYUAVvBZ1jOuWMsgO9B/S6Jom4/qNuzx1StpfDlQhFtF1N+YGM/dqvxq8bzFBRBuezSXfck/nisq
OJhI1tA/mjXWU/owzOZ1ytXbjuyv1ix4/mLbS4pgw2Ag0CzT33xD9vKUf7MLcARISJ2eUpN7h1nv
20+giOOW00Zkr/Gr3IrcvEKWgCiOGbui8s9jjC83pNRO1UgXAH0eXlaCwJcT2PY2bK5bOVwbkmCQ
Sk8oVVqGNwpY562NrY1ZsF2TAc5ddFpNl2dh01JyQVcnKhlBroH4FZkw5q4kdJFQnhyTuhsrdG56
HTuZiE8aUWmyTXuJn61P8KUMZL5pK5hfCCBVAB3qc9nF654Xqqk5brPxbEwS+gUR78caUm7brhVd
D1cUlO7a1jrhddrVnEE2owtkFsfAvDUK9PtRrzcl/Bcg3Ljj23xcT1o6biMoLPoI4ph/dMDm/3WQ
4UWZPdozXr329eMf498esrRlkVmHzamRqTPerwydVQSFjY1nrQuvnn3T9inApoKY7MAfX/r/9CB0
91qeP+Wvzf95o5j819u/bP746/C1XDh1b/4CDA/sm6vuVU7Xr0R+2j+tocu/+a/+w3/8S75YPC0f
jzgvXmIElJ+1kx//yQ9Yno35ddkKY2j4UyH5wxbraJ8MRD2D+jm6vVRjGV3+0E6E+ARBFfHEspdG
LY7lf2knmg2qVmgoLi68OR6A/5Z2wo347i7FW8XcDncu+gLO3GXo+vPzLe6t2jFKbOcVbaSKBxAI
HBrTJ5UgKSXHiN3uFnBdsHFzk5YfkeUAM60i2/KwqY9pkmi4EtUcM5ceuxWNPmG3EqK1qYjgSSB3
oqDCdNTiCPm1RKwMW4xhXhEP8kAAuX6cYzPjdiuzPQZ6WpvShLha3rebHn+NDxSzuIgZzLarOmx7
dw3gl37GPBUYJYA3wdUWhpTFXjiZcYw5Jbtg9oxmAwJWOWGtIpeoUttF3y1IpleoeTJfOYPmPtMK
6Xh4hJxTaSbxAVMmQSuqccszx9Sth0aFT7fR1IiIRQpPCK5ULAHOC70DPZAUyT1Ml8/DrManWMa3
AVQkXLR5j5fRkk9kJaOjIeroGuepdWPNRnZS40Ts6HhpNipDklU8UVnTT8pSSasiK8tsG5bFvHH5
6DYgNED81OTw1CIarmWxBFJc5+SUY3YU4cLyaNIXEVIMDro+vg4cM9lT4JRt8B9NX8a5tABczFTD
zKpSZF4MmTCjOVLXD2SNaNUhCYZRo+mImK7KzHSOCm1O1YoPDUcr5B48TNU4sH3ImXXeaeGsXlpT
A869zzJ37xSxaJaqlPoi1UegZA5Y9KcS3kS9H3rQ4FaIEI95lZRS6eQlJ93aISaYSwayx4HTKB30
lEWDxLWp3EA5D+H39CHDJ6ulkY+cIII3fTc4J6G6LfA3p47J+lBUvmWzzxN+SJPzEGrJedwryRfY
AWILkA/ibaJgqixBxhG+c527ivzQxmyd8Yxkan/RanbGV+n2zbQyRodBlBhkf+NoZQToNtbFQ2cO
1n1ZaXLwqkFqVy7GzwtLIL0Q+qBIoqOWwwdXPCD4df300KrI0LUZJ1dNHOkbegVCMqjxNIVnA2+p
33YZmSGTgybBMojh14QJHb+1U9W30nCpDMrzDPrjsiJXdnnKRNbyqL8RMkaoHHrGDNF9OdQY0NKp
P+9aPmOtsZPPo113l2Yp6c0zICU4srho6QbSp4lsUzfOV2md6SdojXxkTHU9SSj4RAZez3cZEzju
anKpu0FKJFKYPYzkKynkvOlcoo+08ozm2mC88krx1+dWz+QZobziNNTuiPF8SJJVMtu13zW5QZXB
WB6KuXFg3AotuEgaRk6rAhzwkQy+ZDY6aDHzMzW2r4o4a+41/FSUK0QZRWiuJh/BixT5WpMVO2Pb
KS3AZUE37gdHNN2+qAEyMyXTnemLQQGVftM4jMMasyhfsqXvIYS0aFnVmcNvn7ivVnex9gDoYBz3
UUJaAV9zTwy61I1U/apbQeCeQTxIEwabesxXQeUzDkkbyx72+xhEm9ZPdxQraWuza3GZidGAu1jG
9Y44DtG9uQVUvIX4ApONJVpNN7bZZQ9xPNLN40rF9Fjs77vaHc40vW0oBFWLu0yaJp5HAf2e2fGo
vtg2Cho4yOzE/DSls1EJtn2bQPQqplm/KCkZfYampn3OJJsQW7amP3IXscJW4dYhQ3w7xEJrGOzT
cTNihazLl7Bvy6vZsILXRGkmP7XZz8hhBF4vVP5gja54SCn6vMCmQt1sbqF3GY5n2I0Tei0O7vF6
amq757CC9WzLnmE29iExgTU8H7aJMaZDyw/EyKkr7xBoTrQxVmIPx5chqCkoLVlpaTjfJrSIgz+M
sGphoAOJxDbYAIMszCIEedy46Wk0S4XHS0jLoRbRADZ3HCdFtbSZu0uhmVvyVWbhBXTH7ExCtMIn
P44c1o2QkkgePKt8aCqYdckMCdq1ht00jvkpJHp0Z8bAlFuCuUQlDVF96YhrWZ5MuSWo8Blx/9td
vdAXFWfeou8yNM2zyk78lIQmrMI4n76qRo3m2aeT+xzVCvnFKsFLuwLMBt9vAu0JEtReHBpqPmEy
M2LToEkgotiwsWmj2ID4tqNjYOlRvLY6Ql08wcoivrBLVWIspZpjn7BN3w8VZvhTZhBq0k2Lu6BR
8mPJCNcH+giQC4oedWkly6Q6RO01/S/ttsmk+lS387XR2zDYAvq8btQxNQCZKqSJkcOkjf0Dakuz
EnNqPclwUrN1Wo3Wg8SN6xIvq2CmpO3cR5uutmYLq97CqFDLpPVAsE+vZK3UOwadw03rhi2NhP3U
Ak8AAU1jEIK0IoxrramNBzz7+ZEF2zg0Jk0WZkL31zBMpxkm5uiRcR+gAKZns0tfVcsNC6g0m1/y
rMQb2umLYZVCEODucZQ3S98OuedVXedyAiVBo/IOWqn+jY3T1G0rxcmnKz1UoztgYv3yp9M3Cu7A
Cne4TvU7aGSsd0hOLU0Z5XLCkHndXih2lwULYtV9qDKXggei09DAqbLQfeCgfcDJMMCAaEXs11ZY
WFJz3aQNXzRd5El+0eDLbDdO32SfqWZSL2QCO3TF5ADShuyngj2EO1a4VLLuc50X+UUnZmVdhgHc
wTA0m5tmNmieZrQmPLMDn7Ih+spCo+bRkuUUNeAIvMwXvOv6EER4f32rUocRKkfXvDZZpOrrPBxC
h+oh17D9cgJlRtmqbkeegz7VeJEasWCDaFAaLE75cLJHtaI9r2itpcpRq140Dqypx/mrPDQRnlzP
GOqvDsKAX5HX+NoZ/RwDIw+IpLYCXLnHk2mmUKlO2DkkavjZRNg6g3bePyhxBjVLnZrk1GvlnTNw
8MGkFockehDtj7lskk2S90lHoLZ4YepAxGiAlT6DotnLOuU77zurOx/TykXaU6nQCMp0ZE1JEF8z
C0zfFit0fZnE88wtH5DwX2VYfCU29xpve0e0F1WD8842BGZObieHFJamYN03CiaQo2I44V2H/+aV
04POLU0DX7kpu6XuPp4LfnpLnHw9Ex6qWZU7Mhh1Y1ierekWiHiR0CrUdcF9X8sCB3Mkd9Jqxaqq
swrf1gRVaYp2bEj9VE0tIOwJpAtjYgoI+x9/fToymNAdWB70ShrYQ2yWwDhPmwfcvJTghe3o8dxn
PUn5VS598YHfhjT+lKSQbmtaSbysJTaPU3LEuW1lmddItX4OZQ4Jbo4i/euYl2AciX2k5fyZaeZr
H+PLVjCZ+U0gegIiE330K2NyzJXblRaUxQDRZJUC8d1NNLNPmA+l+qgZPI0eorpU8tU86ual3lvO
fo7xAm90iWXdD9sq06gX5FDMQlukz1VoMqmaWSDWKKrEhS0nUnqP5H/lSx4XXsszYD/GGJNLNx7u
sW/UtANlYtg1lOZ0gJeOvbAjBUAAuH8fmqIzrmRR4EkiSkEmlSYluTJrXrRup/kz8yv5KNAASLD3
qfIqDQUzG/oDf/boyCtWIFV4napX5AXSsiG4MbjA+rQQNKatu5dpUsgbRHlMD4GVZtVqmMCnWLEN
v7apkkJbs0GbPjvOWH2Fu8fdYbdFDe1e1dkYxkVUPrlW19zi0NTPmCWJy3zUmjtHh3u80Suql6kC
siaes+FEWj9W3J0hytHn1zOg3kRq92LgZo/9co7dI5rRQusp7WoZSg8O5o1JL/p10lDDKVTKa7Ms
N8KV0tjhIxN0CzvGQLIhA36BO6zU29Zjy6Y9uU7THTQQfAQP8xJUnrNswfo2ZD+Qg0Fgc6Az5mFP
2GAamZqzKWDMvar7qQLSCJ7K3UWFkVODMSRPyTDYp8xREx3BiDJVPjM4M70D4bBvtQiHV1wEwRrc
wX1DdPrIzUqCLR4Ur6907aCRGFk5egqN06Syk1WVCmYbWy0wEDcwMGgmegSDcArv6CKmo8ylVG0l
6W98HkGlncnKdMXKjskaMoSQ2rPewVIZ1SgkJpfS+jdxboTJVKHFj0eAURRdzWmycfUIunIyF5cA
YxLB6DK0PLfJWFiADe4HpgGeySL55GaqvSqdzvxCo+T8PGY1A6bKmcLTBErjuRIlaY0xC2864tmP
5JJV0Agh5z+bZ8h5X1WAYCCugxW1bNHCO3VM7PYEoHCZxVIeBbfFhpYxgFP0+pH3m7yiuJko8qKy
j/d9hYvB8Uqjgp3e2a59nMIiy71ubLP7JtIjf4RewYTSyubIw+kfvVh6xWaxDJxNbdr5rpD6HJKt
LKJj2LrdpaUF0R7iL9hUs89uWC/qs1DnbbAzYtjTQzAmos4Dd5qn/lYM2MX4QgOOX5/thNV2dI3w
pi7n30jm72cG2ERUdASUJjR6iP7v5hOVaQ52tjB2a4gwPPtt5vZjacGgnnRaJTNKqV/+PX0L/R8T
CCqjqyLVW4uQ8rOG4eh8lXrVzjvCb8kVfs/2HHwVttlCsw8xk8idtlivP77oewF6eZs6AH3HxXMl
tKUy6OeLilgr58BOx90QhTDI3aG9RElF86a06raaZUcEd7L2zTDUf8h5/9Mi2yn+SjSr/Na+ldW+
S2VfS5qB6TBs/+v/IylOVx0TafP/HlG/idM0zn+W4n78Jz+kOOeTK4ibG0wplhTBMsv5IcU5nxYX
E5NqZjzf//6fQpzzSRP8DZdmMs00eVb8JcSRT1/KjhD1GOQyHaNO6k8V8oetBwGTYAf65Y+//kfR
5Qt9pG3+8z+Wzoyf1HK8AgYanMnYBscAQ1vznVoeECguhkII3+AkeJgliFi4XicDh/zBHum+o06o
WhuL4X2owvEuHtLwUGgFxwq1jdaai8c5F73zNYkabR20lX1Nmd24L5WqPWFMj34j77/9+f/99b77
+WOhttrYmeizjrPBn4zlgET4nWFgsFYrlSEgBs4Tz+XgNyNj9OrffFTvZsaVZeSVrPTJj0MoxjMT
2XNOds52rsdyk3RKueboAfBPQ+tLhXkx9nIE+OTm4Prc0EsqU9LyXJhLSCBflQuoCKnzQriCVoaK
T8/Sx4tMD8JTwGjci+2Ss4IsVL/Bbl4RSZBZfJcmqomLG2grDoLM6R9TOOjzmgR4fVlGOQknYoWM
G6jeSxeaV5pB0MkqkR8oyixPnMHikySh8TnqhnatKVV5FtPnuJnyud4ihGzUAvB3pJLpC3eoMwoD
6gja66Cpd8ZQjnvKhWEDgnEjWBvG28TuvibSbRiDlJR4kBdTebYryXYuF5B2WBOfhH6+K0UC4Da4
6KbhqgZpwAK1HjLl0WgK99hmsKWnxH1oZgGs161Ysw2VklVLnCVzeMpz6hsr9kdrZ4IFCviSoooq
W/WO/dTm/QyUlRGOcJMDkD22Mv10wQPc3Daw0TYdjhNPifT2UAH9YUQeiHWAU7nklLQdpcrWsbzl
yHgI5ilYw0NZ91hVhBLSTVgfeNiZZFXVGvKmMQKOWVL4s+gJhjnGRgzs/IpxoYpOarnhjRFmi+nl
MKWlfhlCGW6skMjf4tydfGJKFEi5+oG7BuRCdwwmF36dI3qKecdbRNr+aszHFs+doa4qq9syR6p8
FUA5DxJkEMlpXrp8J1EJqsTtMIv0Ok0UbmRszBRJvHGsAJnUUndgKoO9QWLAowAx2tQlZwTmkSY5
dCzn/QgSWxlr3L0cXIDveX2UA9OSxAwiwM1xy695NHVli7sQEJHD01xPu+kIlZP2ixiUl9rnz4Zd
3LaQbSTdOLu6hngZObc8K9eN1ZFPzPgszQFmEjKwb+lUuqc1dU2FjeCaCQeZpavWgxusut41fTrM
bRh9wc4y70F4p57UJ4dNHT55nXb2tUJowguyZI2XTq5q20l2dTZca4WqHhU45itrGIf1mKEFlVXL
NoeSmxs0JGU92fZuHIwbzNCA9p2R0/4UcSLpknPLGbHqYL1e05/Sem2iMihTxE4ZMLULBVCMhfFb
0All5i4g+HRf58517GBYq6fxth1jNMPYa9vovCef6ZfmvB4Qssbmfs7qC7tGKbPV7jqKKucOfkS8
xVGwKdSO4CKnUyuUJ3hT6ykvbtEuN2J0t3WUf8V4vGln5v2Eg3uvFk3kNbpxDrI62sE1XcVJfRUP
7gHvJC0T4SEJCnHKrVoRq4A62m0IrWgp9yybZ3ZMJp97od6MDdKGyMS10qh4kGJMYIXbj197GAgI
/pLwKGlF9ynK2FGrvK09tmec2CStJ0TnDsGnrrItIX9MktFSWY0y68sqZgySklfG1xKuJdXHV04g
AuoJSAIsRg4/QxRdIkxyjfRxh5guPFa/4TipQ3crXYfFglABJxlFZVejNRxD7HhagThRzwAJqHu3
7uR1TW3X5dDplR+XkI2CIeFfTGhKoZU08iiFV8/IfVxQx3uQQp82ppXeTkXSHlKQEfwEjfsO2ClI
DAoNsikkdC2KBqgHHlxROx1G9iBat0YGYJFOoVWS4mtfqJz70B6RIhSp7pQwhjqpAvJ0y8Z8zAuF
Cu2Z9Y4TST47iV8MTsLJz5p9OWBiUrTymx0WPvSwdmdajEGVPk39xo0/64o0NkYcXNmATzyNIpIt
aYZhlfZLAY6SaPuc8+H5LH/nZGSz8f6BT7GkoP5O1xDp7HfbZE0x4B+ljebDy4MRlVt+nhAejCPz
+NMe6Fdbi7dWhO+P6jdXere1wC1ZREwpdL8POyIbgQvchLo1qDOwgVPr2RKISaNJKsJdVt7KZhf7
8UvQlyniP70Af7wEcsP4NBYjuWu/c0M4ZTEkRTNrPquVXaGPC8XDd8vYIrPttSLxSQJZgVA9V62f
FqASIOADx+hd9agmQX1ke03ovCkfafWWV+lAj18aycXaQtDr3LRnwgSaGq+TnpoZSrQLX4xjQ1nJ
xCJYqAdZq45vVxQNWjZD9xaAZS7zK16HwkgyY77717bzFx/5r77bn9/uuwNJYmSkw1JT89HRgmvC
fLo3TeT0SGHM3seXenva+vHJ2suUmP9hyLz885+8ndqgBHmbjpofd/Y32GD1ajKNL0hPxVqa1ePH
F/ub1Z5vkNPOP6+2OA1+upoSB3k/lonwzbi/nDtTf9DzqNsnQ/iixbRL1lbaXna0S5LcEbPfKhTT
iJQxpUP0/eQmJPD4JinfaHeZVY/bpOnaBX6HTDpSmxWTDV/AfMDF28Rci6ksLjlOobqn8EqyEdyx
oKAEOoVC7yWbknrZnhjsUz5+n28NE98/VHb8yEE2fmje7ruheJqDRlF4jvhWbYJssSj3zXWRsnWz
lEsmjmiNXU27+MdX1X5xo7657Ls9tYCoLxma6r5imMtEz3yxUzDig4TVEUtVORTTeA71T16iA5Ub
e0CW/394CSxKhD+AODn4Et5+wWAnxwZWnubrMTjJhkdibDbQ5ywk8tZUVlllXZgOsPFEt76w6tfb
j1/AL37O7s/Xf3fnLEQRopuh4bdZ90Vv4pGu0UA/5LXFD1sJzz6+2nJSeLcs8U5VQKOqJrDiv3u3
0cB0si0d1Tf1JjnTBtKZMbT8zcdX+cVq8OYq795To6t6n5ml4ecMaFcDb3DVIAq3OdGGf/9Ky1tR
hWNyWv3bYlC5XTHPlurPAfCFwdEeKG7ZL5y9j6/zy1/qzxd6tw5w/ujaIJMGT5PKfo0HMCDCNnZu
5wBzAVB/k4Z0CwIeYXtcLxtlUbXVbzzOvzgyG6pqC25RVbguZ/e3v9UgGofajgPd7+yk8mcG+bfM
0rQ9g1jdr/TxrqzcdB32IT2BRNqXMuLas+sMW3GuPNFllDLeUBbaf9MUxzTMHyyKFy+1WNwnkgKp
jz8z/e8/NgRn7AJAJpZXjHHn7dqp9WmQUyHhY5E5FpNJRi8CKE5qVPUsZT6NrjVuqk5lpo4rI4Sm
zciD7UjMlGRtmgUJagKLa0mZH9vUYJOUGoZLzjSNAuCWQ8S3qhrCvVovSV7dOGp2D1Auh1DfT47l
VUrcbqq5ZG9Fkdeqz16xSWqraahzsjW9cdY0zfX3t/y/QtXtVL3+5388veQ0X8UNltGv7c+qE44t
fpdLgOqvTcPfqlZvZVx1kn3FHy60/Qua0F//2R96lSs+0Y9FUg6NibX4OxzxD73K1T6RCEPJooJj
sSX/BMQQxifTJFGEJOqwHdAFa9qfREWB/uUuUT26WVVGe/+WYmW8t445BAwsDOiYGQhwob2+u/+q
IlUUhJ+ORYCDSZcyH1MGx897dHXNHR8dC5hbj8vDM5sUJkLZvo5CPJDgeeRXqV4HNa4Msx5e2im2
Vyl6yaYdLYD2iqasxrYublJoz0e7p4aOYlPU+Z5ALVzQK6tS0vWAB4zaFsAB1Dee21VKT0w8RZup
NB+ZRNVbi1xDaaivhK4vtQkGeRYy1qQQxwAzrbwYoX6OrwXOY6nUX2jcI9dr9XDZkG2ZWOsBVw37
L3GT+Qq2MInhHJYQSKgV42bKuwIw58JUNmo9wdfWk4IGNls/tjRvHyqFgHpUQH3GMGCQ+1Gz6T5w
w1s1Tp+GSFKl3NI02kNCOuGBMuH8jxBuS7xtUTd1q0QY3TUMNhTt1DirLG3kaEf4bw6mku50V2H4
ocWtu7Jx8QyrxNS6b1rnnjdTaG00qdtXmC5Uz60icMVNupsaM/fYVhcnOyErrIxN8KzXoeJbBhhv
oOUVc4ea4+AAYBUVvTqoWWg9t9b0RY7UzemoUvih+sYTbsb/K/TqubNc5RRYuNfcoQJg3g4JoArT
oLkE8ZsYzSslarDz0dcupJq42wGWyKpLNLHSVAjU9KQYG2iaHaPFWh7qfBTXTjO/MGiJMTuN9cVA
8uwR/NojuZXIG9KJnZ+bqKu8gThZpx3LN2PVeVJSyrazb3CfU98u3S9um6Vrq+dfn9tsiraDZuMn
zNUDEyJ+AEwXfbWS4NTs7DYm/2W3TUILAUtpHo4EyMCurVNbpBt0qxALVZhdox05nsbw0ZtTVwfM
u+QFK+PO1pNgY4eKeeqS+oHfq/s6qgXqHVDx81kQgchbbJN91dxiMbgFmr+xSiZc6tzQyESxeg/+
edfA6sJRQZS/GFU/aZtrzawIdreEvRmbNVuQuO29GmKTwXR+jc3pljK3y0JX+M1yv6MaGTg4eows
K7dnqsfZJwxOiS5qucs51O+LII6ZmE8kRw1rrDaaqSjrSKYZeACRbUqDlDvbvmpr8Ru8CNumP3AC
i33S4MA1o4jlzG12Mw/xjvMYroNM6kccWMl1kxjOTlSUVnHYudfCZrzJKSM5DGy8fK0lR9oa1p0G
ZnKXxn1+nyXUjvNVcbo2p55RedLS2dspuN7Lahlni5qG0SY8zNPApi/oiTetNFOKdRcAbakk7Xol
OTZrnN1zqnjGq3AkalbRUr8ZkSW8trEOhDr0C1UGdJkF5ryy3AHFT4OiNlVOd6Emcw6Gxpq/MpOF
uT+TYRns0mf2iQGtmrWrgEPzmuBviCY1lgz5XA6tTWB7vRXSUdcudBWrcmJfRMuDOc9gV0xg/Nfu
oHQPU+NadwCKbb+mSeOBuWPgKaqdbM1eTXbYWaN9YtewcmwzvnPjirFdWYOHx7IprjM8HOduLuEN
uVnyYBXiQY1kuy2tiXZFRIyKIEnV9uK1rzR6NQeL7qS4aTBF9RY7nZHiM8bxK9ttqueYUexrrzf5
hc0s7oBuNfgYcDOPfZvpKXaWbrU5fHCMrDpXpHMMlFysbWvV4q3w3ALGaD7p5eIxgYEdCO7cWE/W
+eL/qvrIPhpZnlwOc1CdBVqbXEQ4MrxS7c46K+53udHWD0hsGIKhFZ23NUmQaJLqGn8e/qilNgZU
W3LXAxTbZsM0XwfRfDWaWAGFw0i+nAYq1ZLuiueQsu/KoN6yhw+fZZnPvpbBzB5rdTPrtDiVomgv
yhSYi+PMMbkTQheFiM9GJ0oxghrllZmoi8MTPhAxZ4UIOJQHfXSC9TRDV+G3S+xYMRWihEptrr83
aqkylWej0lIlmjMjCHL4O72tswrH5qumwb90rUzz8Ntf5dL6Ggtn8oIEPofhMjXGf6NvABgNi9Ax
b/oOyE4epMaaUsl71Sh5Ki6vQeDI3IRoiF7ZuuLB6bmbge9bG8xD7glisYBzA2UG4pweDs8KJlg0
sWKQt6JyvplYcPKhY/XVfAfJbkMi9QKnpLsa+1RX1jAYBkIkUbftnVRZmUqCgUyrTkxwk/uKWdSm
FuawcefoHh76zlSoBYWkJak5VtzPHCWwx7nVSznyg7Ka7LavU9tLaClaF5l6PvcgRlziwjztkjv2
SWLfKYrryeWbxsMTbHVMvbiDWXpIrb0UYn6mueFLD2iFDxW5cJNhA8FtiOvHTIv4QHjuMo5qeXLA
biD3i6tYsxBPgp7JOXXTawe61krOwH2MxNb9pk/lbaiD1ZubEIwJ6H1fH8snVWEVsnJyWiLYWK35
PFGijQL+kgMw4SRLLTnN2y//u939HrT4V7a7ZAQ/2u6un17k0z+eipd/nD+FT/If/lP/msV/2/1+
/1N+QCf0T5Ql4bJduGsgIpiv/pjW2uxjvwMK2BFTSCgcNp5/zmtVtszkJtiemZr5nSvw5+ZX/aQu
KRgSF4I4jIq09W48+9G49q1MwYbMha+A3wA+uQYpQX0n3gLSRqEPsoBZLHdjMu6wuG61RqzT0dj9
9Dn9QkvU3opRy3tnc61p6G6YzwiUvbtWmDMbrNARNzxu4WnT75fXPjHZbVGaW1Awn3PYBO3w4Opb
xZ4vQhhKXqQ/Ztx5Ih6PI+VZPET837yqt6LGj1elCwPPIi+PUP7b02xAz6Fr5XWwqaKJwoB6n1kL
fI7e1qV2eWbKZSu5Z0lr69AU5ob9egqMfBWE1c6k3UBUVx+/IPH9M/+nmPP9FTkC1Y54Bt+Jyenm
zfmapEKluGpIS97cRTuR4FwuTOOaHE1wMUbMmSpTyS6qrO/karTmQ1wWOeXRJrvtFJ4W5TmgqArz
itUhO+ooGUc4TRR2Fdtq7CTPlOELZcwZ55CesJlVFieLARCS0Ygre2KcDCiQZhRlozeUTUbuailt
xV6zriPTownvpMK7cKtkCy95nWTGyU27bRfFB0u5HkR5PeP3E6EB2htLv4M7j1w7U0oS2BgELQq5
ahr/LOHH7DVq+Tjlyl5B0Jj7Z6U4UmgGXHfQDwsLXRh+6t73Xf8A3Ik2yomxVTXae6MlndntHbSQ
jNZlQHM0y2awt0JM4weYtOc0NnrERqg2nTa5HRxMmrVTgzFLkJ1N5nADAe2AJ4YRib7EF3Av5e22
Tpxpu4zShbDXwuJ4geW3M+Spj6wtUM7RBmJvcM1sYMfeg3UrV435QHrykOQmltR0r2UkWcD2aXG/
RY73ErMEew5JK2v4eLiMS1dIPVyX0rzi+2QKhOrTMiibh35tmyMEPrnW6ufIvqAi7qyY21UMRmtQ
QB2rLqlQ7sze2ZAr95T4Jh1KX5HnU2VvaWx66tnCG8Yz7oH/Zu/MeuPGsi39V+5TPzUFTofkQQMN
dMyhGBSaLNkvhCxZnOeZv74/SnKm7HRmZcK4KOOihHypkhVSMMhzzt57rW99qqrHlAhuz0FH6MmL
isavHE5EYm4c5n+JY6+CBIAXPqKjKkUOFN/95NFNOgwcMhCVRxdKHrLjjn1Wzz1uLb125Qn8d/bo
GQUID8T7CVy+nAA1UNJfMGH6l/roIS8EDmfNDDE9NFOq96TtspmV2lqj31r4nRjUe83HrmWe2JDj
vUatRxYV2QHeB7C6KaM0g8xHN+Uwq0caNh5XNMk1u3Cz0iAALmoCrUCHdZNfB2h4/yCwWm7AITSU
HkXrHfw2D/ZGY1yIsrIuyxEac60nbw3e//SE/vUmye1vsJH8eU9o2hpj9sjvtsW3n3trCokzferP
Izqi9Qk5htnEW1MISio7nCmnCRsIo2l483VbtOj8CLr50CdexEr0Jr/uiwBU2cw46rHbMu/Q7X+y
L+qSV3rXUscrDweKGREyKwnSF2Hct6vw6FTQCYcw2Q4Bs9/UfgALIHkYy+TomwOZCHFD9oKS0JyN
gPOAI18Xah8/9MQAH0Kn0mZ95axDQcqPn3eUuFTl8OVvPTMBgwxOvmdGagfzIZo6AmZ72ZbocDrd
AHOfN/F15UfKPJRluXF882M4dSwq6zBUrAgEry99YjZmdeteNlDarTSZAj6QTVPFk1TgOqsSrz/t
YbGH/mk92Ehy1i3R5VWmE9jsyPGArpZdo6thAsUkirUMvxvF6VaYvdA8haiQTAejb9wQQ1AwOp71
mk0idIkdQKK48U1aLvKJfZKw6oSoG205VPpVkBBGX0L/1Jtg3mT6M0GC/bniu4yES2Aqa7IsrgOu
7QWTYk4BxPeuezu4RV0zxXTtG8HFlHVu7MOBtxwY0dFM63WhQHIG+H8wBAQlR80SCPYknunDeHQ/
VKw5s6ogTsgvmnNT8+PjAMPRIlw1LgiuMlEzJWYx15z0ucYeQLkTrjTMQL0zmZTCm0J6Wz+nYizJ
Y0etk8+YHHoLZQw3ytBcKrpolx5OotsmGMUW0TPtbb1fkEG1HPKGS2MX3gbOo39N5NoVho7PE6Ca
KteMV30/ONheEvNCGCWeADEib8b7NB8A0K6d2nQpkxyx1ZlZ3xhJdmVEhUkOEf5QgBA+KPzYhf1d
VXW+riFgXvQWajRxizwTckNopaeuVLA6tO3BU80LP0SREll3Xjwc4xDCSN1wkgs7rOVltSU9lI6N
d9d5XblDxzWIAW53Ux3Lsn6O0msVWwCloTQ2ws7j+UDnbllrS2Lt5uoUWF9IQ5m7/cgZBGP50Kp7
hpwcGuB7Oo6zyoph21fqrZt80GPCu3I/URa9Nf3ucFuoyqyMc/VWx2g6Z+/GgO7P9GqV+ikmDcys
68JFQSK0B5N84R2y/Oc4lIdJa4tdDmFEcTJqZ96m4QLo7lVJ0OzHtlT5mSALlia5mNfSSldouwte
d7Ah0ielcjH6eAE0tLSrQGpEkBuOeMzNotnVZRTU82oQ1inGR3JO0tmwC83SYUcpfHRNKfYLdI4Y
UstmG5OCcRcaHkE01G7B3tfRtPmhhwTPLr2bysY3w60KgitTh49DxGAeDV128i3ywmwiPT9RRxLn
ZwYjavYoou2SWjsfr8EO74jF3tZ1q1rTPErPsQfRaiY3pFf3N06eNOehmie3WImqFcHfpTcrc1k+
1PSUFgWms6PZSXFAmpnvOR10l1qTGkehjc15rZbaRy2MG3p7Wb/qOevuCgK3t6UvxcVYZv4XiJ3s
nFUylE850OQOWjxXnUzS4BDmWP/EBFCNXXBbc3Rd6glvgXrVGW1x1Fxd2ydR5t/Se5CHQopyz61i
7w2cgnvOCjVcmjIgmQKexhpRYHykPvCYieOJDzEDpf/iMG+8tOp/PzszKJAME4BUsXAzOqDO+HbV
jug0Qm4Zva3jeTFM6zJrt2HVVkeURSmNN9RYucZIcdC1ZsGcFHEV1I+l6BVvadbNrdVWygquOuxc
O0SUWcOQWwgvUFeEWeJOMgPvIyhWuExB5omTlarhrlaTo+1aJvE6cjzR46amd534MHgxH1SBxcsl
Y63kqL/Bf4UfR6vEzB/ETVmCqm+wH16gbkPn0w2Ne5N3HZJFKQaCTit7JNPbT3lh/L0+vTvLzod1
OvpuM68CYmLWxIn74bJ1zeyjovmYizkBYdMdtfQWU5XzkVjh8yrGFg984qqxlXUa1EQAGdYiZ3Q3
L2qbyZBKagWn8b1iMLAeEq3mrzKu8r7e+3l57Za2M88ztWYGIs4VxFzzkTbsEgJtNDOUZpzbXTgg
OUp22MPanVtmexuGCZvlIFZAUFcdPut52BAdgBcrmxWd5T36rejO05acIcWbRKE2zrlsCJkHSC1e
wa8Or/IRNEbeeMmxGTt7Ld2EW2mkyY0bHOhhlwt7PzRhtQ+EIg+NwE3nq56+9wKrOIJUUa8y+AMn
P4IyAz61rXd81v0e5m5w6NRaHmjJcL/Tb6qeUFW15oyy3v+Coy+d96Xbr8rpSRmmZ8aZnh59eo4I
kcPKCgzl3HdB8UdK2l/mRUB8qJqyP/sVKHX69AABy+qhGBKoZBz6q1U0PcFyepYRb/U3KO7Tm3Z6
0oXG7pO3RkeHinUgmFaEYeysXW7CRGqLdLoPCufamdaQYFpNxmldGacVxpzWGjGtOvW0/pDm493A
ZS03ZDar28jRgn3qWSxZfV0mdyUA1S0gW7nNiTzfQclD6wbb5CGM9WFHxCDTEiuyT4RHsjBK/vWO
A4j1SBPaX/ehVa84WVsn/rVyARfKIoZyINk2QGgzH5j2pHPVLTFAVaPkhAKbjbftyAjPlS7ssFsx
4+7DBamOVjKHW1IOm8T0k/aY2iEIA1EIHPR0e8eFLnshN2SSuuFkx/byO4aUiKAx/uXEHqaEH24y
r2y9vU7ZQNeUhEfQeDWpU0tiPYaOxy6QOPsApZszx/cHjzSgvvCWyShG9msBU2BemlNjLU/DbO0U
tXFh4GA7OF4viOuxtVUsDXRXIYFHFaK5CJQxTpp1YflxvEQmibPNZQQF/z1nBAV9Ygo4Qws0K+3R
V5ZNEnMCoi2MrNFm2bwf4xhLNsW5xtoyhKHkFtMKbV8atX4VEcFe5GlBQjZZOgS5dVjtwH/Xerqp
kKmgiq5v63ZvjVBYPFc94ObIDyYpMBRmijvnjOoj7Q7cuWpjY9PQAc9y6WFEzHKEtqbN4K4NP+Xk
payGsHvUUqI0nNKYO5IgY1ctumNW84xaVfk5sD/DlJPng874yrIHnTYB24CRFSbhsuqaJNRLehFX
Yca0oo+dk+Z2LlJk2yIJp1Rx4Zr2rrZ6axNnboKxyjjHi3mVRQ17XqAZe4X9f6mO+SMMOWX6jIDP
DLmBhao7sZ3fjloePAuz87dEbLUz/I7jLmRUMes7hkek4AyLUCuGZ5lp3IONl+UGpsJaDRGWBvZ/
Ewnmf5xJhSH+VK8h7vjzOu/wxfMp9IaHHxR6/OBv038bAxlFmTZpJl/wMG9uFQkChhk/UCUGyq/f
+b3QozE5oeFsZv80KGnb/V7oqbrKqsisnmEGBrN/VOi9gDZ/PzJQ6E3QXwMVwsQck1A5vj0yMM6o
HcHduyllSW4qmmpr8v+NwDbJmPCfwHPH59zPfb6lY9dcm9rgoMLvYMqvPOkatwXO6i3+ZIvFBGF6
z3SG0AaMwrhF1yDDjVtZ2cYBJZN6kSiKqE+GSBkG2L10GqgCZig3hLU60VodnCLfq5A/tkMFFFAI
z/eWhNpzviTFTp21SlzPm0bDKac1xc5pbBwSENdn4ETlUlOR8hWpc6WOJZJ8Qz0OQ9bOZJST+BxV
bflYxEXewe+uEpiSpuft1bCSJJcRDbQXfoUyvjOn+BwCfdfmGCcbuylxc+uBvnGF00PqG40NKWLM
C81CMogferK9Y4DnnW/IGyeTzhrLXnfInVjOwyFpCawyVPy30OPIzEnpJ1qMgWibfmgzp2uu3KzP
ydeusiuNPYtOVw7mHGck4qO9zgrE/DXt2suiJTkC1jbz3X0R1GEHALltDZaE2IvgoRc9IDDNZQ/0
FIZmswH7Px04bYCPEhMDoF2OmpDDRek5VnqpmYQIcogo3HJDZm3pUv052rht1NoKz7FYS6L3QleD
Gk/63LgyWj++b7G3o0RPylpn1ki5wzhZNyPKJz0aiByo2mblWlW7tomLfVIz7CXzJE8kdsdG+yDc
TpYLkOXeigSgZyn7XaNgsUGyrO9hAmCQJFlto9CDvbctfD6+6p66PrVm7Cw1wK0+oRQqO3whRXDJ
yYsTqRrj+ondsJ8VQsWSbKbVk5G02Op1xQ/WAUZ4bRFnKlnNzHhv2IMnWrvNAHaRBLVzHWvKsO9c
ChKTBMVJIIT5MuLsS18Orj3D6XXkkS2g2kwyp0TDpRo45xzj5JID/3jjpoG2aotMnFsM92d+qKyD
VFMvPMTvmJer68EMA6K8reqCXBh3hSzRw2pkUG6YuJSjGao6O5kVRFeSPs/Ibk9fx1nwWiUGhjjZ
l4WJ/1MLzeCGu7XZZfSK4KjpDFQJ2Q7C7eBFXU6GV7OgAWHNYhRpW6/togvpuO3Hms/WRbvn4pnw
9B51y9CR6zYblY4QcvICISTYH/ogSC6LAUdRR0YIZq/xQxK2wRNujW5ZOnZ+nTQeiTV+E3Ldw2Ft
YUL6aEvECLEyNoe8Hr5kTUNMcz7oyRLyAMpvJQwJsLKV6D5XOuu6y4ClcUKO7E/5UGugkwhm3nZx
i0i/7+Hq6cxYLUVvlqItmpValMV6lHY3L3sRzxPNYK4Mw3Jull68iaVyDmnAYoVJ+oMl1ObeVSvG
tZUXnzxpFOeTE/y8GHx5MTVrH8yudetXje9/2p9/r/35l5K4w0M6aeJ+sCnyY2+bonmG3EMFVmbi
lXwfMoxYbsKlEbQpTGKgvjFxijPUaQjyNJOdlMkgLdOvm6JxNrHPBK8IXEUa9Gf/wVQQM+n33U9L
8GtsGrRCqJpwpu7oO328KKo0V9RIbsIySDaYm3BxBvKc9Aljltee7gEJ628iJwRrgiZ4TqZEf5tg
+79OteAOW1lxUApnvPJccvls6I9XVWteakT4zqIRAKlGjiPOhkxFX8XAe+aX7geY3smhjpRtVbqA
XRqn2cVRdaWk0TQo6f3PQqEVJICWsYPExDIgwJth9IvCWYWHaEZPh2KSLu24yBHA3UisClBsa5fh
ypAfOMrjnRbFgBYEuxvLv4uGJY8IkkulKTaykv017U7/PsjzLxExvfbCq42ixJ4Wfgr08HOHi3YT
mOYxhIgLIgeEcwcydIGTqlqk5vA8iaUWZpMWxx76FnpWN7mCEQCuKhKboWFR7bDkz8tAUEKXnUZ1
F2Ab84N78oitGSwkemwvqVJV1RWzThhbVStBtAFERGoFGLPUqYErbhGyteokv1K78KkTlYmZzXXn
hg90Es5jR4+0Uj8lGqz9WeWm7Rp4tMdhH598C42lNjrlum3s+JJtVVmTXuqmi9x01Uss704+Q0SF
2BHXeavOtQlkOdc7SjsqjMjAADo1boKphwNASVnVhQn2RDBuQmgUM9eLc99TSDeHsp73cR2SqKQj
lTL7KnJ3Y+iyMfsEOu/arGruap3Ur21VWJW/lkPQnhe1KOAMyLGwFi1RKgA3JoPUPOR0wr6BkfHR
KoweR1+ftqREcbSamXYxsd6TpGZnUgZ5AksWWbOkAJA/J2pdUEV0owS4qYXBPbqq8jDWtYl6LAs9
GHSaS+PUSxPwUB2AlrJGWh3kZY32KG0v8JJU2uUQ1U42l2FFoCfE1thediYHjpks6SddwSly/Y09
AUpZeFUDQxsdqHFB5a4fFaVLn7M8SHZ2CS9nWQ/YfteUjBWfOZLR87qK6PB0Wim6udVJ0i1pYEWq
RcHbsYGJaEnwdLJoORTRorBpVRlHQIz3cWWf+hA1TxyADamCcuPX9I5FqR7inFYvfr2rdupG5+Z1
k1rLQTOHYzB1d5NoktsU+9BzF0aUbS3/YDHNow2D0jz3xnldZnxkeicWdTIQ0a1GxikYDOULtzOg
fybhrXrS64Dkg965VNWCrOqOoy9L1EomyDB5q8/GeJnUpLI5/Iym5feJooOXU9VtbgGT6kpkezMf
frBehRY9XaSsQRxdy5xd21KqE/G/i2oA+VF0oJha4Xibl/Z5Y/g3CWeydQRjm/rQ8DaFzTHQspIB
eKoSzrQkq+YDceZIDzPlwQSBhcFz3ac4V0eDwKY2J9MydVQm0JmxsE1oPAxbjGzhamk2IQ6tT3Lw
rqFEBovA0Zt158Y5j0y4iszYWWiGPZ3DXfuRdG26BNqw1Jy+4sTKYcxwna2fxu62FfY1S9/BCwmb
NopBP48CZ1UngkStOF6Zg26tC4mwES3fGr3EUzylY5Eu/IXc2AsDshZWRNNamZVzo6AZ/gKSI/rc
jN7zu6LtB8oMEMffLPdT2xSpAXUYchLbse3vbW1pPlmFA01uSOtUZ34S6ljoYqRrHoyxCx80XTDn
rCNyZM5RdVCzPrgnVIiKpG9b1AMJuUusk0TNcl7NmBSHhGrJpddH5cB9GcD2KrWIWgSC+/AhK1Pt
sR1cnmet7CiVmDXYUGEwFViLAd3mBCUv2/NII3Js7Xtg/7alJlgs0tzd0Txp25V4WU2Ul5WleFll
qmnBwe3sI7GrB1unf8RM3QeqSTtTNZUVErrwCgM6k5m4UG34TQXL1NSL1F3I/nrt4Zq2mn3sVqtO
qsaqwYDBRK3dq6bf7YSa7vQw8ncIqqFC6czPI136iyTx5FxPpQUKyrgap+5pyHK2ByAweZh11HVt
LeiVBfjmendNI1rHvGrXXzTshLd0sfB5w37hXq1gbq2rSGv6ddhmsplbYzCsK+Y/oNfUkBR4iY6I
tl+uhdF1MFQantcCLUAcdrSURQ+mV1rlHIEGjADppR/8qSXNHJ4GP11qEmhDaC2aeWoIXKPKdb30
I4sC8L3CHlcE0GQLO6N45AMtwos2b5wnrxbNMkjDyzLOdMArOAkyLwm1AyOy6EinkI5L/dp9Ie4t
2Cco/Xc+HbSL1EmUtY2i95HDuLLWqF1ProKRN7M975GcSZ7WPiga4POsXq3T6heM+tVLUK7xgmT2
z2bsYrTsCaaqSDTA/52Up5gW/CwQ+jpOsmFNA+2c3Y74vkZpadIWVA99WSzp6GL6wvNFnw4207DP
a3EPuwZfihbexdh5SBCEMJ55En2K45MbnWs3iawzcqX7TWmi44OutCZo+8lToflbhfJYII33Z6mp
Aa2uzw2bdD8t3Me6tqsS984FxOwU/jZru89o/Sg75BHoP8O+phGrfmyeEr/XiPE2vlDEoohscnOh
2Wq5wj/ubDKtfhBOVZ37k0CjsiL/aZCyO4dhVV0mmT5sqwoBcJgHDlVL5KzbtnrksIgiRxhPrcnw
E5SUNUfo7SwSLQhIOlE+jn7irSEJaEcgUAd4mMMc172+TKncF4ZNVqeBiYacRHSeLfFVDKUaBKfQ
/4EvnEdmx/jPYSIYW6ssr+rDmOO5hsIzrG2TBAaU7sRwuf0B0Gqw1ROdEYI2WBw+NOuImlm7jARJ
v7ASl4ZsA1IBUex6tN6JJUhtBEMS5hlkhNj8Urlxu9QbLX+OWvBwbN/ZymzGDGEPTDYDIshSD4RH
in2ETb/rCR+LG3342Au7rdBQD/qdPTQ1cXUlUO1ABPUHguXA3aZBGD77bkB4ZeJ6PmMIr7ZmQsce
uFZKEseXWVEmCIbZo8tpt45eNu78ZRO3XjZ0w469YOO8bPTty6Y/vhwAcm9K9+5fDgag3TkkWNN5
gZnJG5j+P9XW36q2TLQXf96EXDwkD+mLInMRNH+suaYffhNiTnJLcE7kiLyCcyh6XhuRtnpGA/Kd
RpNy52sjUj3jO7QdUAbqIHQkL/e15kKjaRn0KAXCRm0KlvgnNZekeHsvODEF2ETSgDT+MzWQW/yi
9yVXXioFVDDNXHJGfW5s62iXYp1b8iZ0aQ6pwDjiAdFIi/si8PRLhmMfGfcAav3kE5U70xRvh+z8
A+Hca6ApKw1DeLgfw/K8Jpu9t2PmBu3B79QPhW6so2mzG8U6HEssJGTCoxyL851Wzq3GWVkdP1uk
+xiGtVnE28gyLq1SHIVlrLvCvDRd7Qh3Ure8z73nr4ZcLjniXTtKfj327hJW6Nz0WUoTdRbXn8f4
ephYwsm4FhOMFUqonTtb5np7LTePqdl/yIl4z+v0RDNjCW+BxZ2TMao+ZhA3hJg4uB/Mm8ryoCCE
F4kLH9T2ZYL4rpwcoi1YmPiy9uyNkYNaDkT7qS7ljeqU96HJJUMXsTZca1so0ZJ67VGpkbQgWjHp
97y7835wknqxar5rJr9+iIQro/LlPtO/r5uHpAStoRLwR57IwqN7l9jJ3uuKCzEMF3apVDPfx+Qz
2kuFNCAoM69tmT/FL/0hh2YS9BLxoSKoQllFL+Dbu4hJMU1YPXCXrExjjhCOYNFVrzKDawchsCnp
pFBG1rpxx1NYjB/aNDD2SJCVbWKhorFnXwajLlcjgtc5ynsYpJqbLN1s3PcxQPNiEi44lHcqBpNk
RCBqijhZrNOOiRN+K6h9XbzsDMnWHls0+FyxcaWxK3q0Lz4t7CWEysehc6FxgHZu8I2OFQoBnr07
o9B3GM0OToittPCL84wE4FdD/D9aSP/eqOZP/9X0u37Djv0abP9XHTc4fR24F50hVrl39+0fLJs/
1rD/1/9D1P6ni+kPf8XbuorAHXgjMz+TZhHp2b8p+V7WVQyewmZwznznvb2TddUkGp2QdJU/e4pO
fLeuQoBAPabxdqaX/Ef2Ts34XuH9urCqCLosk0Hz9yiAAitL6IGuJ6z5thmyg7wBtrryDfowxJLO
nWnFWKnVlXGLAYdDN06eqggQyN65oJMCV5k7rTlXo+STJHs28pl1AmpWVrZTrlsSlN0q2frO56E3
SXjC4tkEd033ScelrAylhd7q2oBS2ekDJV25MpRz/C4TBWLjWjetfvSeKBaRPRFRGCFrPWRlM3et
Z2ws84hKCMMKx0lw/Cj1sK4e2yRdDLAqY39YJxa9L5LI572JJ0tZY4YpV5gVIU018bH3P6USz1ja
fVZliq1FvUyKEXyrB8ZLGEO+BL8+N9PHOr6wgG1CTYpquu0V4JyO4QajbJ5SWz9pYXjtxePWMMqV
OuhQHZJzuhPx3Er2Rk9Hvsrzi6oheaUg7hnnzNIK1VOsAVfOwVsrRvZFUHDM08L8qDIk4GNaEoy4
zLDVhm5HfRutBpy3JV610CoJpq4ORlCfastAY2Q8RrZ16jP+1m4YxCzXdHr2w22mjCs9ochkgEYk
gEmYvcU0wWp5Vc8PTl6SN4hJqmpmOsGxQIQd9v/Kuf+HdLzX5Rb3PsC9KRXtu+Fh1KpVH2SKJNA1
uS2BXM1NszqRpr3xO2spdGYvsW2d11G6jvMLkfRroZm7OsHWxQGTwrnCCgnIfWsFMVMDFRp7tyrD
CISVa5yIxmU+IK4NUwAMDqtFYQRQq3dqY67LPN1pA9u8s0yHfJYH46Ugd8KxGVpo8ljzEeZD8GzC
+xHRR4XLPOXPIV9deWHEZAw0Jxts0U2TrmrvSBTvPZbcUtnko3oqRblqDfM0qHJvmd6hx8sr+2Sd
+PVNSMXALcmAAq3lJ+KgIeg357C3jzA/CPrO6OfaE6hPcldGpPMQe7Z3cOwW8VqhiygS53MCvSyO
1Y3XTfoY+FHUXeMeBN7ScdyHIRerDD9twgtSuwcV4KPhnOXiTtc9uq83egnmyjU3FMA3af9pDEW/
QwyaoQ3RbNDWBq5IRnZKaCz9XGNiwy3SWSYiO7kpjPJJ7fkb22S48JBcUQZnAtGp0ewKuq65NX56
t7r+4FSgf6clfnHZIEqbeAnYPeTLpv2umz5mqgPNHdSBlUVfPIyVLpfPLbVPRenjeyjPNbsERxUd
x6a98KoSDk1/DALaI7QEaLDayCxlCFY3p60qL3w9Ye2qrypHog6ro1NIZlsu0n9xd5sv6M/3pxkG
ChjoaNkJ3gLu/e8cOxXt6LzVcBUUdgl7T0fJgVp5FNm8b5Cxlpgd3Nh31ggRaRpaGyVhkSq05gH3
TJ+n68Inz9tWRoEepxvnOTLIHdHWjHcDJss0mXQLqW7QXrOwro24PwVhc50r2u1okIlU6k+ewP5m
VjPXcOpFhnt05gb0DEFYZ8ueAE36Sfqz2vg4guta2aPmovkCeolJYHflt+2pY4iQW643C6wUY4DL
VM6Sn2h2aODn2htLiy/a2ARXJfJnIIP+Uhj5TVcrz9I34rkTWM+WghbbCu/pbawJTolXQnvO42Dt
M/mWKX+BV2xLvHwj9OPaFx/o8K+hFuFoLz939KIGCvYs6ZYIwj21Q0brkwEl7tJcn2G+BjnQI4qr
D6oSnKqa3SNXddyOdOK0NJr5TXPHOfi2UHXWcfN+jIpbL+jBsqcwCuHLjUpNLB28Ig/2C6ABQtY3
KrkCaR0+ump+TejueaMbC4vQsBISkRU6Jy9Vt8iCTp3pLPTYuU40vZ01ibVoVLkkrGceeIKQcHXF
R79XNY5zbccuE9wRlLNpSXXBzT0XA13Afe2OSwS0q1qSemWTuVrdh+P1dP6n07nwm53Mo22Yunc4
McL1YNNGZKy+KtJk7UTj0u/SZIYA6jny/al7eKJPtyjK8GOB1xuaSQj9CoXXfDTMYkZWdn0XJvZl
hnSMMMOC3HeUnDJvT4EIkTaA51X058BJtq4i70zyjV0le+KwusobMO+cRfcpjyGd6+xUF8TSj2IV
Zox3O+sq8kJybrCDjnhWilFgBeXI7Cr1QmbNqgq7hQtBmZ3pPtQ7nJn9JmlwRmH1xApWJ7eGn957
ldj3pfEhZlCAvf1ejMVNnzQ1aRPNtnDt51E3dm7jW8uuwukaa95u6HE6060cFggTCL0xxz0xfTN4
4RckzZRrm3gEk8YmXMjyKjOGh6hgah019b0ao/ginSubBxh7SrO+bUfnvLUhiRlqsFSibaSLD5aN
QbTWemQX4Y1WWfeN3uzUvv+cYDpn0hQviLDZKB0MZVU9gYMAWuV+SNBaOSVzKlNeWY1CFMXHkUBR
kNNz6frHqg0u4SgsB+52M8yfxwDiIVes7+V1Pxh3egEMph5p2RZXBNW1kfMsR/VTj1CPKfwKvMNj
iI8JokuLtUhcwXFLaP+CMTSVY+kcc+0ojIu0uWIKfyrpZDYG9AADWoA+q0PnliS4OYD8eTbWJNEY
9PL7hR5+iQKUsZ1DF/XeljedIJqoR9EZPyPiWWj6x8a7tr1kbTkA183LibvuVRixGp3bRYEreNUT
vDfzx73q4pwYzBkTrk3AmL60V8JMlhFqV8mUDnCU1j1impontnFfN87MGniuI/3ekdDUuzljNdWD
58haeVe4ejRvEFd4weeumvgHz30Isi2Xn3tAmyvZVp8xHW8gcW6iQHtqO2IrGukDfCWscqCbNxOy
AyBWYDzOnG2IhID8BwkPwEs+BJCklr0+mE9KSYaLoziLjAb/qkMxJ8r0xvcKezGG2o2MlI/ZMNxl
0fgCXBjdGs862uy5AbFhSyxGvExjh3BHK20WbZc+Zs24dkYb8hndtSSgp+xwnCKL5loxacWWar7s
poiJsHuoLY7DWrm1Ohd9bk3dadmfk7Y9l53/xRmaG5lidyiArYUhQsys4miClpeoVBsru64QfNnW
N6S5cLRLlhzU9yj6niMV95y2pll3bppkd2flAa0Hq6958AuBsqleO1SMC9M1GIuaA+6aTiiLDhHt
ohalMq9MWS/jSBlm/9sfXT2mRSyXsNlPkT6hN5zmJlCT+3L0kIFkfsTd4F4ZvnbOtQmWLhl89IQp
UzObUY+dYv5XaRQzgLSuX04H/6gkvckS/vueb/0Tlebbb/9hjNxv/uDpuy8c55ts+X0Q3d/6R18l
Bj9+ob+XS/eqM5yil79p8b38XS/BeH/1MvEDoMvmCYaRQT2pSwMfNdbo6YsKGJ229/Zt2zqbLF2a
Tf338sURjd/37jL92YX46/f4x9S+P77OX72Bd9Ak2n4OprbvlSX/9ELo2hm8NIh3FBc/uBCOfsZg
hvhXlSr933IFWDrSeso79DAmf9Ovnaqrv3MTfPcKv98ExA0iiuGtTcfs6Yv3+P4mkFPDFjU6as+X
r9dr/QvdBDZjRX2Cjv6dy/Adtuuby2BJbgK6K9++f+0MTwyaI7zLr1//plvgu7/83UPwIjo2qTN+
7gI4ZwC9IHpZP14M7DMNhithv4QLT1+vZtZf6D4wpP7TNwFiMXpdtG6RmU1f3y6IDt9G8kyX7d+1
Dvz5TYCA7SdvAE2cETsqQH+qr5/wdw+CPJMWHGAhYdpMX68Lzy90A6AJ/OmNwGIxBHMruQqvX98s
BugMHbYBLtCksufrl7sG2tuO+LM3g26cMQ1hMXTe3ilNune7Ak+CsEwNx/nbdfr1jgYMcn52STQ0
nPOMg5hi/mg5sO0JUkP6C0PQl69fb0lkIsAH93P7woQP4CJAovzRRXBU7gSLE8TXG+UXfCT0Cavz
UxdBQ3qsqaZumj++E6wzjY2DbeNXXRemWdPfPCl+t8e8OyJZZ4iaOWs5b/XAdxsEcmom8BCZQCJN
X8yUuOi/0AbBLGtCVvzcnaCembA00PvxSu9WRIolk1hoFsW349Ovd0SYhPE/+e7ZFuDHUhHin3z5
+vaAZDtnAJklAo+3Q+IvtxigEtFfl+lXecBvVfg/KJs1eYYBAS4vB4EfXQQWA9WR4LFezwiTDe/X
eg4oZdSfXQzoHTgmqSUSZsw3z4E44xFwVGR0r2//l7sFOLRYrx/JT9wCGplhFjviNJ1/vwo4rAL2
ZLV8fdJ+ocUPMJr2s2+bx9+ZSgDV/vZDd+wzaXNXAYR+/frlbnk+LMB/7M8/uQBq9hkr3+Sh/e6D
l2cMKacO0ttT/3rs+oU+/6+Vwc+eB3nwOferPERvDZE/XAjufoPC4Z/fCn/jav3WYp2TgPX00oEN
vlQvi/drW/Ff/oOvvck/vsB7GjtttW/+4aS5fH3p18bL9L//7zcnpZeDzrtvfj34vPyetx9/e4N/
/NXf/K6v7+rr/7kJvpQP5SMoxZeG89ufeXxIaOGiP/Jha57Kh6cvlf9NZ/ClI/D7H/QHZP1vx6C/
fP2qevgmVPG1yP7Zl50F/kP5/q99bd787MtuHsrhIX14/8JImxw2/J9+5SB5eMS3/8Mr/Vpq/uyv
OH9Ikua//tdDkv+f/8/ate0kEAPRX+EXDIm+mSgmRgElBuPzQBv3gotpuzH49Z6224VKF8jOvu7l
dDpt59JOZ0ZT0qhDF3EIzoXdbuC2MiVV4QijjJkELxYSnY2NeWqrJXkcV9XAW9xc4BmVOiPxI+V3
hH4DkzY8SEZFXzTH5ySyXXoNeZOZS/6ryEF+INTyBWVIhxjMRS3qdSaV2kXg12MbY8ulelFXBa0C
jqPa241c4DcqSJuMooOMxkHlYndXge1OZnzRJFnSV75B/mJRH3KksSW5VL8bg7TICSE+9hs4XPwP
qc3oXlbIMBlR701CLvqcIMwhsExc0aRxtbjoj3UBdHNId3viw8beRqvS4qIOcGiqv0SBVm4vWLzk
6+0Ko/ukbXZPHcDtesKOERJcDyDU71RddasnVJa5clGWXHbN89+tis0BQNvL9QNo2NM1cZirNx29
fTgWriOIuA7P+g/+mUSuzJ6czpPABT+Tm4gJ/yBRtzYw2JkH7dEld2p2xuA3oRID6MMJNJbIkb8+
NrN9FwaYN5MsI2NyfdTCPsiByyWnZ6i0HYmGoWlhAFvqGaqgEx/7xdweLCWk6Od/G3/v3HPxZyTA
n0CnE9I45oK3i4JbiIPAtQtkOA+v+8uItDzqc5vk5JJM+ZvtjvyxFxoCc1K/xS62/WK9kaRu/wAA
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plotArea>
      <cx:plotAreaRegion>
        <cx:series layoutId="treemap" uniqueId="{B222B94E-46B4-4990-91D2-12F182A94152}" formatIdx="0">
          <cx:tx>
            <cx:txData>
              <cx:f>_xlchart.v1.12</cx:f>
              <cx:v>Sum of Sale Price</cx:v>
            </cx:txData>
          </cx:tx>
          <cx:dataLabels pos="inEnd">
            <cx:txPr>
              <a:bodyPr spcFirstLastPara="1" vertOverflow="ellipsis" horzOverflow="overflow" wrap="square" lIns="0" tIns="0" rIns="0" bIns="0" anchor="ctr" anchorCtr="1"/>
              <a:lstStyle/>
              <a:p>
                <a:pPr algn="ctr" rtl="0">
                  <a:defRPr sz="1100" b="1" i="1">
                    <a:solidFill>
                      <a:sysClr val="windowText" lastClr="000000"/>
                    </a:solidFill>
                  </a:defRPr>
                </a:pPr>
                <a:endParaRPr lang="en-US" sz="1100" b="1" i="1" u="none" strike="noStrike" baseline="0">
                  <a:solidFill>
                    <a:sysClr val="windowText" lastClr="000000"/>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ln>
      <a:solidFill>
        <a:schemeClr val="accent6"/>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925B776B-661F-47DC-B152-EFA4CDE81754}">
          <cx:tx>
            <cx:txData>
              <cx:f>_xlchart.v5.9</cx:f>
              <cx:v>Sum of Sale Price</cx:v>
            </cx:txData>
          </cx:tx>
          <cx:dataId val="0"/>
          <cx:layoutPr>
            <cx:geography cultureLanguage="en-US" cultureRegion="IN" attribution="Powered by Bing">
              <cx:geoCache provider="{E9337A44-BEBE-4D9F-B70C-5C5E7DAFC167}">
                <cx:binary>1HzZctw4Eu2vOPx8qSZ2cGJ6IgZkFbVv3vuFoZZkEiTBDdzAr79Zlt0jceRlanxvjBUd0ZZYBJJ5
kNvJZP39dv7bbXl/072YTVnZv93Ov7/M+r7522+/2dvs3tzYA6Nvu9rWH/uD29r8Vn/8qG/vf7vr
biZdpb9hH9HfbrObrr+fX/7j77Bael+f1rc3va6rq+G+c9f3dih7+41rz156cXNndBVp23f6tke/
vzy56aqb/qa4efnivup171675v73l08+9vLFb+vF/m3jFyXI1g93cC+iBwL5FFOK/U8/6OWLsq7S
z5cFP0BcBIgREnz6IV+2Pr8xcPsPSfRJnpu7u+7eWnimT/9/cuuTB4Ar/3z54rYeqn6nuRSU+PvL
o+pOw1NrW4cPF8J6J/3R+afH/e2pzv/x99UfQAGrvzyCZa2t7136N1SUBuy/qOW/RwSzA9C4ZKDz
5xCRcNkPOKcB/rLnAxTfFeN5GD7ftoJAXf9SEITZDRyQ9KbLvujkv8eB+AcCB4RRyZ/DASxDSJ8h
wcSDZdAvWz/A8WMiPY/J43tXwISHvxQwb/r+prspdvB8Uc9PQQYR7GPO+YPq5VOfFRxgnxEcyIer
Afuy9QMyPyjT89A8uXmFzZuTXwqb6L7M9BfV/PeoYHnAKYQJnz9vL+IAIUYFOLYHWPiXrR9Q+a40
z+Px+bYVEtHpL4XE9U1+Y3swki8q+Qlo8AMmKcFEfnZPwVMbIQeS+QhLJB6c28pGfkii5xF5dOsK
levjXwqVeMjBd/U/ERN8wAPwWgivwEAHLBA+kfizP4PLD/ndg2n8gCDPQ/HXjSsg4l8LiH9Wd1l3
8+Kyu7m7tz8xwiN2IBhjSAb+50jx1EaCg4AzilhAHy6vct8fF+t5dNb3r0D65+UvZS3/tPbGfDm3
P8V/QepFZADoPPw8wSbABxILBsA9X5d8V5qvQPLwEGskXv1SSIRZdtP32v7cdBijA3Bdkgbs2UJR
4gOfIoDEX5UlPyrN84A8vXuFS/j6l8Ll3b3tX6j7Kr0pf6Kd7AI5+ChfiCcGIsVBICCe0M/2sU6C
f1CY51F5cvMKlHfqlwLlUJsb4G7Knx9dCDoIMGFgM88ajBAHmHCMCJcPGdgqH/5PBHsepX9fYQXV
4f92hHmeAnpMfD35xH9IfGF8QBgGd/UFHvBbj4mv4IBwwiErYw/wgHk9zsk+E1Jfl+Z5TD7f9kTw
/2126xjIrZ9cv2NywNkuC5afndPT+h0YLsYpVPj8c+hfMSs/JNHz6n9068oWjn8tXuXkvrspfyYN
7B9QGkghBCj7sRnwA+pDXULR56J+Fd2/L8fzQHy5b4XCya9Vt5/d3GXu/0FhAgbCCJTmjH2ODStS
Xh5gKQNOyGcqZVWY/LhYz4Ozvn8F0tn/dth4Ii00TT4xdj8/vGP+EN4ReogP/lOMpA9OjEOE+eLj
Vhj9sFTPQ7S6/ckzwyP/Wgid3UCMubFZ3/1MjxYcUChVJIEi8dPPU3x2jS1fBgR/ru3X+fEPyvQ8
Ok9uXmFz9msFmsuhym/+/JL7/Pd1PXRVJMXAqeCn9YpgBxBjpB/4n/nKlb18X47nofhy3wqFy1+r
Snl9Y3T54vzmbvh5SCB04CMO3ks+Tb+EhJAvfGihrFLeHxPieRge37uC4jX0cH+hfPj1fXkDJXz1
M12VOIA4zxlwXU+Tr+DA94Md5fLZScHlxzXID4nyFTz+9RRrOOL/v3B8vTH/19hCBDMPm0/zDo96
89+++umpYQxjdetn9T3rxh40e3T3+0ugTXxwP3/NUewWeaL4L07l3265hzbO7y8htgAtSYkPBb5E
nPpQ2k9A/sAVYGskI4GUnAoKfXzItqu667PfXxJ8wBASIth1yBjH0JCx9bC7goMDBi7ThxuZgJ4n
MGxfHu+yLl1aV3/p4vPvL6rBXNa66u3vLwPpv3zRPHxu93ACjJtxhqE/iiFAUuhvw/Xbm2sYZYGP
o/+TpmnBdYWreBhGe9ihYripNG9UKklySUrPnkyt76LSo/VJNcpMMVOlR90s85PAr1A4QNr6VlaO
3QWdX4UtFd52N2MS4SmfT7yiyjYL9bjqGEuOqdGpSuflhg/0ss51RAbsFJ/NieeVNJqgJlGiTgbV
BfqcONuF46Lf4preJXQIycjMcWGbNsamRIsifjFv22YQocNSb3Qu0JuSaU+qtsjKY7LQ6qwp3HJR
IWFuh6L2Qy45/9NpnB3CftNFEzhvi6mXtqrhNH2L/ZGFnTc2IXWDjrogKf5gZiijdIFdE0NSowpd
NnejT8Yj2tbpO2rsdORVNYkER2PUVuaq0UV9U7isP86RM0dTJ+eLwZMyrjM2E2VtjWZV1PNwmZXz
fOgVvDqp02m4dsayOeQVzlTW5/iNQ0al3Ty/0jlJz21GJ4WTsY49Iy4xrcY3feCn922pu/eaT/TK
+P6kakh0LrVsSTh3dbMxPNGvxtzgowC7t7kY28uMafSKFC07GkDXJ71J9OmYyertlMx+rH2fqNmm
OoKjEXZtm99MbaPPs0xmk2o1QoGqJzG+okFuzkWT3Sc0keGiiyG0A2/fc+2S0KOuueVL8tHlTi6R
COZ3GW4Oi4wdDwMuNrpB6GqUhb/RMi8uczEF7ymfm1PkGnpCTEeOhmEp72jhj8oWXW2UzTN27iri
nVdLI63ywVXeNmxo40am5sjOmVNF1k3HxqfJ+VRW7aEoqQl7JNERqjx81jpxn3QnCL8nOezsQ0H1
ynqmPi6ZtdGSVIIpnA/NZkldmobGa6pFAQjmMuV1cR5ki40Db3Fv8FKii6ocujCldfsO2cWdly5I
otQf/VOH2zFKW9OFRIxTNCAASCGOgzMzDV2tsrqxh36WkGioxl6VHv84TFSe94PoNy1ugy3v2znM
ajwf9WDM5zwQb1Kq2ygoWL/VWsitdZ14HRTeuG1KU97wzGsVt5rokHEvUUmRok3ecavaxbntUnle
OLuhDj3ntxEfan9DFz2oVLv2zPDaHeJ2EHGZ++bILOKimrvYkKpRQi7NWSITGrFchqznSri5iZd0
VI1pVZcnoRtdFU64/pNlLka01Ccpm6VqBr+4amaut41nu7iwWFFU0C1HHY9xoqsT4OLkh0LPblSp
X41XSLfTNa+aD5SbP6sl3bDFntpK3OZjxS+XpJCHjdfRbYdMAs5nt6LpJAknNJVhs1xPll5LpJ0y
ZddHbZu4V2mge0WmolKJNm04a3NHWH3e6WXe8B5XIRq4d13zZniX1RNWPiqWuCu4fyHqvA9rV6ET
P0/749oSuhn6Rtz3ski2vObkrBsIGJMv0CbRInhFBAatzhSD8wjm0I5jG9asXrZwjquNRG6qVL40
87vUJPKIiDzblIW1W+yL+ngWng5FMdp4rHN3VNRsThWylh/ZJV3iZEiWS5kubJsKYlVCUqFc4uYo
7QBtV7AsZEsVKORlfVwEbbnxElGrxg00xgMQC4py8meTo6yFT9futO98FBq/n4/9ok7eucpbwrEu
mtM+mMZjv52r46qc5GFmgurPiVX9yZRhP5RB4V+DkTcZTJKJRJVTy3U444m84boWOOxd2WyKah5G
ldBMntsUHN8m05Js8zEv1Zzw9G4OzBsyte2mcTr2SuQUKOKwpLWIIGCw92PlXQ12OncanjzJw2zU
VdiNjqVqkTx/36Vm2ZhS5mHu+n5b17mMkq4MnMoxYxvSZVbZYAD77x0LrUY67ivmX1pRbgp/KFWW
BqFXJaPKA3E65GwIB5KlYUHoSb7UVgE59qpaxvmE1RC7Fato/yrzuI7MMN0VkhSHU52iKEnGs6zS
VznhNCpyb94ucuxCbX267etpicmQNDFh4MEZypdwTki7Gcwy3gdpf5WN4k3Omz5QIywQoqJx75sc
3IZKE5Ozw5EnNLQLTUK/9yNbJl3c+3ZRi5+4P3QZsGufl+MJrB6WcjxMxvRDX4DXL/VrQsQ5Numm
9uwUmjI1G9t7vmJl4oXZbLPTzvPz47ku6JHIeRsm8OTvmAnIB0vyKdKtLI4gShxWfdK8Skuvi107
JCxE4zilymRV835eRHrSctdfCOOak9oT/b0JqKfg5O7CoNMAqqm2lvEgEosNri3XSJl52HB/eD/g
8TzJzckw5cs5MulZ3WUYwmxZhUld9ZMKWl37UZKDU52Rf+y1baomYk/J7EIz41HhrEeK5iSuyzzu
gJhRfZuTRnmFKSK09EedmdQ8y+YUU5kq+NQ9si5gW14VoMXS4u4VSaf2tJH3YibTRy1cct7OhVRT
wvAJ6ztZxeOkex7V9dTfLBCG7vPFl1Ez++UlKrJmVI7PLYS3fFxem0r2rwvoUXtR4AqDw6nU7ZUb
/T5yDevOPGeziPWmY0pj578F15NHbZPMsW0rqybsptjHFYoWWcpomLo8dCjjr7wim4+MdIuJeeqS
LCKZfd1kHgTpVl5Ijw2NMtJ767RYwqaGFCX1m/uymefXjRFl6FnBtwMtIXoTYoIrSeu3sxgv62o0
m6rKznvdbfkgG9WT4T3quzfdYqwiVUGuoHSvt1VQuS2EveCsSkymN84vxfuc2VLVkFakrLjNMxqT
Oj1crD7ptTic+mmIpolWabRQkxqwrNps0hEchs03dc7qLfLbw5oNl87zrws/u4WA9nbqxjvLaNzO
Eztv0rTdpogGIc8bOLtuQRB3IQtLsg2ruIhyvrizxlI/TKyhEXG0PU9Yti1ZkmbRNAsbBRkdzlOf
Lko07YSUZ/MmyplPXoP7ladusYNW/ejRDaTw1RFCkHXS7NyvC33izdaL9DiRw3ax/hVkce5VnZfL
lo4Tu0TSQCac39EUElgz0+FkAKDDthzOeG7rYy+rPWUZKxWz2EZ+Q4LjBOs+QgTNh8Qb/bDuvJvc
8ebQtWV5OkkHITpp+aYXdaday+eoXjJ2aqcEXUL63R5LMeLDpp7S4zbJT4w3tx+GfBZvxwT8Hx51
RlThvEmJvpfXXSubiyBBKJ7y+kaWFcgbdM1mguijZsGPWk+70Lb9+5Z3N+1Ys0jjnipn2pj3RX6c
+Mh7x7SR7yszeRvdZt6binaR4U06ABx6CEtQ3f3sJWYDGSW/mpxLwzmvfKYC09lj3hblYd+2h1Ba
8EMy9RyUatLTJPWaSyEhSKV1GZG+Gt41Wd+eMi27D7WuUVSwtpKq460HjodkIZ4Ku0VJ28HZ0UmY
OZOEUxp4Wy6KIFwYZXEzDsmbymXtlZ9iGbVZm1yTriHnXKfNEeRg03WNy+pdl3Y2JGaiymPMXWPP
+GrUfXlXGyTiVvPqY9A0STxPDQ1lCxl0I3J6ihFdSrV4lbnRWGenbFxyptAk8UntO/0qTSHLUx5v
9VvrlxAyysZGeEjSc1T6fpwS458j4cCux5Qonll7lCwGHfqiSv+o6IJUggWOJm8yd7QdgnNPNuyt
Q8hTQz9xxclgPwS2Ta+LNi9f1dOMjycpWwh5SI+geszDBiqBDVhMHlq7C65VdmVzul06lkHCZu3b
IUvooWfn6VyQMQn51Fbn1Pb2xAD9s1mS5H6qpg6ppcn4tiodpG4zSbbFwuUHNHfkJK0MuZ4Wbjdz
j9qT1OYc8k/ODl3P2B9QsrabxaTBfdMnOAqgADzKnKwveKr1+YgyfchoDwk5rdrjGmZHIWrQYDtX
rUQh1peFN1WbIYXMXOoAHWsPsSrEQX6Ol+7C+BlW/cysGkVvjuVS9Fo1ODjqBSKnbOqKj/Cg7SYJ
GnFSiIx2quzrRE2l+8iS5bY3hVPS79KwmWQaoW5GCnbRio4p+M+ySk6SLD0fiwIyRxSc4cYVEZds
DG3B9Dvt5S6alvJDLccl1GkuzpohV4Yt+bbyjQtrbKeTXZGfqb66b6cmZtIEJ3UfuE3SZUHUuDZ/
m2XYI0rMKI0ysLmoHHmveJtV0TB06JRCCha2GFdvUkjgE6jlxrepz7jyWv9V7tJkS5OtnJIYFW1x
nJjxKp94JNIJnIuDlNz3t16K3LlLlnbbp3hWxM0XObV/wvGcVT6b/HyoxyVirrNR27cCam5O425B
pFKFXzUhvIcARzYxqu9yfjGU2Ycl889T8J+bEmjCXW6gt3XreZux8fAG6rzkUOamjAqqu6uxKXXk
Z7Y9HG2wbDyWm0OIFPkxGptKtaORF8PiaGwX0YYVS89GQfwU9vLTYz0PaFIlBteeFTnGEaoTm6gl
wO8whuSJypC2Za7Gsi7TsG68IoTE9zCrTwspJzWk43RqwBUWSnrz+MqyvPpgEgzGQzKU3HZJtXgq
ycRcKj9rZz/0x/zKdMi7nikzvTnq6CiV7DO/hzSTjee1KarzvM/RHxABu/PGK6HMzToQPC9aqRaN
5jREXvB+IEvyFqOBbtoR6hbVawf1qalmd1R1BYq5CfpYNCm/7qq5OHY9H46Yq9k1mSmNhxF3t7zL
Az/i2aA/1HXQ387GLMo2DRjjCM4TVBOcJC2qj3oQ8jDAk1Mjp0Woa9tHsAB9D7X09HYctHnVtxM9
LwSu4wxV9aK4310QwPQKGwzCLLJ/m+LpvilzvIFKSB9n/oguHIJ/DXMShDDXPQJvwNpS2cpDFxBt
0cbQsYCSIzPKOe/Uy/1CFSVNtwISCxWg1lNliYJcYc2A41lyMFu/CcQrUc7eJjB4goS7Nme+8Te4
W2Topww81pjqQ+7G4jjoSBcGff165sVN10xni9Oeyid9VxQ0PxJtd2bGjoS+m9tGkfmdheJHgg0L
gtzZELg/6rbyjnWeZVeP3xJ6wpnd1o3rdJp9fjnrr1//8bo28N+n14b+9cfdu13/+i2+r3fzuXb9
oR2j+den/vXq0Y5F/Os9pBUv+fCC2BdW7z+5+ITRfEKjf+GKd6QfQt/kM58Ms/z1+QcyMxDQmEGC
MEYohxeTOAwnP5CZXB6gAKb54S2YAGYEfAIdti9kpjiAgTRgtLnPAwItOOA5P7OZ8NoM92EqTQos
oOMTwGtMX577CTJA3n7+/TGbCesA/bHjPHdiehCDBYU2+a5795jDtMmcQMYW8MMMRQG7sCNMPP/F
5/4H6+72e8SNBliP3Jaz2PQsg1O+AJUCLBafH95De3gN7T9YHlB5vHwuvMJNcyU24FO67nrii5++
Bna0/vht8YFgflYtMK3xeP3ALIUcioRvAszsctUgE/gqIzlDwJ35BvgY0vbJ9tubfQ0DgP/xZhaw
z6e04pvZEkkg0pK0U7Xj8o9vrw9tp2cfZsdjP8JCBK3f5IHjmwE19AyhiZpXk5/7/NTJvppjTyy8
U8a1zfW3N/zKA0k46Y83bKTfjGK34VgGYj6usyEZQmoHKIC+vcFuoWdO7a7x9ngDqZfJ7wfCNpDc
iumYO5LgsAFWC7LLIsvxGRqKAdIBqA6dUJBUonbrV9nYHX57/688IF9ptOwIR27ORdx5zRSnPVB3
KiUyvfv28uhph+Evq5Q7JB8h1ggDmZN1DFK6FKgwiWUMzvpjU5B2KlSbTqNRgxPeKVQ0qNgMuK5l
pbxUYgODQXvYr9wZxiMJytSZsWQTaFhiFpKu/ijYpPdTn1w5nRocAdRsPds4Z8V7v3a1SsYhv9hP
9B1oj0WXueaWdGxTEK3vfXgd+bTydhT7fsuvXE/tTaxpM+DKyl6Mb9HUUmDmFrGfY5Mrx9OVU940
uGWbvvaWZePP3thFvKlrsaf4K2eD5xRJV+bgbGo6AE3C+UxV24KlRt/Wz1dcJ1/Zpgmgxs+HVMSm
tFBICmPa4S1pl8A/7r0sEFcQlAg/+vZmXzHETy26R1jj3EFqZBsvrmon+KXVMBzz1vS993Gv9cXK
k1npD/40MxkvNTIbl1KvU7MuoLv27fV3J/4ZRyZWygqARiyhj5fEtScXs4UKshk35eSQjlqdAYGz
3zYrf0Joncip8UTc9wPuDyteV/5mqaCw2TS6n+b97FqsnEZbj21CZiPjBhfL66Jz2UUlePB6v4dY
eY2pmCWaIIWKsTfrTWk7QU5T6qCJVDBZzN9R1VdO1G6M87H3yGTaFFI0Mu5K6o48s/gXQYq6EuZg
9vCrgjxdvk6080E5PB5ECzWmn8/0A1+AKtlv+ZX7GEZRw8vWnMdjCQj0O/qaDp5o9pR+5TwGTSpX
ulzG1I4FYODkDFQdkDjLnhusAmsReKwNZtB+gExbHTVAY0ybLhfLdLmXgnZJ+GN4BXbEIm/mcWAz
/VZIay9nnQIXtN/yK0MTrgNuBhihuCG014f9QuZAZYWZ/P1MjK9MbIamIzTfOgFNwbShR9ZgKLzz
gXbfi807z/OMR+IrK3NpnvpmAoihB9h0UZ4SIS6Nt4z8OO0TU2xmoG2r96WR5I+hSqfqO578azkP
XxleOafQdluAoKlLWTbHmWcTAYVDEUDWKPspp72q+nwZQ53xxmyLeUlFxOlE6ldAH/NhTwWvDNQl
3BOy8JLYCG+IiJ5ELEVJvnM+0M5SnlMvfnr+2NjPetenjom/dPVmQcnYb4BkW8rDJiDCXaTW1B8b
j07mkC6yYuczIbg6w0LKHIgKaNJ9R5SvODq+smVZ5QwIcU3jRiSWhHwB7nGep3Y/P8pWhjZAq1rm
eUrjtJnlBwbh59z6ntnPz7Hd6X0U91uSVrnniSBmJVQy4QA9hUUNunP2O8fgK2awG+F7vIHVrWN4
7mTcuynBR5J2nf/n3CAwiQxnfq0qPTRG4QUo/dvGLBbvqbeVgZOpKgFl6PNzmZhBNS22wBsN1NvT
xbKVgS90KdqBd2IztAxtgEGCRhOvvWgvB8hWVswTmGzK23mJ7ZD28VKJXPGuyb/jJL5yZtnKOGEI
M/NmyCXjHGsT4h7lUeJqvOehWtkmlCU1zEDUS4yhbgSiE72rUvq9TO9roq/MDfGmonMJ8wipcP3Z
4Cof4meboXzPc7OKnFk+9A3p3BJDTyk4wuNcRAmRNN4LVrqyZtKMrOlhHiyG7gQNJyJgSsAgvZ/s
60E6WWFo/guA1etxBg1PmIDghaD7OTq6MuXc9zp/SuwSt0iXWxtUaTgyumy/rZmd2Tzj0OnKXito
my4L8qZ48tg91IXFuKV90VRxPwm+5xOsTJaMYgTePJlgKIJ310D15htE62K/epmuTLavIFeBxtQU
15TxIxmwIcodTG99Wz9fOfd0ZbKoN2Uil3yIU1vSE10a6P7M5Z6irywWImlSFIj0cVvnCQo7hm0o
srnIov2EXxktdMNtAd17Bg1BPR8XfdqfDklS7mlUK5MFftQb0ZD3225IJ/uKTL4sL1gnebaf7snK
agtob7bpiGfI2YYlLBr2wQWu+s7B/wqwZBWCWe4VVMpk3LRlhhSxA1ZtEAx7ir4yWtLkFENDagTN
ex86DAlYFczJfrCSlc0WzdJ5nuWfRae4xYqNfF/R19bKZDLIDI2bYALSGO9Wt/srZgfHo8wHZjqb
pLSw+pwHWTjIYlCc43xPta+sNaNM1tCqhNUpvm81LbepTveknsjKWgv41kCpYcxzEyyDiUsRdFAa
8Xm/3GDXRHmsmLknIildMW5Yn8D0EhqxQk3S7xeiyMpWTdZgGFT2h001LpWaMn0/5DB5sJeb2X2r
zWPR7dLBrGo2DRtTZFRxyj54I0xo7rf4yk79hHXEZV6/Ea1fRXbWN3ZY7J6Lr8y0tQEMrehh2OQc
uvc816UaOiz2XH1lp4LkXqq9AEQPBnRmoT1ymYi03K9FtXtR4LHW54HiisLK8YLgOyvVUknOIq/3
pN3vzOCVqeIWhjWHJh1jR03VKY80MGsz4f52P2BXtop0grt6NhBZE1seB7lFkS1yt9lvdfxUO0OX
NCR1bIj7gPyBcnxlKbnab+m1pVqXG+iE97HOvHNwjx8cFnvya3hlp4HWRqBK9HE+ZTAxlLHXdZHU
+wGKVnYKw49eF8hhiD3d67DMxanArb/fYd+9wvT4OEJbeGrsLL1NVc532qF3mBn4nrw9SEe0slKp
pxTGSTwXw7IWJjSwzbhylqT7uV60stMxZUNW0K6P4QuI/Pe0Bz+grF7QfpkGWhnq0JbYL5N6iE3d
LVE9iz8z3SR7qn1lpInUrRh1N8Qw1wPjsaYB0YvvdV53izxTHOyGBx5jGlSc6sYzfQyvLgVn0qbo
rPSS5t1+sK5MFPe47+Abb+E4ZkmmYDDvvZB6T0hXNrrQOsiTrBjijo1EITl/KFt5uZ/cKxulE50n
TWBtL7ev6eDOGLVney3tryy0npIk7Unab/wEXtvw8uRUL/6e/IC/slCEmkYsHvZgCju4ME58kJ0r
93Mt/spEvQzy9K4GnZRZdVWn9RbGhffz5LuX6B4fQtpMjsxAem/qZTzsJnxC2X4R1F8ZZuPgpZa6
gdqOw2iqrOe46pL9+qD+yix12c/ZMIDQjXmzjEOYi7f7nZCVSZZB3jVLASDSrPizm2Gme+H7+and
F3g9VvTQjsXsJt7Hzubo9eJ6HOcDsdF+gq8sklTJXOUapuGsB71+XBWHQRK8/7+cfV1znLjW9S+i
CiQh4Ba6G7ftOHbsJJPcUEnmRIAkPgRCoF//rj5XE57MyVvcTmVktdDe2tpaH8fG3kWkVM0Ug3kY
AIyM6jYI+TeW0WMHGxi4vy4LNvY4qhBHct3wFZhuBpB/liyHAgfskl9HTydgWlm8BOeRv5r+lAKJ
cWRNWLaLyFrUIxvrbS5tCrQF+BNDHo387djgu5h0eCDftq6azlE93DmFx/eRtvOhnQIq369LYizo
Y4HC4KmKn6kdfjRsMwdXZReXGYvBgkuz6Ww0fQZ94gfoSkfH3oVm5JqE0jVC25jQ8NGmor0f2coP
rsouOuuJLQr1LDZK7DmYQO1HxetDBRbLdrG5ZpY5mSHyV7rNbQESJe9PBBVQcyi1sGwXoIPTrALe
aC4FG74FbvmMx4ePh7biHqy1UBoaQOSDs7UiPo1WNjkEVpNDdQQaQru9CKYW+tErJr6uz+BO3q8L
sLHHZr6L0FYnIUtqOpWppO8UAIdn6DKRYyu+B0BZYYC5tMtchoN6YYEqWlMfKlLYHv5k4qDbwGqY
SkJiUJ10ZAowD34eW5RdgG54UZhSPYMMqfgXMa33TRK/Hht6F5+rmcEjJTdGGyghueqT8dLp9hh0
ge2RT33sumwBvqbEE5I/db4H02I69i7P0l2A2oFMso6cKXvgU4DNtiZ4AJFo+3BsZXbh6QKKrMgs
vuiy/T2hglun9PuhofcIpBkHTz3wfiolFx/WYbiGWh/bh3vw0VKlkreKmdIvY30GPZGcAtX9ODbv
XXA2IF9OZpVgfddDIdn2pNM/lZ23c+z/3qrYHmbkAvSDlyExZa2XGIIHCW/fjXxYc9cSuxXH5r87
RGMQcTtQiU2pGvpV1exzMMi3Y0PvQnQFJFHxBJxUQqAbsUygDUUL2AzHRt9FqSBgnxpKMHEWfdZL
0OUsGD4dG3t/hoJAIA04KmVMGubOntqN5V2qannskE52ccpqIVKbKmzJNXhpNHkDZ+YPKOjb6v5u
1+xiVDXxiAszhq627GUOm/cV5YeeodgeVKTSrdLjspmSVpqUQUrml0i45hAUl+0BlSRZwnhpsBOr
0G/5ZsaSsoOILsZ3YarXKpjBajZlt4ApGi7JZXTiWHcYrIdfD//ZMGtZhiVHenxYNvKg4vVYDO1h
SpkTyrajMGVSiS5P/PaQmebYuxnbQ5Ey7JJwJdKUUb8802h8NOF8cN676DQNXie4C8Zy4unnJjIv
So6HLnGM74KzWpmWYmhNybEyIIELSI5sOj2WD/dwoZm2Y9D22Yh3m3osDJEvNsiOlaB7OH0Y4p4F
kYGxFA3Vbe7QqDjbMODHFmYPRWpBqPJLuyFusk0XqeX8g2pCf+yL7qFISxvzCmC4sfSZIUU0sSec
pMdez9kehmSDLoUoQI/t0mcMvLEu3eRU52kG3tehlB7vYhT42TAT4JGWQtQuKTo0z8ATZ+OxdwS2
hxtt0trUaGg5pMEkx2Jxg/5ps8QdvDTuAUeRJiFzWTCUpt6mkxa8zbFC8eXY6uzCNUmgggBdmqG0
ipMi5AB+Q2r/YH6MdxE7K7BIJkjFlBNLxJxHnkiIH62dyI/Nfnearo3hxq1Ym75u+7yZ9ccV4jvH
xt4fp6R3Okgs1r1LwcOfwuniVF/fHRp9jzda6EK3QYEJ3Fax/xz2lbiDI84gjy3MHnBEkSdj6EgM
ZdZV43RJbErBO696Ph78A7tjFY9xsu+GBStPoXFlTPqxBsP82J16DzlKIJABELAZyoTNr42YXpyc
X4+t+67qFdXmqFJiLJMu+9r10H2oGfsT+PVfKrA90GhEyzwNrIasi2nTrwkeFe6s1MvBLbML1TkM
1s1DoahEpGY5B/QlD7YgOR9bmF2omi3AG73C6PGyQcIhGu5l9ycUU3KLmd+UpmwXp2OzAl6XgnS8
cCmqHK/FLZJN0qyyEDoT8k4Pm3u1elJXOtGAl3Ndj/EbKG7J+Iz+32Res0TzO4l3yf6ulR2D1hSU
s6onsY4phM08a0fz0Y0ksKABj5381teQvSo4CkuQxWP02s/JYFd7UhG6ZJA3IPN6tWOQtiVJ1ppd
q751WxGF6Cb8FQDZu10i2k7JiSYrxoRcy+wvYsygHhQq4u1FE7L607RACevrmjBWPc+MB+33KYrH
sUw9yZbSrPi9p2H28bmFelxadAmJZMG3RNg7EfUie+RpB+JWOHryStLM5Qvh5jo0k/Fl2GfpdnFa
Ley0GCbi85I4hha2qhdWCDXoHvVslm1Fahqa5LpvTPTgOujiXBWNZlZ6rLYDa18uV+8D/WS6BeJ7
LFwWn7eVqfyrito+OVaF7NEvY9dAncRnfZmh2ZbHpH2svTjGWmF78EuInwZ9wqEvt36o9KkPXVuu
Y9gcrP7YLtvfVFq4tLQveVz3aFkFORE0O5Ys9zA1yqoNVbAaypprKOLJ1yppDi56+usNZMEz0qoI
5h3bqpwydV/F0bEsTHcpPgalfovQ/ipJlq15FWQyz1TUH1yTXVkGUQfKJV4cS0HaNl/l+JO35ljF
SndJvgU3d+mSsC/tZocn0L+au57O+lgeprfs/w+AWs2b0HaET6Uwkj0yFN/gFdj5y6E8THdZ3mix
LMsAIUeZCvvJpKPHSwTUow4u+26fR10T+YDio3Kh4/VMps5CACmI5Xg6NP891GvWo6sgNNeXeKj6
CZ2c+ziYjlEuGNlt9sFCBAo6jdCugJQKy+cJeh0FzVry89jcdzt+iUdPF0uGUo2ZT6E2OlK8saeE
HMNiMLLb9G7oVBSuAgUCnIJzm7j23DTNwQJhj/caEle1XuAIxxsNBDNsBBGNwIXlscXZbXsXgssc
N10PJqpS9xyCqzd1GsOP4fsZ2W38qe0EgEw9Mllnk/u6o+FX3Gm3Y61gsitvklWPXk+oV9HKWq9Q
JbVlEs7JwU2/q28IVTZrbgm+bbQoJgc9OjtrfSxm95CvyESrXXFPLgMonP6nBtr8P15bfQz5yfag
LwgAd23dSogS8WQJrjKDcm9YORf/4e3wX4hvbA/8Ah+0qriCYB6UUal5G2Sz9EWVdGQ4uakP3sAI
ewqCTLUnVHHQ7BIZLqOXGhpc/bGvv8eHgUgLXcEW9afbxjotAt1CgOImVaiOXaP3ADEeUo87yy0z
VXNUPUDKGNoJ27jNYXEo+vYQMR9aA0oqpJhh9dHIfHUtVMpayZaDNUq0C28+eW06qEuVmyWALXv7
Gej9H8cmvwttNettzqzvysF0U7EK+tPP8dGJ7yJbjB5SqDLRJWrbiyLynpDpWAvgvxzHf5z0OghC
4aAgUkJYaSpkwPDU4PyHY4uyO4nnWhkRuaWDfqtJz7YmEM+Mm4NH5R4n5hKYpXf4omVj1uC7bh39
YQIcN4fmvgeKQTmu61kX6RLlylOy+Ac1imOvGHucmFjxzshN35XTSur7SJkUQsS9O3aI7aFiDnrm
6SKpLqlMe5G3UMm7rxPb1cfCdA8YY9naUw7NtzKJu7YYs/ROsmg7dg7sIWNm6ISosqYrM1a7x8lo
ViRzu7z87296K45/c0e/6dr/s6zNnNwWB02wUnk2omoOJ5FB1i3q+zPHxag7VGPRPXYH8hxVNcxG
ld4k33FRf6eT+vP//gW3VPV/fwF09X/9BWwJ8TQIOhYYgn3VQibTLv9xFJJgx4bfLVCDWrmrq06V
2ZBW6O5M6RVCaPZQSFGIXf2y/D20xVdvMHkIlOKOH5Ehh+bDsXRA9/idjPtkiyc0OyI3R9upa/D4
W7Rd1y6HLovQAPh1+uniqgFlhCqhSrudUhGGzz3IU4dyJRrQv46+8QY3cjcGJxGJtb9vwyh8IgT6
7odmz/bAxnTjVcqp6MvQ0nnIsYvaW74Ps/5YgXizgPpncOmgmcYla5AwY/Jq5/ADFBwPbRwW7lYe
kiTzTbqyBw89hk6rwfuSt1F3cNPvVr5DhgwkoKrnKDHVh2ULhteujo9R7CD19uuyqKaLbEgmdSsM
0pdB07icmzg9tOh0D3Ac0PIKK30L2Bqtsn5MXwImmoMLs7vK2W3uNrs1CrAV6IoVYMSOX7zK+uUP
4/+3WfGbbLYHlnFGycq5RTbjNtbvxyjq7F0jl9FccBGz5AItPQ6hzlit/WOw4VbwCDXaUX+Bkyi7
WE78NWHBBr1dX1nIH2yBlO91F6+k0OO4NYUXdeW/9xXUei/dgDMXfh3t+oNqxh6WoZ3vt6ZeLrSy
ENz2EKmo81A3zL/VkMpuX+RNSOKta1Jo2eLCBhnlUBtX1CGQn08tJKj9Cf96at5RUvXLj0MpeC8b
BlzjSG6E5LOoovZpyWT2SBoijh2wdA+J6wMZ9+iOypKs4X84GV+ySDwfm/nt1P1HKYm75qYD7mRJ
PXC2irAr6ac/KV3c9tzvtsru4LM20MJPqyxHaPLSq5m8ctAZB+rh5HBDEFeecYi1Hvslu2MwGjN4
ci6xLIMh4Gcmnbr4QYmPx0Ynv65TvVUWd0QqYXXA6lNQ+c8wO/nTOt0W+3frtMvCUSgaK42VJVe2
eQWqmr1Pa7F+W9so+ENz8N/+xC4bh1WWCDKM8jytVPITpKvN2OSLQbP92jgw2v5wqf6XT75HzQGe
ICCcrcRZNLOUFxuvEdBhgTo32qekAKL7WFeJ7kF0AqK4GgYKWLSOBAC68c9IRAdrqmTXcQsgOIJG
QCfLCM9xM3WXmUYf/vdO+pcvsQfRJRRYTg8O7kmKMZmvmZriS59mePfnYlHhIXQBTW5//R9xHWNs
DtOVADIdUPoD1138lY3JMWor3Wt1wZJgbJrNtGWSwNwFmOsUIsXRscsK3Ut1LQ1akdRGddmwlF2G
ZdOnNGsO3ePgb/LrwoR8iJRKVHWKluY+rGjOen5wzXdhvNFQTf2Mob1n0PQeL7ohh+6H9L8PmP/4
nBuUypopk9VJNuQhiQO4WBzr4tE9hg6wwpsQblOdhtaN9+00zWUQ09f/vdlvmf43mW0PoavipF42
GmCzR2I6D4OBWH+m2OXY6LsoDTNpqjgMmjJppuEBqNfPI8wmDg5+y3D/WHLBExEsxDal2oi62Gzu
7sJRHYOi0j2MLthWvBtq05RN246noU4fg8RM52Prsjt31zYc7UT77DRr1qwXQtzHwUh5rKkIk/Ff
V6aG1veoWJedumV8kqovW9MfO8T3ULqtXlehBQopNcPlorNdWHgV/yHz/ttm3MXnAnS+B8MPQTQt
PTTaTTFwKAofW/PdAesh0jMt89CAtQRl/U4M/ZhXpsuOAdIgSP3romd6A+dCxhmIVr0neQprnYd+
hbFbcWj+ezSd5R2sxEaanbTzePZ8AQrgDyvz31btb5LAHkvHuI8gTiXqMtoCujyEjY5BMBIQ23yD
UlJfNnHmYTAApf34zNFdc8U4y3iBhOXAt8tosxAWDUMkyDedxGQpq5Q2yaEOPGW7c1JlM/U0jadz
k6zmElczRH8Deexdje6BN9QR6pWcpzN1ugbKYn4DpXL9w7r+y3beC/xYN0ImJ9mm85bAWFCG0sCM
62B+YuTX7RZLeIzRcZngjQGJBjdvP0NTH+MP0T3sJvCwYasUtWcBxDw8N+q6CAnoW4d28h4y4QF9
rpoFyTQZyPdJ01cNF7Bja75HTNQaN/Z+YPbchCbM14FU56oCdObQzPeQ0DWAWQIW4tZOMrO4NjRM
7bme5NSdjv2B3W7vGhhDpVGdnFZTc5yWW2u7oo55RH8c+wO7k8fM0vqlGuzZ9jV8HFPmTkPGDj17
0L0IHe4PMR2otufoJkLn4hGyASw5BPaH7fmvG35IFjZVMwZfLJS+1cRG2G+RY4BTGu+OHlbDN6ux
nT2TNhoKKqM2R8f2+7FF3x09PaxE4H9ZzeeFwOoiDQKwCVcWHquD9ohQAeBzyAI6n3vAvPJeGvGk
Ejp/OjT3PSCUuWGgER/nc5DhCY5JOCg2W3xsYfYCdI1xUQ9UwHyGoil57vQqv/PQJ8dq8j0a1Me1
G2cY0MKPjKsCOueQJ2LVnyR4biH5m0Nzr/Kl4JZDZE/TC69UvDzXVjf6snGizIWZAafgofXfg6mq
hVYsapHQYpIGMGWJRQEjxGNgKrrX+xrqKplnjtGF6JoTbBAB/+i3v49NfZfMZIsvADyjOQ/rsBWw
ymxPk66O5Zo9mCobWDjrODbnRdrlouuU5FAY9seSzR5MtWnKuTfOnOfaq0s0yY8+auODn3SXyXyt
me/R6zkPaZ3ASXFtC0BSj8H+8ar/a57ski2Zk7QazoEOTAFv0C6nw3ZMuQkM6F9HrxhTJoLB5LmZ
xxomaVoVKaTljx1/ewyYjTa0nI1IL23b+TcfDuunNuz+pPV+O+N+E7F7FFhFnYsswMrn2ETgo9xy
/ECiP/UI/2303V0XDjdoV29ZdmEBWudL8KNX3duhQNqjv2REIphpjskFOl+VyhcPgN8My82/jg2/
i9NI9bT3ocku8aA7YFjbldePPFJdeixW93Jfw5RaFE5DdsmmCO6o5B7udccOvz34C0Jc47wRDK0Z
SuEbHqI7Bkike+QXDBQaGHvBONnfpI+ki1gB81mXH1v0XZi2oapnv/XsBBWuu84MzyE/piZI97Cv
MAaoiGq4V3LAH9oueGSwkz006/8D+YKMUG1oByN2bnVUskGBd107bT8eG3/3rtcNEYwIbZ9cGOzM
oXHOJnZ/o+r9SU/wFoy/SQF7PFcTyIHB6o5fNPyj7+ZqWfTTlIRCnMFTTaorPIBd/W721f/H5fq/
t4Pf/dFdoyrZSNUtLZwpa7gkdmsBU0dFYGgsEXXqUlerVPnYa/jJ5B0dcbav7Wa65Nqrgdf6got1
K3WuvFy2a11tQfWNwn16KLsQkFaZ03bzzuW48Azjo+RROrxbpspF/LoGLBllbrwSQZOHNGuoyM2c
DLgU9RyfDu6dsJv/NphaW/jeyqTRV+ol5J5PGy70iTht4+JMITfarq+QkHNLk8cSHjyQ+d6adery
KLMB3IyzDdrt8i4aJIc2vUbPctY5eAXKYoJT0ncfB6JRO7ZJm/7Ug8Z/NnZkC9wQGSRMLVZIFjAC
Jk3pN7vCdUmGdOq+9WjaJjZfTRTCxy9Ouai/dA2T2Q8tLJx4QOT0vbkZCzbt9tcNpHc3eL2teQfR
qKlwrpkieUpAnKzOHk82MBck1ToVVYqdlhULd1us4XPq4/AhSheeXZrYwhS3r0f4l0PGvysSPiz8
XRvaJj2FDXW0qBPYG3drqtNTqiGAm6+j4GMH/Gbb1+I0Z7hiJQU6JKvoMbOxM0mewoIQvJGlKSuW
oGxELuHa3uNr9XWTmxSVHRzvAqVPVnfk6zhrfnKbX5MftvEbvQymj+WTNyTln+qRJMkTnStKH31V
p1aclAdHhV0yZyMoInieWPUODI0U32tomgGTE6HPhL2EUDVGNabD3su7jdPVfR9T3fQwP1zQDL4m
YCBlb9GarNNWqI7BSUykwU0GUlnVuQAsFg/QFhR0ErvY84Zv2fdXEqORRq5cdmmdSy7hNi/rruj5
6uBYX8dbMC23ynKZHkI7ybMzyFFPvBe2fVtXIm7GrLYn9tLSeFqLXtSMQCW23tQJPY46/ZLOtOsf
stWjCVTHoV1N7oYZzfw8S+OEoIKaZ0ppkcWUti+RTA2/QGBFrg8dcRG62uEMbTWPZ+Z5EeBuhdsE
k0xdc4ishcp+JyoAZ8YsCRtek1hH6amuYPb4HX2QVCFoNOuX0wSP4elJ2lDwN8CzRn1ptwQ0oawP
+/jexwGRj1HtpP+76VRvwZgxQc+eRgRtfe6GeiPXQUft+LkOdBoSpDcpeJwnmmXDUzjPMvrO2qpK
t7wSmRalc8sS34emYf1f8OSE7Tg070Ow0YWjUQZp55irH9Xs4OuZw7sz/R5TuKh/Brvc1wVel3B2
gSrRb++A6ptS/M+wRv3Rt2bxVw0r0u1N+jCKiqFGJP1oGbb5nZDEP81ZKC4hGdP2fWpsws9h2gz1
hxGe0f7ZgSNBYMxIoBsAh3QoEcNO3s1d91Pi5aZ+aPlItxL26aoqR5JF5sGOGUzcW0YZ+ZJywrK/
IyerJ1DIg3s8I/kfYIdo2DLG4iQgEBSc1san7h4mD4u/g3gQ/UtlDYPZqQLT8SXZatU9RaJqoqvr
G7udg7Fu17tsMyEvE77K8HPIK1l9qMdMDMWwzQE0Edswm8BD0RxGfoufYJ09hX4Or3Tgg/oIZ42q
f2/jLKkvYS3hGT+v7YLc6eLU1BfgpyPzbswW/kNBEwB24ujSuPf1GsL3t6r71Z153M9GnEK8Vi0P
soXA8aUSdgBDJUgW8VanU8auehgGns9VYPj3us7aoRDdJOc2T7uoCmEOxOh6nZSG/ebsSBic5qkj
Ud4p74YvdM4wg1Mcighyhitm0QRiMjBgDabu3N0keXII2nn5NDoQ087xYNxXEm7wKg1wvYMuJ6wg
+DuUS+I/FUI4KVpVE11w7eL+MyyR4xgCR1pD8iyn0vvmCnNl4942+NOZKq/HOVmR7/3g+j5vZxzT
LkfHe5l+OLvQ+BM8MgwOBAm1muyDwii3DznM1pxh4oiXznPniI5zcD+7uFRZlMnzAt9iteUimlP/
4NZJoIO5wvopu4MdPWpEMNnq+jrBBi3IvWma4JXH0pBTzbgNThMcRmEDv3nffjKhp+3dMnuXlVb3
QXUaHam2Rwp3recwmtrmFV1kssm8UWrOLlCNF/N9JnGDedrQhUgvTDY47+aqikfgvFm9PmoRtrLo
vYnmgg0mCcBbMFPVOLDn/BR9mEOpQcbo2Dw/N2uYkLseT8btUw+lu2bMl43B4Qa64vnoTBZdI5pN
8/t4GoPuG2nWVD1yRSfssa7Wqv6bqtRjJ2hItk3nXqTNcsEvW9tzrCWbPnK51NX9JJqWXkGi5eqd
NQSmWGekI8VP8DKi1X88pJKhaT7VbXw39Y0QwDaDxIQ9kkJH6b5u5224G1pNgRkmwBCH52mA62G+
zFtHXvE3009wVJ7Xrwqi8eCkZ6TuWTFCflEUAfJTBTPxYX1tCZ/pXZoN4LrEXQewKmxU06DYBjvD
883ASBoEkiWJCjwopPUzphvH71e3wZg16AjDy1FTycC+wY+27+4B3a09qqLOrz9wakydhEZqGEYv
t5caGha0HhP/zocZg4O80X6rrmmLTw+hWQ5HsEeHhDy+h/vFZK7hXGfz3TrzDDbPSAY1NAEElnGa
8jlDlIfQqxPeimJs4Cz+QrNVZTmcxlJ+SZhGfsslda15H85ROn7zZhpYC8/nZY2vG6Ph+sSw++u/
2mmFRwx+JO2r9xKtcfchlVjEe09as546auP5Dud/MAgsLtHL2fkkcQLF09x7fEwjlsviZKA/JtE2
6+cFa7bcjy0QeO9buK43BWvrfvprHRISf9EELt86h0LYzU05UlSJvztopobPUK1n2bceyivy66hG
SXC/giAiLXRL2uROJ/O0oX6rw5T3+RjYDUehWnF8oNqDZCwP4iU5TRBp6GFkLZPgO1TlN1aEONTb
q7ejfEss9vcZPsCKF83q8f6ik459jglwEQXd0qotcBdlCSwL+8SWRCUxX2CmG+rxaajHGpTjCPKd
lyFrVf+O6sEFKudgYH1r+3FeL3HUsOV91IUG+rt4Z83eWNq5+rIoOOU8j6Smf6UTXF5OE6vQCkib
YOZPWzdUySU0rSPv8f5Euw9KJpN/iNpu7JEwGWIDsHgA1dJSQkTVvKu0yoa1SBkTzxuQL0Gx8kYv
HybvRhCiwXuFmzBkDCtZJHDwHt7LCT2mvNZCjWe6gVerLqCoRee0ol13MmFF8CWaWkXvmB1uTq58
uhU/KdC+tSiydInJSdsxjGwu/bp9blMF1aTcaxD/3gaQ2+gnMfH+0XQWFVdRizYoohaqcFuB7L7k
ieN0/kwsZA/uBHcDzvtkDVGmUxB4hznfKAvma4MphC+27+akIDEfT3KrbVfKFaH+JQ6NWy4kkSqC
M4mB5FnEGpqeqAISM59o5C8ZDiM35yau2gku3qzOukJznahHOVXb+3S7GaB64+nDlKY3E3U42Kw4
RlFynIxnSPtOLYG4St7F85tVVbR86IyNCrSlR/J1U5VbisrV7A7lGmwtJVg0PV7dcrO29V09DxDW
YOBV47ClhfdzNsCfPEDtC/ducidQD3x2OoFJPKSUdM6zdpyKOiJcQLN1IHnfs5bfp05sfzOwf9p3
BKGjS99OPns3BsQ8hw4Sr7gC0flR8JR41E4RM89LMABJPq9JwUEjf4cWOsjacBelUCMHk/fdZlLy
sXeBOEvScplrvc4Pi1TZe+GgoH+S2MZFvFpXkLpq7hhj2aPlYrsX0aq+wja9fc2oMkUT8hcVG/0x
brMuy0U4TICdWCXlmK9hk7kpF6h2t8sGe7ftji9EfOLROtzP7ZZmJ2xnXmhv/XrpTBvfb4Avso8u
SJNXoRxQCycyd0lwV+lkcSqvsHNT0OS3Ovy7matt/hjHnMPVu9FrCihntLjt1Nz0AK5qWz1kU1IT
bQOcdcdxIrjHNLRvT4IvUXC/RAyEZtCnXXhv4HWePU3BOs2XBTz/8JPn8FQvso0t84NlQyy+onLV
4zmeSUDuhmZo2GO7LgpurKJbVO6iwaSfqFVD+H6klg5nyDRsHSQJJl5f+2DJ1JeghpdwW8Qb3L5P
4dTWc27jBqVoNtukKYxCjeLyigaUqnyLN9v8WNOYjo/LCvv57zClciiH6jmNsbsVYise8haEofYM
FZ2KlCZVTfuyRrj7n/uOUX2ZE+SdE240IrmON/jdeUw0oe9BqmnjB+BnaXSKsjXOrhFoU+vPBvwA
/d5OczqExZaJpb6fxomGPIegSIoXKd8Stb3gapwQ3IIB2fQP06Qm5IW6S1z0btAIyVeJy6r7ImOZ
XVmPVwk6aZd8iSYqg68ab1q4Jq99DJdCNKHrArsDxVJe2QXZfTJ2PS1amPQzB6d//pQ65Pa/pmnM
SHuKkzHAeVV1cbC8cufbVeQBIQnN57kyusgqqsjT5NN1+8lA91d/mwZstnPawurvw6bqNYPgQNyb
Z3g8x3I9dwvUXcusCUj/zBFlyIghNWOK9FSvCZqFdQf6/l1Lw9rdUVnLUJ+YNygBcsU5F5CB73H/
QMXXjsW2DLdaBDYus3tpZ2OEKzMppPmkpqBfLn0bzNl1mjIb44v5zJnTSNS6fJVZDC4Sr2U2fZ2d
HJfLIEIdFJm00UMziooXI94e58etbZnAJ0kakAEndNkLMywjitKRQ07mk/VQyYUQwFg99oKMpavW
9MNIyTajOoi9H95vSqncwE8zBylMWAp/sbTtL5tL460QsCC1V08nXNDqzCb5NLs+GPLZzm56SSKX
1D8XWJukZy/DsD5xdztXczHBY+KuQpn92ECaC7uORvr/cfalzXXjZrp/JdWfB7kkARDE1HSqhjyr
dkuyFn9haTN3EgRBAOSvv8+RcydpTzp9qytd6XLLPpbOIcH3fVZ6ltfoND1XxTI8ygRvwoYaw8I2
DSqwzA9Tu9YEU+oSkL1fcV3vMQeE4szgEVC/OEerPVaAUD4PiDgXZcZlEVS3yvKyRCR02MXVnOIi
4zRLcKou2OYIjHOrKMPqKqldsGYaN/zXJuTdts2ruMetls9nQwAE4xJ4BeU3Se/j5sxZLV+BxDxh
9DBRjEqVGBLwAR0x0W0fFfk35FnU1abocChWtW4ujQkwma0IGHHHViRlptYFhSNQ0AeHSmjaXo6G
Tu2lzufpfFZqqF/Q4Gw+yNhM08bPBB8j8+KhmdmJ3GkSPNs9cw8xZgmzKdYRszp0TcanrRPdDmZl
Gae1cgVmA8gWLMruEg+8FifhBHzH1FcOgn5UJCYnpAfGb/3QYBhLIw4F+hFQupwu6JiM5IYKiPgg
ChJ9YY82LgrT4kOZl2CCozuvq60PaFKLbZ3E1ZdiRDf8NoRRYPzubdTYjJRArr4h7gANsponE9v2
ZbREuDSr6E5X2Ef2S19PaVTjAFWpnTVa7IpoLt8S3k3RA3VzabOlm0JsO4K11qe1TVryXFVh/pqc
RpND4uEy/7rE6sM0rWEYd+UYYpjtWDMfJDpBkkzGuvsYOG7ZNEFlR4ZakIBtW8mST/CvoSvehCXZ
It8yZ1hlUKq+85Fw4kkVRMJ/XMkcyCCRHZKRJoUojg2Gks6d8XgY3trW0xDnHCvr/gFJbbLOIl06
eqgNW96xOhfruW6j/KMr21VyFHQvNrroSsfGryQPYv4RojKDv2O1LIGM1AW/kINucHYE5ZJFRTi6
Gy1zoWA1ArfEirgIbioSx0CzMXoE59whUHQnrY6jjTdrQLc2tpNN2272d8hEDtmj0tJ+IYRNj0ku
wq+g2826H3L4LQ5kwGLs287bbcwSBPqutVWPeM+b8z5sIGuLazRkI+OEDcehlHLMuOo7lyqSN09w
6vp05PDJKMVcfK69Ijcidv4ylmuZ7IYcESPbli9+P6JWYh+qNjgy9BjjzOvp9FDKgi/XqhjgHrYW
eT8pH+fc3LkZEa/fkMGB5WxaHCufAA1TkcZ2wfsQubrGsSBpSAdMHAL+4yQwX0sfY0ikgBKKAlNG
zQniYcVKNhoyeL7lSQHcxKH/HD0lQq/VPlKBekD8et3cRskAE7hHA8NthW8kpZUN1Zzh2F6MSzWw
MXqtmlKwjCp8O1+HIXfDrh7zuswiJpR7PWldj0Pfdt25F2Jt8Xc0ZLptQubaa1oIh4FtqeguSRQZ
DpBQCvcFUHS/xTHR9zvNeT1totK2IeRyaG7dDi7AIYIcmDN8FoAjcsUHhXXbQbRsl8XcTqSsbdbz
OWzPCLHdukf82PpOOGqT0hbVkOfFOnjcPnmCt6NxwbaRbM7G0bgzOoQYOMuqP19UyW+hXh7hEEC+
I3AOBDVQJvInskJOvkvgkFm+AmfyFg+iKQjfTaKLSKADp1kBD0ztrPpjD4ai+lau49Rl+KRgeE+a
EpM5TszWdlk55gr55QgvkpeISEtEJl2s5qMf2Ii6evRmo7s0t3FSpYQj9nDnJD3dhKS2RYF2xREb
Ew6fZlOvk3RHA1OGTKPBmxa3MfiujxnPzvyotAmKjUWidgAlZhex8GFgmNA21kldZoLZGF4fEy/N
QxUj6WUTIG++emoBaLC06+ey/Br4FadHQUgcnsUi7HjWyaiNNgPQMJsNvQW0lcKX54tNDR9XcM3U
qJMvKASpbLogBVpt5yXnQ7pEK8MEI1Vo3ohGq0LKYfWQX9BlY8W+XJQTbzF+KPc4YUCNL/gUtiJj
rWiim7ZwAUKTFZaCspq67naBgb/ZRfUUdEvKYba3ADDLfi2wqBtADrioPYZC9JrnI8qo5ZRflkNQ
rceQBb6/lAo4bRor6pCXrkr9EXBalVfRmveQguRB0x/mxJLoBhY1EeOe0nR14H/6Re3Q3+j0DuIi
1WVgVfj82rtuIihIXE1yJC3glKeg7U6fUIzFZxNqqWr4/rCAdVcz8MMmg7/CTHOKzKEwOg/iiGO5
5Ib0hwo6C/vqokVOmzyOc7N3OK/dRnOlmm1LaTJuIjTSmCYddbeUO2yDrTzPGeLXIL5sT/VgaEsb
NnVZSX+Wm0AkGXwiheQbJDEEuKGqvAOfDSp0KM5i6+mKmcUodgBIMICtHzHbpcBhwyaFN2+tNyMu
g3bH/ByOH6LiTUuwO4TM0LSgCDH5rpquhZ+rAUNm8DDtMCeyjLRa7uNIRYs/NmFCkwdkRnfmwmG1
9wo/eMVqhhnE0+Gai6r1jwQ/jSRpGRo6zLtTmjUWUpusll3Npw36PCdD4zF8QS+LgKklL4rrpQsn
LCt6pjFucNYAsxIZuBaObTWYOtm/VQu2a8ipFtEFH9pYMmIYEBwL02Bgt7Voqxn02SSHObnmODwK
jIpJvb43JdiIb3XthmbHCtYTh3dX0R5lybGuvjCM+7iXIykY3ymMRuNHqRh3SWpCibRmJ9ic3IfA
5yrUvwD/N69Ss7l5UGQeyM1QgPD5Yk+LKhILlqSNMmFH5BrDNqd0eyw78F64SJiiOy2w+MRb9CjO
4zlMqQV32QoOacCmW2lRiU3AY5OcOwUm6QLTdRJfYCxi013f1o0+EwV1w5HMKDP/RoMgD7L4NLPt
5qEjc9qKyJGLIUDA0xcyT3OFMw4x9JnEZNxvl7lL9FU1GRhdOh4Ie7+2UJFlSTCB5Klo2yNiRhfE
vCXxpPJ76iYc/j36DWq7npEV/doYWZFr2B6dKuiCeQod1FkovJkPy9BLetBA2d2+beI1eACqyPlZ
1YAJzFTQQQCwhXUz0MkG1+YKbOuEqJHdqKNozmjc1STFPXcZq2lh4Bo54jF2QQhp9birSAi+J+5B
8Sxpi4q1JF1Gr/hGl4Kzg/GzXA+KeRL0iHSL3CyB6RXoShtmGdYXPNTT9MAnpKp/iILN3QUG20rs
Wl7O8s45UDObtkjqAu5EiFNvqr5v4/O8aPvmziV4Y86XKGmms2BGpc6lxfcaoXJ8WflNPYuuOPO1
ls1XLHpVbrNgxrQ8buoh6QBbM2S0VUE242ZWJEP2R7yoDXhAkchdA2nwKcJYPCPBMJjCTEoEYHbb
DlTQNB8xgGm8sUbUSt/gOd0DeIYYB1QaZje53FG87TBXSV4261ewJ7nfWdzJO7mu4gJLdEzOI5JL
DHZxgPS66ETjJdE+qONY7ZtajPxibQeYXMNoGcyzq2aJ0IpmRnTIzhTKL2UaupgLcJwRRFfBOCU2
iwFsTN86i8j6mwGxC1O0O0W9hsA0PEf7eqJXaetMds41m6XTp0Y5M8VXXOesPzKYy91h7NVMN4Vd
VH8RTcipAUQagG8dFi3mXQUQP0zJFIZkB47SVJs2KSTWTjVOChMS7Sr64gVq3s/ztaj9LSIZmAH2
XuZ6fac9p8WraoagPQYUVsdjANR3vIRBW5v7FpHUmG16zvxFyMi0fF9GXquLZSnIBIDPR0m2Sowj
KfDlGdxKNU0Q+42GXc5BN7nMLCgOPWp8C/VmXqOoyaCNj8GZM3ZSNNpkJyEmvWotmoG/Bq4ppktt
1rA/E6i9W0+ftsjhdZBmQXX7JFj9CpiP0E3NE6ImhLVin8mmHld7t8Vk3eABiYP0tOY7rdy1JNrS
bCEk1LhZklHDLqH46R2UCnAVJgnN5fUkbEvg7K5E9T6fno/vYoZTHfEGvDiOg1zCNMB5195RrSOD
e6/g3WhSlUww+gNiQlGUKIMq2NCIE8hraDHmV1EpjNvhGEUWom37yn6Y2it/Mayi44/azzHD8jLW
89myiNU/JqJT9vqU4UgPUzfnaYewmzHFNFqcwHLlLZ65IDBvkmWR4mwq4TS4AlHSIYMBs/EKaGts
gFpxFFcybl5gXB2TFMaiyG19rBqgdnosbyGTCDERWZQy39ZQNuK5iI4NZDdKm+TyQahAQtzbB+Cz
7L7P9TiYtILfj6VDAh0BzcB96/kDQFIB8BaATWBegFasFUljg/G1TjlOWQMMsR3g9kgRUo+9c+dh
D0U5UO9ZXD7DYb3MOp0dSmzGfWcNr+rMjcgPxxwaxJ6HG01LSDk2/zFpg3hewpM9mCpqsgCKoCkl
iRnzDEHJ9CvFnybn1pWFOsryhP0WWL+9Op2ZLL8eoklvgRasM3StJCfH/8hnH/hlYu0BQd3eb4K4
HuZ0XUp+DcKqnzdxDvP3n1Mw/ZwsFC+s74Z+areBfKrZfWz/nKTr50Ah3lILugavS6vbBKBFxf+k
hebn0rkBgYcyr4TY4TEZAESSNriccFpPf+Dh/Z3AKlAGv1VHAgqLDBRpYCYI7r+xHCpz3jkyIEZw
0gqAU2Rr1AIIOUY3fgJ0iwWrJkE2EI/P6d9LqE6qon+lNvpJWFaAovEV0WI3oM203VTwEVxCPDhm
mNdAP4KLS47//m/6PTHVT1pQPU641KAp3iEQYBR3ZhnyeaMKzLkbhycT0kmRSNJiKvVL/wfv8O+I
LH9OJ6qhD8PTJOK7OEEnh0HszHYE1vwHP9DvvfpP6jOFRr9JlJJDOdK9Njp8cInK/5x1JPhJHoox
fexUkfPdgtqPtNTLsZpb+idf/CeFmQlD0w9zzHfAoLcgUqs0D4E8/vuP+ffelZ/kobm3leGyindF
QCY8022ehiWe/n/u1U9/6z+5OKNGUaiD8L5Ea4dsXiPRMrkOd//+xX/nCv05mijWYeeUr3G5lEJG
7xMwJZcF8RKhVyiJOpWqGWrsA3wlXP2pej76cyJMmRROIEaI71CHyh/ZqKerOgS8+u9/oM/D9V/c
3T/nwYh6oYCFCrbrElkCgZb94kCu4H8fS2jiB4bJG/+lZ2Ef7ytV39drdR/iSuOHfKrmErtKUW7R
zvjuLUV1c2oERrIf393/efP/WXwMNz++j+lv/4Vfvw0Ky35Rmp9++bf7ocM//3X6M//ze377J/62
/xiuXrqP6eff9Js/g9f9+9+7eTEvv/nFFnO5Wb7MH3q5/Zjm1ny+Pr7D0+/8//3iXz4+X+V+UR+/
/vLy3lX9BkuPrt7ML3//0vH911+gLgzC+OSO/p9W2dNf8vffcfopfv3lv/Xcv7yVL+1fbvTL+8dU
/usX+HiZzK+/SPFXFvJIBgnmphCqNBzT7uPzK+FfOZMoA+RhiKTvUzBAjxLU8tdfIvlXBqkMfncU
QewgIlzm0zB/fin+a8wDPA3xciKmMVzz/+/N+M3H9Y+P7y/93N0MVW+mX3/58aD6x+UlgPmiaJDH
jNEogn4u/OkhMhbI1a6Azx0huinqA2qxm2uB0cZsEOtiltT7ua0PXYvhPRWQj2KOSvp53AyijI4k
YfU2DiN9XMuex5dh0Pg5tb7C/090qp7XSskxLcBCabgUdHG2DhBe9lxHQM5dQIurgfMOWhG2qOe4
Dcp+M4QViqLXPizitCm6KdkiXFg8TA63QmgwqaWJsluInSKNb4W9gnRomm2OSDhMVGDH2w3IimTF
ei0d0lnmujr4AUK4DIktS3QYsbUhk25FoyuxvU1uaDTinGMKk3S28LC47APKviARGFIyEFCCpWAE
FQR5ZJxOtXBd8L2soKncjkUizYYxwm4R+sWQIZR3xdPI2mjeI9dqeaMxMTcK6jg0jgN+yRJwF3NK
NbMvJZbgIz+xAWmn4uqZkXg6YFdKYKYbguCLdzGCWbooPp4O/BQ6bMSZJzUyhVMauhx8YbQ8ha5A
6G+/RrlJowCjR5SIuc7oqpsY6E4ND6+aBL2MutBdOr+Sc9q1Yj+urFqvaAUh8B2ksxCIaLaMxQ7S
RCofrenHI9S1UwgIEub1bO1PBBpM8mRo0xaYR3UE4MGD6+T0vjRbBOJOclejEiW5n8olaKGD1WAm
Y6WeIhCd22mxpzerPOL67jOIUt0WL8POkc42HpIGyp/r0KPwAWqT0obXhUgKmxKsHVntYMgP835M
2Rz4W1MF31Fhsmx7bEiZm6IcdPIMOkblsASNYbQD0bQARM7XKylO4mRa8XRZmdlVTbj0acE9hG+Q
WLANBat3Z6UHpEGwKeAgl2eknbstyO27qU6KK9rax0jROoPg4ULj+sgSyd/Drjv2Vh+dL/o9aRHj
xycZZada0i1dTX9ZICsViJxgtx1V5AjovslqikbOdgQk3LEuTOWgzuZ4vCgLwjKQyU265sklC4Pp
ErAHNC22Gy9aNJHgU2XlO4IlW0Ql990jns79laUNP8wWwAjW4wXsTYksfjsV102ixJZCrHcrNBuQ
5A7xM2v4ul2lCKBOLIP8a9H6u8aoMYUwpjguMwzmoxD6DPJzmlYShnzhKaDBoX4dwpreQWLT7Aqw
ZCCXovxkgGNb1sOVGaIAMrW5zKrQzJdjG6+g00q4w+uFz/dtqW6s0nvrg9WBb4QtV4Pkv87Ldso4
WmF1xiu6OREsA4/2dtRZsdhbFpxYUUHu+l59zHN1AyuGQSdFCNDUGJOBUxPXxuAug1B53pT4Sjr6
pn9iwKNxGNF7BhCCIkYp5V3+3iK3JJx7eUPWFbhhXeFKH9S5gmT6BHEAXZRkOHHA30UPbUNXBtkI
HcjVydkKYWCzEgxXRbq2gAQwz6F8igI2pciw38HPMV3UJRFpP4G86oBTZ06IKkW95vpE8H3D2JSv
27JlqNyhtbtMyiYKYGiHJoAPd7HJ67OWdyAMghbCHafFNmGebRvq+y96qsAqCKiRkYqwXiHQAArj
pfP8AHUGTRtLLBa8Gg2hGWM9YIh2JDaFTml5qGoDjJ7m7krKRm1jgE1bWXL+hpSh72qkdBPMCLT0
cU53Zejk1kAolEFy2N1wucQp0N/ozLe0eR0UWJIAlen44R3vb9iJgwAsnhxwJeAkNCSYtnwZk0cn
o+JdNdb9UXBa/Okj/s3TCWs2YsyASgagm+TP3r9hwLJfl0F5TCJEOmzy0J0EQ9WwXE99R7+6wTCc
cUPVbABzrF3aa9vf9yNZtrDIh+8z6hjqiwUdHuG2Ae9/IFGcBymULrHJhgShySkYCaGg88+TcYuI
kS4AfRyWRw7Q1F17MHoaRtvVgQGlze0igh6KFCiVLT9X0C5fruvc3JRJiSNqVDmaH2qK/R4la9Mr
oRGJwWrEjwANh8z28FakAkHqPA1GvDro59hdyryZjs6JBWkVdX++FsTv2rKFZBzL8QEsoDyTSN2E
2gwp7EBhQeLI3DzImijIDoD3aORK43u0kCAZzCHg33m9Ex7PLZMgDGhgq8piJ9flkMQQqXephRy0
3YswiiEDArV2AA3IuwvBqmQrdQw0abbkAzWiy9k0IYWsLYYRIgIWkNumgR/QD4aj+nuiNxMti7vR
LSjB080O5gOgNv0616mtw+G6k2CZkpkAkzcxf+yJohsL6iMz7ah2pekBHgaL2SqgITtaJHclT+Cs
4N+ghTi30rwMJtzPJYTVkMKzK1W/WqtvJQmTiyEsw4yTVW+Sup5uywCR0CCwdi3mjayfgxHnCoCS
Qw8rx0s48mjbtcCpZmHPwM/cAimurkq0i6cSyOwNRJgHwXJ+xGOlyQITtw9aqCFPJ0iOjquYY4iQ
1GS32OoIFHG6f6oXP22CSL16V/JMa+h/+Sr7Q4hr83oUY4hOGv4mwNLdwl+iv4Pxn68mw6diB5ns
RKDV4Ij7SuYQKpbeFrJ/bxemnloWAx6APFMyRLhafqVWZSMcypz7R7n6EAhXF6iXJYqbZ5PDXnrH
cxL1+P4EPPhQuI3PIS3Kq0QZelWVffzqgI+lDfQsFBkPlLzaspkqKP+sy/rQ8L0k4GNFiTLqqKvj
O0pBBEA7BCg9kt1dBAtyuRVFs+55i1WwHWd+iTYUfTkDZIfgr+qLb7xLituAAS5ta5w34+jwnJ9d
sQE4WG3jmCT3I1wUKSSJ8Qum2kbgceKL8OAQ43NWIbUzwqcZlkGKQOnm1vWjcxkIZVptA90AR2/a
DpkUcEc7RGzg6hl3jQc4VuDEUqnXUK9m0DAWV50pJN5OSLpSoJHrNuzJeLsMdfeIRwv7mId4PmD0
MhGOSMidqRqhfGjqCILbZO4PaoG15cxDHO23sNf0DzGvm8tmaejVwKAgLWopnxDnE95XHTtRGHlx
u5IGIw8NdH/3KaINUaOSJWOFR9PKkCEWJ86elyPjoB+TSVyUTWv7TMsRASv5MG0jHT0DEa+QMRy6
Og2Wpn5uwVI8Lbn7btUMzCgMrT2EQb+LoDbDicXhT24gFv2m6aLLNPfzWKaQpHYvU1DaO4gR2FPu
YWbCJ4oECMiSQDYC/oTHAsE79NvajAB5aU2eoV6vb6E5kS8QK/r7kPn+oo4pRXp4j7bY0xTOD6wO
bLtl6LQpfuh7K7rGbwB+6wOIMAPNrF8jv+VzM+O5Ci26y5g3y7cg0eTKBYjsTFE4g6YU5DI251Ct
jdDRCrcJ1si+IxFyrXDPTcnjD2EwTKOEng9NhDKwKgqKpwgAaw7S2CNoQhGt4arAw+I50bq7A1fX
HEHOUMhHxiL7Z/UwZFJA0Z2V0xkOvWneBIv17WbIUcGUcu+ib0aopTlAcFS+LvUQ5VmXt/ZSQUeY
jlHe6fSH0DjBjB3A7VacQ0dZqR3IZvGONTm8AGM4Q2kf6WYvaLQ+GF3C7BeacDrwwpOv/cTLGwP6
6nXwobk7KS9Sf7oksTw1qKXQkBW6rBsQRwFZJq6RTBd9fLFaFSJwJITYqfEdlOTGFOjr/dQzA56B
WBDCseul9jjsRVAynOJrS76bmfV1CrJOott3CvjVCiQH6wJA1stx7efntaT0FYTHMu1wyY8fiyma
4w8dNMRQxVMPZSDYqVIUR1Ar7HsExcjmhyq6M4hh3YwI5tnmxDY21XUzPqD5ZXUZ6T2EZSRIQF3n
idvKJgGFZAjCJjdNuRqEgdXyugYsf4v3p79yJsTUiRa55/8lsvbVqJ47eL3GtEtgJ8lyUvEtakT9
UTPi9hSWKgfShId1VosB12Ot/HDNmKqu5yoqDiOBZA8QOcgHDQJ5yhAvB3EVrRsTZWUFO96mBxT/
ANwMPiQ+iK8hCZdX7DEURhdfMZaO/RLDNJdX+kovfgmzykh/s2j3FAXBnSVmvO/sOFZb9C3ARwR6
c7ixjS8Pdo34S7wSgS8trbmqisgfR+4ahCJE09M80um7L4Kk2xA3JHdD4Ls7dFIVD4tr8SRqLCx5
ne4gDFuhpTsv+rBvdhiEyWUxSOCgsyL98Yd2vKLlVw3NxxkoIKPPkDwV1Hu4M6FuL3TirnpZ6utP
aXlbjust1O9QaQg2HUVsk2eBfpE7jXHLb0JP8iNWpbjYgcRvj8h47fTOwIe7WWdcnVkEjlAgWLZd
cAMBOcng1Fr2wejoi116fQQvP1wFYYPeYSmWLmUaRYTYJxUmsHLSU4EOTuJviHYd7DjcvQl0K74X
qiVLCjF8pzfVbE8TK86JF6yz0PT9Q+BuexIBgOBOYCyql4fC1W2Y4i0GciihxsAurUqHwkPbYPwd
cWNDuWlXuiEiGY8wWJh7xts63KA3Hq7GoKV9sS+IW9IwZONlQphHjUsMT2oy+yc1IA7yuoMiHdcw
oE9AhlWwUCQI4jwajYd1A8W/mAIgmR4qNEuxBfMF6qzSVmIqgt4oGkBkKMg8ghZZY2o0xdvv6Ok7
nejzqW7HIKUuX5azH9L6REDOs4UibfmmJMY2CEBRVzjK8YM3LjkGEBw+QjBTPsjeztB6R4Hbu4CE
xwFKjj34ovm49JDdr6SfvzehW7ARU1bXSOToW5+dmNzNEubTzoCB3+ORNG5kA1rQwuy6gfMEa34B
MAVuCsHfUMcIcUssFb9fZdhu+whLZCHjM1FZtoN8lm77Sa531i/BVQt0ZhMRmIVlPnlEgPh6uJ1i
mb99ivfR3DvetSCs8MyephmyBUOwLxrwPitAqd3ky/aRSWKv2ob5+0GJ/ojVcaoxzQ7BdSVcspEw
glxObcDPLG74+8Vg9NekXQ6F8FUGi3L/fUhEf80jze9x2WMSrtlZWE306MPcPBXGsvMuDtdzsYb+
UHI6H+ei7MFQ0n4fNSApBUftVqy/OOHH87oo2EWJWPsDGgHi5wBOiNec1kWGHQi8QcX0Jl/D5kLN
fXUzwcsBmAouEsiaihS8BcDtPCq+JxDV5Z60B8YRwqRbusds52CMgN9goVxfGGWepUXxBUSxEEmX
Um/LYWyQ0CIxnq7Jo8SBddmXyh35VL2FQuQntKLZUg05kqEc80A0n316E2LoWM/zpAZf0sNX9GlQ
qKnrL1c2nnSFWBHwdJhgXmPmYCDV2xCT1Dv8POh/rBjdDHIvASv/AeD/E0kGjBG9a1CloEQ4RDhG
+HNKIcHx2zscJMcIVXsYO09TWkKH4kq5nqF9DpcQrDCQpQGlp2rXLLM4uo7mf9QMF36m3Px2nxTQ
hfITtop/0eRnImvOR99BuXJcdLyv7WReS0nd+kVZJqfrBObM+AbxbYJu27Vzt3YZsP+h6s+EW6hb
h23J7IPzEQdOBmqh2HXwYMGnU4JJf4n5KmAEngh/RMt2eyNljnc+pu1TMpIVsMQJkOucDV8FovX7
LMLW+Aj4g+w8HM13kXXkTZc5Bu85Kb6KgEJ3Xo5F9WQqylIccexSBhVAgcQGj9Aq4kKpSv9lHOI6
2QCJldsFPo9zVhrIdZYBhnFLi2s3ILUb0kZzK0S3nBPv6SVkRHgc9rzdUd8+QTAYfDFRcQbbQpJF
J9ASqTLLm/pEMi0cdoBKSROVW0Cu/FZ9wp7FJwQqeBR8V5/AaMRG8S6SOLnxMG7ersUaPsY0GEfw
+Zjy0/Y0sHvD52iDfvPqAE7Mf5UlxXXafk734eekLz+nfv+5AVS2Wd54r+FFCmxyXX/uCaEZ6CH3
eKKZkxNiTz/XCaBJ8Uu1Vi00JRLyvTz6CgXufFQg+CEAxRvfrNAUkFoOIiWnncV+ri9Q1uvL7rTT
oH3IZlDnr/u89KbcJiuez/WwyLRGIQIiz7EbIcTHZmXpqo1WHd9HI9LM6xMiCt87Nqv2c8nyp32r
Pm1e8rSDRadtbCGAt0foPRekwM9Y15Qso/Uu5lPzDHudeuFiDeZNvxjqH9t4xJvEh5ZfmRX75d6x
GFg4gHT1pHMV9+8EZvZqW0JG9t3QeRhv/onM+DtJ8M+kQPQJ+v/mNhGBACsRcVi0Gfixn+jRuY9r
cEZ4nFSYtS4VKO6LwUHdNCF2+9h3QXIcEw2CLZ+HfAsLyHXSDvlF6YdqgKnK+bPYFCPQtJUUGyAA
vYJqtXG32HqGfsOAkz7pziqL2hY63jHY8hDPAyVhsVSwVwt/3bX5tWsd9NmdC+1FmHTGgFDw+VtP
DN3FlYqPcTk2XyL4RQDpx/UZjcM7RcvrPspvZOvDiwKmbCDA+Q6Z3ne4x+lV0K2XWMxkFhMGUYCo
Ak7gLlpnPLLHJD6U1chtamIMqHh2BAerRHsTx3VwA1mxZduB8eL/sndmy3EjWZp+lXkByLC5A345
QOwR3ElR5A2MEiUsjn0Hnn6+UGZNVaV1t3XezdjMTVZZVpGighGO4//ynWfLk+We0pfaxvNgxAFE
nQntbdGU6qKmuffbbt51TDI94R12qwWcq2rcijnXp5UUYxNSdgRSVsj6GtDpmuvAPDBIiv7eVmP3
dY2naFM5RKBdgauvmnksAjK00VuCq/A2i6Uo2T5Ztbuo14CZi8ag7Q5qAs8i63eZt8SH0hd85Fw5
Sf5+rZyDpcjGzyJSisfXYEZ7bsJQwOZOLdkmsdkeGMB4UAdpttFDNKrke2G50b734hSoYmk8zigj
KAWpT3FMjKc886nDmal1i7S48q5k6MwzNZ+1Sox3VeakhVFwQsug06HTDN4JFa3mxVwiPgGxQ+lm
6tHMcHKSnRwGHmmroAXtNf3baFvps5FQk2iyojxE5momECsajqZ5yh7WrqePWLjOWXBKha7nEffD
a9hOYMjvab1kL8R+NKdooui5+bwyp9Qx3Xxb9DK6LIAQ9oBLTD7XKnMudVE9KTXVlFARKEjS8iRa
k859kMTtb6aVBgHyjkmQKXPK3r8vNZsSApzmdm/99pMsUohrGP32mcyr5dSi6pLGra9OVNTRegtU
umR6Cxv9u/XbtVL4V/ZvJ6uDrLgb7Mn7SrATpwt8uiGAqYDSCFJO73LD6Va/xah76cFxyVXfrnVt
mdvrc+zTHaa55fZt+w2DAG5bVo3TENTtzD+5GTjyJp2G9tjSMNqyrM06NnbTN5uxcblck51EaupV
prMDPZduwSkZGrKVqVWd6e3RdWx+a7rzVd7VwvrW+LUgGxs/a5V+S9vrB8TOcIa89NRE63qcR+XB
sKmG60/dUfc1rfOcYBHR+RKHGirvx399UF3zCP9+TFkMFhxSrikpRbj2vycKTJR5jSTqHalb3Mbq
rtHtpR4ffv8hf8vivkl/tFVX/er/amD/m+f9Hxvh/2d63FQBrzTW/9zj3vzMk/QvvvafX/SHr+15
Xxx2M1lC+uRXr//5D1/bk1+ADFx9ZUvZDk8PPOV/GNv+F6L2zm9vm4w+mfh/Gtv+F9e0+arr79Li
O/4tY1v95b3hmr7t2cp1mTZZ0qD+OumlpQDAonAu05a2FmCGhtLyGE/fkrEf74DhPA9GazzyMUHn
otRdnxeXTpSAwaQ5ubP8rdDt+EFyMD1GWg1bssEiXFeFxuX2OIpAUR5miS3Jt0d+Q0O4jyky/SRn
+30aOpg+qzK2TUa7Q1ZudV8rfNvGpgNM3rl7RX8sPiqf5c9cckmwR1rfL5V41FU+nlmCiGHnyOmr
k0lza2ZrFMQUEbmu9dVTValvVEjcEAOYxLRu5q00kEfMElbObNvpputqgolL82QWTnKFUVVclXv1
WM+G3gxodk8uAua2i8mbxhipZH16cYDU0Ozp9E2vBMjASthR/ouGWHnhJEq++7LgwF4YmYfS756z
wS7YTB9BAHAlrGp3dLx0kxWzgScnI+tdZ9S8pMv2K7Px1WWyZpZn2yuJ9bDjOv3ORJWy5kQJBCzw
UOZbZXkKE6tGBfWh7uLMjeJG9ONvMVf7X30j71BSLR5/jo8sDja8YvHM3/+0/8ef43/7qP/3DoT/
i2IvjrpS7/7z4yBIk4/2X4+DP77gj6PA9784fGBx6WzT5ki+wrX/iLj4DocE/1pSOxJ/HhL/OAq8
L9wOPKksPobSBtPxz6PA/cJXUCnk0igc9Cj1dzIu/u/75b88J1zb9H3OlOvFz1V8y788Jxq2oHSl
Kpx9HVnucxa762ZYkvJEoa3bjNk84EAXb4nmUsHD1H9LvaK42Lx1ea7yD3dfKkvSPHL1a5Yk6W05
rmRdVAlGjgxmooKOZiQt3FbKV3udCHxPnBaXSCdVFui+KY8ap2LPULi+KkdWv9bK618TamZsi3Ts
/k56iGSmH3NJ70wjdBsKKxMn3GluKd8O3dSc3a6sTovVeUT/y/4Y0xhEv0MrfzXkarvnuu+yc5Yr
p7umYspnnUaredSpa5zNjD8oFG6G8ZDIUXJbKaKXucpILQtDnCUrqd4JV4LYygyqkmHjLelXGtPm
SySWSe2IgvO9nWqG0JJnRAPjfLU/VRxRoYZbV52YeeOdIPV9e6WisHWUDsrFLDJ6hW2lyLhUXoFD
J532waiB/gTFkC4PoJ4QH2CM3JSEIBii9ZBootaiGO7ifhl+gc8zHjHdIxrAaTR91HSYIXoZ0Qg3
xlia22TWgrMdUbXeRR4hGir0o37o1mU5SlhHu2GhEBaUDf1PPWnYaoNXXRwqIcfMsmL2T7nU8Qov
Uwd7EC22h/Mr6XOv4a+F8w2OyW0PmaGbIagUxnk49ya/XeojNuYIMLV3ADwaXgzsNBa51rvOs7wn
UZnebnSc9nPp8zTl1YiG/WBkzo8aUe7N6kd5MuosPoukqx6kv9gvk1u2N/TwMxESofEMAJ1mZmzn
YSyLQKMSd6GXSXEaYqqtuZ7VHay5etsITW5G8Cg5LawzB/+Y0d6ll/2wito7Y/FMW0sO4h1ZOX9m
s1f/5BIpmQ7sEjQf0tWgSEKd3oQlI2Z1a6I53dXSBFPnab+/Ea3vXETj2UfTukqxUVShmXUrfhkZ
EIbrVuriYBkqe0jjYSKZoMb5Ek3dU2Gu0btqS30ytOu+eW0hz56x5GQHWpuXqbLUbTvwQqFL8zQB
FdVgkJX0IGhD4G3DWKk6b91ZQEXKwO9W59iRcVkCR3b2Nl0wgo1KrrQ4s605pcaG28U7Ea6Ivl1V
bJp+NL42bjvjsVQnk4vazhuiaiMW967XgIs8AUdU9ZhnrfsaJem2GOxuV1Ue9hLV+QvjxfRJ+++H
ZbTNbSHbp6atf6m0i8KISFOuiITUdRf2qzvdFU288UTN8zi78nBsuatwhoq7SBS866XnzXI3URop
aeFhT6TuvAR91a17LhBeH7jZIE4tnEHycBMHQpE4G7X2xcX3XLnlYzi+lFR0bgwTZhadX9ZvulSA
HrjORDH1vev+09U0kikgO+C/I6vrEu+/N0bernHyQ5eciRtOE0y6ChIa2ts6J8neGXhxAk/kJA5K
f+KH5IuEyY027iM+CdNgXCaBqRVOvqc/U6dEuLVgFQCPFrwt+nlPj9Tdm6NrbvHf4F613HzGyTT3
RewWJK3WKHrxeGnDoackRIpO7yj1oPrrBP4jinzcbMusH3bgHNYbChTmk5+167uPLeUEdtqOZ6AD
1ZFyh76PbD/aQS1If9XpROSNVWx2Hqy9ueymBYJF6hjTHKw2wa/SGYc39CuTKwwwi2BcdXpYopTe
IIAr0FudZ9+0EpqHw13moJq4/eYibvF2WEBRRFQ9irrqt6xWGZ/M3Gq/kQ3TJ69oFpqbmeftu4Hq
DK9/d59l5CWwkt3hezyXdBlsdWDF+tnCor0ADsu/tXbcneN4JlypjaehHvUxK33SJLhudxI43R3K
ebH3y9K5b8pLnfbHYhyXe7NP0w1Ij/FFKWfc0UApgevNHpkEXRu3Zlea9dnh3XQ30TckjsQJH2qq
bye62W9c9vs3j41+X5t0qG54mfUDmSb3nRAZU2dD7akOGypLdzFUwAvLgeCJ2CyJ22RD72xZaqwI
Y/j2TVKs5bqZIiQnVw3nnEBdmKwjbVeDtb6tMWIuq5xf3Tqx1wbddH2K1p7gNXFI/eqr2cEcoZBQ
JK5z8nLIdMGQ4250Mss+IQ0OR2skLBAUVKSfclgcu+H6Z3tp6tz39Cx2caGXg23V8oc1JcteRjFH
n1/YS+iUeUn90Zr7mQcp/FuvI6wSuHG+Hyce93Xb0K21JHw15KdEdQI31WARpg/i6EgmJobRmdRh
GkX5K6bJ+tLTcLushL2JuHmNfardiAxkmTjWMTadz24x9cYEavgd4Dkr3NYqq1+gBKHKuoweJXJN
613m2s9ubL9b/KDjbBVJ8QFXI+VtrLPbzG3jO6fuYDREaxRfJS6IXvTmaA9B73KM7RKX1YPn+lZ/
nJp0fa5shrdgroCIml0rv9KfGl9YSPfZDlW17tOogyIR586dp7r4J6WveFdK8jV0tWe4Jh3IIpZS
K24JuWN/zVpvekZdnj7ICKQcujRVgJZqk6Khl4n6xVuy/CfgMR1ifuSbIknBIFDjesPqtuWhzRrn
rm9IcVKf3c0xVTG/YovMWovxm4ri77ROEZKkf2bsz7aFPa4B3KhDSSiGNGAcYLZPp4VumUDpJDDV
ZKSEpvVYZvViQ8zhQ3IYVCrOhCrlE7GpiFrgYMM3Vv3RTzKGDrHq7jt0u1ugsfyikOKPNvWqfZPx
MA2a1sg2AIBIAgt7eogj3tOwPXi0Fo5CoIimFziDwN5XpHEk//Y+99z5RQMP2QA0FYHOSxnWHVlH
rxLGsz9729ldYLeatv8wdYAE2wlxMXXS7NVaYH2OLdsqiJ7Vn7Cb9H5iTcg2Ztw6QM5R3+guLneR
JavPsbPn3dTR/A0m6CpPrZs2BzbCMZjY3QFuSnJJqmHZQQBskNFgCs1WJX8Be4DdGYm72m7Tc2Hw
uC/txvq+lAvbk67yGri+kTRWsIxGes5pksLp7Qg2RpE5XdYlixH7WC55u8iWg2Saq+9w/OztZHTQ
FMAj7KdiSu8ljNcdvE2183pyn2vm1TdDpIw9y4CL0IrIIDfd/FnItbuHNHs7+E5PMIX1nosFdtjv
WTvvLVJfmh6yH+nSC0Mnl0JVunf5aOcH1GvnSv1ilRz7G00vvSw9RQV4IrWl7rw47nZF1V9pk3Hq
PVZ1XTthU5vWLmmMM2ciGBU7z5LnouFcDaplLsmOTEPGGKEajD1wQzsHCuijj3NrvoGD8b3TiCMJ
LbQG2I665P5iyAKVIQgTfOUh1exnEgk/PTHFzWkFDd2ALdLqcxx8y9qtLU+jzh2nJ5ULD+DRsN6Y
nXEDUR4nZCAih4qYEP/pNNu2U8U0h2cb+NxtF9i2VhcFUyuc51xb8QHYZ8dIqaLN1GdnR9TylhOh
3wpC+BcZ2yPAj9hJv9FOci52YYDyZ85cb9uexR9BbdIYzpmsnyqQdxc+r2Jg9oL40zbL+KANOIek
niRJYsPqTaKjJMOBHbgmEry22g3Rk/xptaTNOgKK3G+lToqL0yGIhlZhi1unYkKBVkasgmGVbVxJ
LKt7bfdChl3RRZI83JSuoW7aeN3Gqwm8Rkd18mrqxDq3dQ3TMjFd4xSTWfTdoTtW5LZucRdlDt60
uLFH6T2w99l1GMDYGxWi7xaf0EOs73E9+LBVtPc2JNZw9H1FrV3KVFchaD+dhFFJ4xGMhI/UUBK9
2BgVDbFttE6kzpdrLaHV7bKdiS1SLbpCPhuibVrliC8sXNsYibLCJYvaPafWBz2nPlA2hIUEg3af
X+u3c9rvEzu+txvxq7HG+BCVlXHEzWHNc2EczTrBw01v14qAwyjrYpNj/TyZUwvuFHDvPhIE/TVr
DMPcZfPp9YqB43bghVjJ9O/KitmQn+QkRfnLXHhJ0tg42HImcKoZuLkiX4mlyoAxnGD6TnlIG/SZ
rRTEFdidajB2EHUbp12b9XfczmEuT/6NY3fNpjCNA7Hkecdl5LsRORctMqg64tpqptEK0+G9r+xz
bHI1Ex319B7U7wYc4hLoKumPni5WnElrDISM1k2UFg6cibFnlefAzzmyDkaqiX0BbDyBWgZGbf4g
BLPphuTQqybZVG55tw6evp+cgl3wibne8Nlz97UToQxNRMWnaWkJWqAXnjJ4lo9R7eu9C/sljBvg
0o05wAl3UxCERl06gPg7wi++sYx7tvNFD6BHrCiEq7g4oaEGBG8v79uLXKh3hEPO6+u3VBs0CF6C
s+54cA0v+jpY9vCty8o6w7XLubBkvUzPc3eF7RA+Gx/IzRQJyz5rIkFuMX/0ThydO8rqgjJGHTDQ
iG/xVA/xtgeqlYUWLff5ZDpW+ijrmNwTWTkIBLM5Bzw4zFcYv/kTOel6CozWlebe0Hl38vAomEF9
0F7QF+pXSuNPzsJb0ez9Z1ir4swBQ+oirf3DnMMireFNNJg3W9DEcK47tUXzH3/aC7Q6plPTvwVY
5h+4Y5U9H7k6f1t8X4azvVyDr200vvPJSsNU1ECuiiLZF3KW+xlC61akXOFs+ESnjNDeofdRCQIf
vNg2tdv6DIAegQEc7vQ1BhLyVsFj3qeyH+D5eJ334jO4uDQoWGUSkOnTf9Qx/5bW/v+i+nb1WJHP
/3P57eYD+e2jw7rHIvmjx3Ytq/35dX+qcOYXZdIz45Yu2DLlXWX3P1Q4z6YzhqZuWmDz1VV3/6cg
b38xbf4FAhnaOxdKvujPppklvkhLCAV2m7nOsXz376hw1h8y27/KcPKqDHqW47A2m7jtX9ft2sPi
z71tzEgltT0e5BX+yNhCEWNN3F+x7tUQ9gUtgM1MIqZFBR4bMNQxNpIyPCPd+l7mB5pYZfWtQK1X
tyNRb/4fZWf/cBppmZsUocCbXWAxEBfYd5x78TUha2R5/SBouL0anOHxk7kA931gUXjegbJLe9jP
tFqINZYyAt6RT20Le6dWuF2rJBAlWbPAJaewCxad2wUDChULUsyVKON74izWLyurXFiO0lZhwxXs
2OjGeLR1Yti3g17HYgMt3oVSmVqNvpuAOlwIRbDUQORmx1+gnU6oNsIHEVSN0W1UQJuhiADe6tHX
9jdALIu1nwyUDPo69pUzEIFEmUGgUpWbWze7oL9bXYiWkhShree43VRj52ZhEzMvuT6xtl1L99Dc
MCxzS5/GLM3uAFqarIee7RfZdM7FMJ0l3q3ExPKDQb1VnwCfDWgxMYjNQOIo1VwnSBCxt8J3H2yG
xAXGiztAtxLJpqc2xSU/tu88tu9erNZPYHDG9VtnGT8EQAziqbPGHtQ0A7Y8Ubo+oMvsB8rN01e+
G8XjMW7vI/AT1VHkNTCIFSI6i7fM2H3UrN6lnRdHUxSynZvIPTh0pzuWy4qCMVUSsRVCllhvXDho
1zGEKyPj4UoRAD5G9tr664QQR4p/vInaeVGUkNLO3vjEte7LebamEGRVV16grrFtA1Apd6hqrK2D
6CFSh92SwvE0XY1ZRDKXYRcpesDbL6fyYM9+329QZ0gJxavNf+9HZ1lILSRptCNVN0ImoTVELhLy
lrVN2KhpM+fWM605yvOHbHYoM0IdeSlgXIUybtvPqous+cS7jqu5WUSUKMe27+eNsCqA49jSxzjH
Dw+a1Vvb0DR8ogIG1K0TooTzvab9SNDNGvxim8xxN24IzPAbW9q4OhFjxkJJmUguBFiShzbFPS+1
fCGfBw+kjxrjGLP5GeTu5BHMh6X66peZ9WgMSfe+omefldCHsbJJ68LU9e2nCMMmYVVf2tvPAIU8
GdAHrQg8mPXylJbO+lmgJdyMAjIqMYQqse7aIWbgnol7T1u7xNQ5rGZc3KiM1NthdivdbMxsLN56
Y23uVOaZzQYOFzHCiI3DVch2ZPe5WZIrrNQuuE36lMBAWOtSXFwycAJIAZl5QFNGbJ0HZKQ56OLC
vWlri0rVlFQL2f0MHRdkOPIYuBbe7VZMXMviMupvqiahDeeb0VdjZcvB6tHmK+aKtkZ95S5BmtvF
kTu/qpGPXUNv0NtbTVu8LXnM56ZWYODjSrTUtIrqXFL1eu5iyYUhX3LOghy4F5lj574lxtIGrnIo
4I5VsSWeDE+X3L1dHBqzcV+sQndniIF0LQhiqe3as9z6Qc8kIwPPScZoDy5uIkqAUTcTyFpIIPk2
FplpDbw98uY5xcTFraDlA1uNyRbYG4ItS/Jk/lmLpD05IHycELlxZW6Kyx/NWI2KWIQzx/uEJ069
KbQXh14+jVsXI/WWvSnGMXJtrMoxrvLpqWZ5/e8VILO7YXPD2KG+Fg28OTuqT4zM+cAMQkOZ2r9Z
ZxtNoEGHa8R7NRRm072O7Ni4o71RhcpLjXcuol754medYW6oW9bAqJmxNhDEhNh4PAb9H9yRHKyB
1dmLduLtmbxCcDG/90MOvduusq2b6nanhqTZJJ0vr+UdRlsaxvyRXDGbg3ShANKtZ57esKKjPzVg
acrnah4c5Fy3Xrej20SPxWKYz0RjeUUlaY1xW8Iyp8ZKtvaBbAhdq8G0R5DgYKmMs4sJ8iFHwHoH
YnKDvnGdaCVbxpEDLM0ptrWdIj2uQzvcR6kmU+RzzG3GeKbt2DnUMDeWaHgnQran4AXvdHpRy0oJ
SwABp5bEK59u19qVD/l87c7kS0muiKWWNZ2wZeQHsUUC8bGxDR4AqwcRLqnBm4WJwQRxTH2bPqoq
UsnNxdUKlFdKdId67YE382oQ/7fi4zxXdRqC9lPdwTbSNiIXLtQBHln6KWfVvJZDWz0YY5/SnkGm
+qFdeHFBRSZQ8HwY/IqqUtoX4ThkAPtKV+tDJ1DOgxQMJBH7q20V+GB47qPSHgKwSUV2z3V0YUBo
HefDb1YedKiihH0rv7upTBCVCDSz7qDEcbRyD6BVMnpxcTvLKn10/IR05lKpk15i5YBmMdbHjLQa
yrgP3+pGo/g9jyvFlM2UaR5HwHib+jDLwf/pTeS5Cye2bmGYwzmsSOkjMaAbNpgdECc3/uj5gZXO
SXRHuXpeDu6Q1ep+8eVIXxlu4Y3htOpNikU8ZDZ74Z0snbmMFo9DoVKA9ViFm6i00r3DIbeJ4tE4
ZET3A9Ln37M6Bw1Vc2baaAnOu2gLPw9jmwBwnw7Or66mpJ64c/WhjRVSZtWgIpsz1wbOGCp7dPef
EHAHQE4DQLOlLbJwnO300WhK72Q1nknN1ikls71MNnmetQFJhxivj401wbDGtEZcEP6hh6fE9TyC
/NasURuYsS0f3Zw67Hti9fFFjnoKZZWsh7kwAa7VCoONdLJjhVf6+T6LuZYGvmX3+z6JpzO+RMyW
ATn129JLF29rZal3OzZG+4PIVfwJXjV5S7rl2bB4sILMjemjemNb7dK5dlEfWRPK6OGxXoH0NKck
e0/s8eiWvfzeGElt7pE1bCDmWXa03IVUJmm0BxfGCFHQ1HrOpVO/Cwun7dbJmvGXJCM+MRtou7iT
fdLmmySbDLkT9qoB56AEbNF3K+uA2zt/j+1YfWLOpeNXyKhlupeVVX02gr7XwxTZnnfdIovc4RZw
Ey+psngZ41gNS+DSIPh04nxsGG+ufIXIpNzH01ljpOVWVVBUw6Z4wrxc4Slro3iaVFc5x2qm8/vo
tM3j2AE0O4m2GfG91LQ8LJ7DFnZnTW5InRGhFUtnhsnc9vs24ZHV531BlZ2FJlVoN/RKoRVIFpas
Lc0SP/ZPZWakh0hNzp3p4gKSfJ8q7pjzEMKzzbdUkWOe5cwgn63rzC+i9JItTS36h0C0maIr/6th
lNESQOb10WIxucuPpexVveegVc9Lmrmfw9g4dM7ctrwDuNx8HWbWSWTOMlknRy/5pbMrL6dHGFuv
1Nutr5JZ7VqNjPcqH2kRVEUradUXksieeRWwaQ3UTeiwz+0HD0hCdWhcOjR8rO8+6j7stokS5M88
h9YFZAaUZdO8Wlx+DVaWJR7wfjZN0lNKl/JrEw/xMzhIH99Twmo3mRefpiafCbYRsLW/rZPLMpQG
EOuP3iUWCd2B0ziCCM1M/mHNqwyJDjxl2raOhu1cW7azcNSpcXwluZFb43rRFjoFQgnrHm7TanRY
GzUZXhYY7uCkB7tGYMBSTwuPM88bWbhtlX68S5vh6h83znweVr9/7qCZi5BWk/2UZjCuN2xTidky
o+vHdkFB4b2/HtZxZWuQ9nnMb2jeDvcpTM4QnmB9NvPO2dkGU0Gauz9dEhodVE1EmKT1M3Hssm5J
XsGuUThSdh1BS6hBqKOemCR+nWa4d6d5YxSUDGaq+NtGJigfhaLjYkoIoR2w9oFM8A4/mG0xSe61
6hqEF7fNrPrHyYjWfUwW6VvNa3ssiSZpaI+lhhFsKENuWKiTUu+EO6BDdzSMt6Rn08+JWjPLEwan
8F4mZ5Tmpsxcix0n7Vj9MHPfQ3bgQXsLVJPLWeVd19N1Ss1P6TJHOb6ryvgVivUN2396t/kp5Cab
EtNim0iB6uOiX+xdp53fkTkRSVNLu3dp4pjPDLicsBn73HbL0CaniLjDzyJqlp1cvPzYWtGaHkZV
uTdcGvzo1GSsNM8qOs25xXVmw5Cxevhiitraquf5HTUGCcmmSWfzW4xoIBOxCFkYR7/Q047OtnyY
rSYgLjJ+5+MrLx2gb4BRFigPxo4SBRLVqt6MSb6bEH+xcnCU72yTYQjeCelbkKcJGw65EZuAFVMj
41bF9UaGXHJX+sPafhc9D7Bw7Qfur/gLLvbLkLPlIoKlvry0UWe5ByLVKtulbDP5HJtWHMdksN6K
ufQ3XSLag6455lfbadNALJKzhgzati3JtRXCx0ylZMrSuWUe6NJCLOneXaPBVPRGsZdWm3xtUz/3
N2wUSPQuynL5sLa436eGyqW56VQkI5aglRJHb1ZZgBOYMVDa8bUTnJTznV/DPwoBQqrPVDn+k9PF
L/C6W1ygTKqArdIFb93V25E/M/f4WP5p6UhwA8gqyf+n9b030netCeewn2oReb5d0qF7bFmcCIwF
DX+Tlmn3I+sT2e+Urfr24PUAr7my9591v453c5tVFn8309OUBuOYhzSlpw+3n8xNzu/hF+jv9XFM
eMAzjcqLOyTyIasxYYokmm5YWXFGExc9eGAgSzDcx4N25Y9uYODRMvYoupbTGW/zKbUbc08xjIl3
lM7ruiafvN1mXmNIJoNMP3MWfBy7yEF+TmlcFhkT8mzJW7cw6lMhOn6gsarvgZryAGVN2TszRUEo
P13kk6s/TFsI4hORYNAvnQ37vcut5VbiqPGSn6K6N/csKISZpRB1q87ZA+PxPofcsAhity471PRh
LX0sAjnobFPPdbnLitZ5ai1roVjlm99V65ZndgZMH0NbR3TvdFHsIF+aM8GVinUuHJLTj3WQZPdK
bV2b28I/9ZoACL1b/u4kCIzmQ2iCMdtVgitdBqc9gPSD4SAdb5+B0TnUEbXuYKyRnH1nuZXCFW0g
ppwdUeCuVOBP/fpzyTpIjpoJkvRT4T8vQsrLYiMHy650uRPnfgjCxtzYTPI/yUFABrouO+Zh8q1R
3UCFuxLDTSc5RHsAi1lYk4KL9kWl4kNvLfsmR8UuWYoUWE6N+AEeoX9h3G0QKJauDuffd465jjdN
J/Qv30nUUbTV+jgt2fqGrC8fy4olmKDAs46tfe6CQQT9EemW4xLlZk8N5DjZcb0HZyHvBlr0/IVm
NnDZAp7p3mZ/2Y4KSBTGQDAvY879dPDc5tvUmmf2TWHDmcITjywF6A9N0c5I3i7CkZkUfqhL/a3J
HfNbZBb1Jh/a9nZy2HvklhQHa3GVz7ppU0MYC5loxH3SCLmF85yealztxlmGgzN7tz5jHpE1zz0v
wrYYpNS6sYVDsgPriDvymF4oghpbagXwGKkwUfXC8OKgyrZ8ZHzIEA1rd+MWcmHpEAuxrfh5yVk+
uE/NcX6m19hhmuILBg0LQ+78mJpREGdyuZlyAk6cuAuhlTLf0WjGw4O+bOObZnW/RU07LlHSvRmZ
bz4L2fQGd5W1e1lH+N12rJ1XeFDm3is0mRWWtB5qye+/LeN+63UYPKdmnhhDpmTajEII5pxVe9+J
eXxIsAnhDIgCYOha/CSOF6Hu6+qxWaeJcSgybnOWTWzdaHrtMx6sA8HVTUzQuNqDIRrDLCc6XOXe
bS1geROrp1scqITrTRBNIj2bui2PHtzkn2bv3NP4m8JuNlYGsmi5l+4itzPmX2iBTAiuwgnLAat9
Mmc9zKEVbWqpVvlV2oV4E6zAMruEJ0k8pGev6ev9wn1jy/qvMr2NaJR8pznlvGg9m7+mdjC4Dyhx
P7BKgMzZ2t/S5tXTTTLWCTO1kRyKNf/RUB/qtvSt5wOj9/Ir8bPiXncCwtY4NtvWLAC6mXj37rCU
u9EHAxssS0fUal5FbDMOewZ07CylQu5zaXkwnQK2tCgtHnr/P9T732PZCan+K1fhf5afSfvxP/4j
iN3vr/zTV3C/eJJ9mELx8UXCd2iD/ekrSP4XErrS4sGLnn+tAPyZ7rXUlytFzzP/N9ruH64CXsQ1
5a/4dpJk7t+K9v61WcrU6nsWloZSvgSXJq8tgH9hSkre/CPVm36HkEjsMBl8//l/UXcmy3Ej25b9
ocI1OHoMK4DoIxjsSWkCoygJfecAHA58/Vtxb5m9W89eDcqsJjVLy6SkFIlwHN9n77VXn8AZ+bnQ
uzlAyYbYELDEG1O3O8ccC1BSqRv/27ftv0vMWb79v2dR2Gvc4d0h2QZkKzv45//pv/2fmLhfc2MJ
rW0rgI7DQJiwIobJUaW19TqVeXjR0BhW+JB1Aiyqa6dDwLaX67B2D/yrfGeIst23LOV/It6wFc6Q
SehWwgNWQ5/CDUYb4mqhV1M9Pz1kRZ4hEXJb3zpoQE+k7YG5s9LAIkMRr0HklOKPtEq2hizn2HZ9
uGlwZujFneZPQfwf3De76C2WmfDM2xwdLLTusDK+nhvepMVRJp7+aulxjKbCeYB+bRzu3j9U+WG0
v0zXrK4u7ly5GfsKOpE2+7MGrJRTI/ELDNL6W5RksUMegj1GHdg75YxxhCmgQJ4syQqmc/tr9IPh
OHlK3jJnFCezFVbs0XTMq8IZH1PPZoZorIUQhH2qWtQa5lz8w176xgqo6mk5wCfhYPL6FHhVKCI2
rbdsDo3dBC0ao52dbFbuYJce3NqOLzH3qBte3M6ZPAyOGV5Sw56PKrjjmpdq1xCBj3unn874SHJa
C5wUu0Tfbf2phw409WynF392twk1OBB1vPHV7c0uDvPWjv20z17oTnY/GYUS4Jtgm21p8loZ7JW/
Wv+43oWr2jPmK6624pUEl/ExE4DcFa5MDvekE4wyi+tWy5Rir1L97usi2Hp12TwxwtjwXj1jYrte
y1Oe2k6Mn2NH2fjVyYDpNcYZkAhrFI2ioUz/5tukMDBWpyJazXxv1Y3FrobWGB9X6L7EKwMrxLuj
6fHmepkRNwkyyEAsZPCGx2rKvU2VJWzbp6GBRyhJoSkni7sRV2xXluNnjgli3wxjS+lBOkZLYxi/
/JVESqCa5aF2qbENZ56nnMdqhycEGoY91Pd/8n6nJNv3cBbTj5UquWZjCLVcUwcPbJW14snUtnic
aqVvZoe60XdKk6lhUqAS4ka3KwVw9bTuu3Qcn6rK9fZV5axPDmQ1mIQGiCOc9pGC6f1YLnlzQ3hO
MWcCFOFe7h0zpi0uGFh3ZWNakfLH7tDOXQcbBEhamLOWaKqSMuew/mvjxNgCS6tfiVkiuINzj/k9
2ghh2TsoHa4XnWnn2LpjsG/gJXK1W/DWtjWCeW2E4VYC/og0laqxxOFzkCOr+DJlJt77mKDxPAcS
woftKuwLnsdnbSi92OiwyZCcXepDMVX2aYFSxtVYezcad+1npSHcNsOD7lYue6p1r0HrLPsC5T12
lCeuaZDdQg6ZrRU4N3OqI5iCmnbwZjorYeffhNuzvzUx1ui+6WLmX8lHUgJ4W327/0w59Q/U+Hkn
qVR3bWZnPK6NcncGvJAbO1jyvTSJPaf0631ZXZCfvIIQ0ThP07d0qv6ZkzmgF6yVP60eLKXwi4RG
Cq+mJ4wqh4bemNQrj4HjRnB75b2Na5qWvbv29RzDOQHTM3T9tEuyct7hgQg6chfm3MSTTIvrxJ4x
zjD67YoUNn6GQNzc/bhZxDLVH2PuUXaFr1DZI7P57MUqT95t2Ok3PF8tMFCXhc+GNk9+ziEsb5pX
RTA90X4H7AsJVuKy7PA6iQSL7ihrbDseW0Ob/kbOtGU/LFNzmpc6+9GJRt2T4wyhuOyZ4bQd4p3D
rJtGFpWC9oUIpHvy4bg7W7sL/yy0pqdH6Ho9kKmxOQXUq346eTge1qKlZliNdB82FNbsG8enpjak
fvdv3pZLh91Jjn/9AcN8gozwScBtYmJtb01mMMjOw6ExTPiSgqrxAAIyEJK7OHHv7xn5/K/OD2p4
uDN7Wdp+OtAo6Bde+AOQoY7JTKPYUtcwZqxkrkilJfAjxz6pHlldK7Gvk9nRR69YVEhqFibjH89w
h+lZFLXzkkJP0buxM7ovWB76K0ms5r2tMuPap17DBr7lBb0Vkj+tDtf5rcMFa/CSSpz3VKnPsg6N
8xK4OjlzPZGRR6OhF7lsJCLQJDN9lvfnP+2k/dzogNqOosGTpLnU/hWL5T7zKhyC4+wXVfE0DkN7
pO4xf5lkz0jADtSLaTLD4abqsP9L0NY2QSf43kfTa/ubxr/lONKnsF9y5Z3ZnwR/wtoXDkqTWbAH
F+4lKRydbdDS+hcrc71ro/muliWOIyV6zLWD0XvPZeL1P2rH658dTuuXpe77Q9EYapcOKfweara4
tlDOpq/2mtiHuxGBSwazy8wWbjMqUsBDhsZ1G0TiFydVPhuhCs4F9UiYi0suzmWbdFEBldX8aEOZ
/4AENkE+BURIxAamqr3F3eP+JMDRNzduoQXqbt7c1+5VYG4rYcgBIScUT6KBd2QII33KZnf+rFiH
vuGet19A7tWnUAxAum3ISkllpG8NqZAjU01Jo4jit2DWmgv8YVLFlc5nyumt8SzwK0dMacaTu1gt
S9AJM8K8tpQNaWtHCZNB+I/F+5vEhsjur+ip7UEO1A9LWVvjdqU60MYHQh1ElNatPkBdmOI5TY/J
0OpfyLhz3EoUy9SqhysUIQidGRDAhiQ4YiQ8C5S7AwQ7Kr1DHRyzWq+3aaQvW3KT7yKbFklmsWCv
NV3odxxBTWtPmbSjPnck3J2aksHJOviDXufT0BbZiXGmxS1BN9MrY4P36mB3o1a44/2+ZxUtHsse
yXlePB4FsMZDVEhbPvOrdm6x5Hs53QOPtdvEXmX65zm9r/7bJa3jZpDDZ5d4KxYqd6Fw1Bp3SSkJ
8mT4k5seKgFZyGqftGt6w/nh7nClL0cH4fbiGbDe8hQtLnc2nfMnM49aNp9UvXwlLotuuzxZ/ic2
QZu1oEpop8Ik8Yv5st2Nwu3o4NCL+jCypX+sZI4GWSZVGbOZCB7uDUXrfqHIpogJ0O8DA4UnxUJJ
zJO2HXg43t418yAGOK76B0BvWRTQ0rYRUw0VMjHF8jho02pPuNIBaoS1eszczJAbRWrszIKgfFUT
QrMFNGsPsrY6FoNbPKoss+ka6trlj7IAFEdskIoPIgBJ3MCyzOMQ7Ksd4WiAaDfjsKi3bR2wrdfo
nkWycVkWYdNw4WdRZZJHxErnIUpIHxzgvDnHtZXdzutlc2loZHsoZr+3mG/Ld91mtnVSXLzRiIWf
HMIk6TFiwOG8kGomGyVW98BfmYWXEsZB2bBbpiG1kcbvd19JGuCF0yaj6zmjkyfOdJ7EckTrVYk6
lWl4kWWALlmSChnqbp8mTUqkxqUZEkntayXFMuyVNxonMJZfvW0QYbd9HAfLalV/psYH6supyNsf
5u1Gaude3glCIS4ds7n6GC2IwSnzvaNeGIpl0p9bc3bOYWhQoeRY087RFNrRMJv8xWtfbUth+zcQ
yBYDtD/R7TlT3I5Carwb3soZgoYOcyfsGnNfdvWw9Su3f15nzyEONFr2g8R1EeVgKL9cqNZPC6f4
HqHWZJEE76hmEYcXc/gD/qvGv4JXw3dFx5szxcHvrgLbyvyQSIaCfLbPNj8haMGlv0Xmb986Autb
jxfNpup6YgN54l8XctnvYpIPvYU0i9Y/7KvWGvBwcLm5SDctz/Sr+/elfDUdWu4YcZiCJTcdd3ly
NG0iWB3OVVu9oYP8MZLgNipE01JkZQQ32NwByJyPUC14M6G/tcRBcX+M6w1Wc/2tFjndWqavDdpF
esnWMjtQRjGffPGLMOFmhEC1Q8in/IJlsG04GXepdY6XbKl3ghcSns90yaBvpSlmt2mJEmvetNkR
hMYpWzz6wNNzuebeNfVxp+D2krAo7RlPROeixwlFc7nGID2zK9sMan7t+DDtWAy0EdooeDBijRiY
CTymCxNtIlPnHIyT8+SIOjgpE8zEKIow9o0AezKf9vO0+BqaeCsFI2hj3h9DN8Kxjxak2YS2wFQS
2nz31BafgnLc0/UbiyBD2FI800s0wwyKmTryE5JVEUmr0GdJfjDG9A8vdW0xlwq/Bn5M2pEdoEtT
ETF6B4iaPtyzDr3JDLE6KohcNgUYSYvqmKw15x+uhXeRdK1BSmOhtXnIjHMGvvfTdDtnD91TfEh8
C+zm0urU6XWKQfel18pwna07hxiHVGH9DOzA/vD8tXtmAi6OY8LitmwSEmSA9J6FmgjYr33JWemy
/SN0mV3kWGRknPoVYbqbv4kRc4UWgL83ztj+thE9WdyNF90X56FO3Hgxk1+m5t1nQwohgxZNufFK
ARK1W4sC08MW90DS0T9qawqvszeHL0FSjHGTEnRpBQOs8ht7C0U0iF2/u8C8F5HI29gz2fDbULh8
s34ulC6ZExr5RaUEa3DDhnXCFf842NaB7jwDF3KOUQg20cMYjpiMw/LZxegBQ5f1hCMfWuujN/V1
osp9tYOdNXo/SN3dmtkUhzLTL4RzdqlBB2MtD0kp7q8l2L+JoA6S0fBDpuEn8cUYZNeXRNiIKokZ
K8Vj80xguj6EI15tXjPNxSlni+dYtscwKM8BaadTqp317LGU3vpuUB3qMtg7C34tmACEQEyiUPNY
pXtSei+mTYdJsDSwBkE1xquiHZiHo/WOpsvlitKO8tu2ipY6PJ/WuXxu2OhNnJGWaRzIV0MRHytz
T6ow2bWln5w1WO0t9bbDIRTc9An/Fv4FGGOyCbQf382NAFHKap/7RzFlZ6IPh9Wmz7xjZfzWdf54
MR3ffmOVfbccqDHcuhbOwz1rDGpLymQJ7iT/ycUnmXfvxkzEILC5oqweweh6Dbsz9j31wtrlsSRN
WcBDjwK6/6jzOo11/6fRLsipcjFqXCkm9XyBezK7IO6pMNkhMXVHApxJxB64jC0yDVc2vCqmB8L8
tvn7USI/lWMEQsz5hK3cHxXllo96atxdYipBlxVx9BQAj+q1ufMw8YNyMTnz2k8bzfpZJcXADUeH
y1PNagD0g+GBfCTot5/zpsWob/KtBxuOCQM8+GwYKRhy6V5qNpmx13nzxV+SACZEe01zE/ao+OPY
mJWG1T+F4YsmIMdC9XHJqyPY0F8Epf4sqST3Y3Ytg7jVazZ3XtofBhgPO16bRjS7lY4LyzC3rVHP
GGYV+zsMvwfeXIcSBK0gpz87KiYTT7Y+JFWBu6hJ/XrL2/aPN1sPRuOGexLDBzjCZ5eg/YZZa4cU
/QO8TiojDdT22PM6YFNlLg92kv2YYLYSTzfecVy5t7rQ4xd+wo5A08JiirHF5wJxtHtuY4woxosO
7Wtr93FXkIP328679HhNSE5bnxzgbMTM3n23iRURNvGWOFjEew3+IC68gJWwzHbM0JHsymhpKXY1
oW6AHgCY6EsWR1OAs6X2/pa+BdkqP9aljrK5fu2Bd25K2iLzXt3BIba/qxNSUcAMqmb5NLoAD9Vi
lFsisZTDVvSmvnDJHnaVk1+LROX7UIyPs6wY9diJP2aD/VbQBRf52qbUtDKZFwWKEThwcJpDvsPK
lUdOblVIecJ50Nob4gBkcVzKIomJjm6hcW89CZo9coU6OeUFU9kZ71/Ox7F5mYp6Q2r9lIRDeMiH
6cFbQy3jYZrCeGpF/Zr2rf4EYUAAAfJKxYWD9a0+eJgw9mPHJnRb6aU95iOcSKP0sFmIzDqUg1CP
/arSnylZJrBPNvCU4dWWxGQerY7tSv/bR+d6nXOuf4LR95ihDG0brS6GV3Gh9nBdmNoPDg4RMu4m
MAZq5JZpart3G3PWoSwWDBY5DtKt6KCON6MiC4zZ9GL5KGZcG5Kd8lfvZc3mPIJLpa/t6mi0TMvr
j3DCplgaOo+bUF8MH+9IOBeaH5SZ7jsLB4lv+dDkeqjWb8rVzgPP2RZP/GXxkuFCD/W6aQnlm7wf
CyvY8muHz2FwjCMginzb2uaC6XX1v7s1GTAikEhLiheKB7K9Twh1jy22fDdYdca9Kx8namI3RW7m
2xIYCwQ8Y9qmvOeZk2mBJilMpV3VPVO4iuODOWFZfawBJmax49qV5ILn+QdOdMBhnOJHL09Be5OJ
jVOVGUjEVUmFBPIN0/Ks7eDipx3bW3Shzo/dgq9LiA/FWZOhUPXubx+pi47WxXoELKefioGweFze
9fDQ9CnkJblUWlb6Ua4uMbqgbU6NTfnddsgLbAsGlmx2YosuCFZm5U9ZUPc7lra7a5k0GajKCY4D
b+R8NSkekX5nGZwLSyWuoeur9KK85dyAc3hPrI7S2Y6rB0gqIV5D6HbUmQYlVqmqrYuLHhjJ/ATH
t5qFSeF1Cn6BkNqa4ULy/AffJj9E6Ls/8Ets7En5eOEub73nxAOPYvT6v+zZGB0TZ7jMkgtTY9jm
k9W46c3wWnvfZ7LYY+xhABJeL/DesxaMVVe7FxNinGT4s8GlyE2BSnEJpWu9TDVoxmqxrFcOfjxV
np3tVUrCktbHvt9bRW33O22S4KNipNN0C2JpDAUe/8XpgSe4/YQS1i5W9hV4nBe07M3lmyWC64S/
FDFzbh6LvvUioZ0/CUD8X6Yt2oyCYjv5nVR5/coY8qPA7A3JUT5Z0/BqhaWK1V3wmuj1HFfqlEtm
57PWJo8rmYgo8Bp1YFvZfHVu7h+CjiQCvntzq1p8IynyIIaQcn0kOq8x/1agRxY/QDYjbshHy0Gg
8yauFC3ldnnRPQSlPUVdr31MheObWjJcepb8IE3RRxK67b60XI+ijDSnU3rofzoUhODuSnyg0e6E
pWtySMd2LhebNHnN8I8c8Wsx7kzkGoLprCku58DTxWmx/L854//dFj7Gd1MsJ4F2O2ysQfiKLZuX
CY4nHU+jaC7emjxO/voIoDF8ykAuR2TBu107Wt+AeHkYAVNedc1sLIvVBvm7GF/KS/HvtOHPcBTB
wcOABYQhcKJF4TmhTRffGiTyApyaJQ68dbkaW6ecqekN/LH7YAkev8Y30tOED+DAxY4ktqyexhx/
s2YxtWPDexEM6kMwKrymqJJbZa3DkVSy8aAWHSJiOK8ZrOe4KUFmOBKXRGZ4Kp5olQHrzF++6qJR
2Dds9+ZF+Fgwg4SMtwhSLsVlGaIMeeV5bPSzAH8ONqEhdjlj8bOS8GXRtPtkTUM4Upj4D4gsKj/c
6rF6baviYRlJnGYenn1tFXSyrCVQ28id2L570Ll3ILJYJrVIo852DBVn8sxe/Ry29pihAkiHh3kG
aCM8DmQRyu5twVD2u3V9VMs2g1og5MqP1yWAymMY4+lsSUbDTCB13BTXMRuSR7mu62kZScsG4VhF
ZVe8uan35A0FuBsn/PIKca7AXgao3ZCSAVnLxX4KmYvOeTZFss/jvJbv5A8/XQUDuhu6LOpb4KLl
UzKoLF5ZsLxIUsaRRXHSs2228txjYmAJ72XvrlV4h1LOjDR6aOORdmSAqX7cZx2h86Az9vUYbtLp
SbNruqZzVpwKPmtftU7yBKo5UC5nlGgvk8snICXuICbM3oC0amip3XhKlROQ+JVH4XGebkBJ5vtg
YSUIeAdeZOEvvE7AbFKc7DomkiNUS7uvQ36MkBXezT5z7gMQrbeBrppfkHjwNnX0sV/4TYtTEyxv
Y4BEVRnWruV8u4YL3Q+RobTxjUWCZKRXzE/5vKojKESMvQQ6zE83l8Yr937YtDzK7/goYJSgsWcx
6J/hxrkwgDCfnOonDnP1Tfcs9zpEg1CxFCrpMjrjicxL1FtnenfHIb8pQ/MxXkp+COyY5uyBRHCx
QAXJGTOrzg5f8c0MRyyx5Ghraaofs+m7b6SMs2ZfQZ0kUISTBiXTcVqmQau6pZTyghirdEi2Kq2B
1fuYKrvIsfz8jaypPLKOYoxrJivfcaN2Dv5U55iU287ia7HDRWE5q8/Cb74hDhjRuIzfXMvvjPK8
LWKzt74rBj4WbiuC1cYokESGyQzOyhqx90uIvTKeuma4LhitGSlN97PBAmpu+M/mcDVsb/hFRQcJ
ahhtLVAj5f4uGMh3q3K8Y5CkgB+BBD1g0McFrdgJS/zXuw4C+xO9DZxoQP55UHqfnx5eNftgGIlk
/wSxrQhY+6B0NaCsbfWH7860a0aNMRzj9sHU8tnTDmvIKhFNVDiuERWY+q6j4ekXlLVs1wN4W/HX
3MuO+hpISkmOm49foaDkeDqLfZG4v9q2H8mRVGZ/GoyqfrPGUMQWquzBp33oVs1GCfIIriiraMuO
SPcxVWJEMm3scqbU+Y6N4r6feYDTNfhqMjPdBX1SPPLg99uVjPCRJJZ1M1X2FQ4oeqQOoMVMs/rh
dJQfDwBrtrj2HqdMUVza1ZhOTep1kwysiDfWa9wvn10el4PZg/RpH9gIkgeYevGWdiA0l1Luw5ys
TKPI1Om0ldupACRLiszfJBVxGkruIk0s68AtMNsNtpE8T53JWT95P3UyZssWCEy/NUMlr0WA+KWR
wJ6dMoFsUFBV/cqyad1lWZE8zc2cw2w39I8EVEG1IjqUcE1vjZT1ewPuK8LRbG78MMyfpjm094rI
PdxSotl4NnkxrBEEwfCcI0ty6yiL4jWbzPHZt1j4bPEWQvrH3ZifqYBiJEgDR8SpzTvZJeOYrLZ+
0Usp8JtPau/AiZpK6pTZIAK+almd2srf3t/UPhePrR/C5+swBJAv6M13PUEi1NSyoabQIsJiVsRF
ToQIHuwrNzOmlNGR+wAj7bWYC7WrlyqPSdr8ZP+WnBlEikvFNBnVPReaJYcj5XYctXiO8HGy+6Ny
JnM/fIxR99Tyrsjt5TCMo49ttZPnbhX5rpwG8zmbLbVnyYDMOYI/QLtZqOmFS568ZEp7D8iV/FXo
Adn4feOcWU2LR76rVNLjtequIpnciO1ao8mE+ITvsy5YL82q/b8L6Ztqz/aFOyBbN32aZZhHgbPy
9KClvqarM93sqXs0AI4BWuqvPUzto1OBHcOA7rZ0PaSIcT3RRb5AqmlH+22JVbj928+eaDazx0rF
b+0JJJVn7EajSg5EC/jz2qGz9oJB4Uzh96Gql/GrVNh4tqEikULhXZO/8/P9uVh9sdeICLy62Ktv
0lpwbdMJLWLDp+lgNKRHhID8LHD8EgQxOf0V+zszJp5G0m21J287lyQTIFCp87Jqj5IbSkXGxV4e
C/zom67H4j5S176Rdnv2G3cA6+W5vGzYmTP/E9PLn0fay5GLi8G+2Skn9NiaRH7CXT7z/Nbu8iYq
t/y9GnX+OoTS/80GLry4kzjlU0GqgPs2/sCAujQIV2TkIonp7dNgIXtrRY8BtGkAtRfCiM2S2Mcc
FvcGS3Bx4HNyDymYmeEbDZSbhwXFJrVMSgxMugr4wdU3Fv/62GZN2JFTdcxzWlOGjqGOBZPhYmcc
jR/ERuVPIP2Q5rxWmWfUZ942qnCL7wSxkmsCeZY9JsqCKBUVNIwx/QfC0I88W3/NOqx4jXvyzbay
6pj3YGwohJH5p+D++TEuYCQ4hczlQEA42HDXGLhN0S5EXMFVtB3limijbp6CpQY53ATebaxrIihd
NePKLem4ROkbdwIIkrNruhlPxrwpEjLL82hECyXE/7zglMgSu9WXT2y8qMTLW6x5EOb0ITCofVoz
I9gbvbaeWijZF99g8zpyHj1j8jBwkhPaZmjXj5WbOgdyruknqCH7rS9JUWNCJnZkVyZmDsNRULLu
+rhRSvFQWDO6k0msiYXXOEQzUI4WvHgFuog3Qd4sCO0qL2FdUxw1GsK6mFN174u0MPk0q2d1Mf0O
Rez1XkMSfPhbiJyQLYU+dI0W2BlkWa1bi3ImH20/yk0R7j1OU0hWS30xKuvRVc26G7zWJR63+g8L
bFfu+1r/IuQIgnwI5ntwKJlhL7srNDw6Yp5Z0oYvFk0hjyywvV9WkDVnY/HYqzWmOhXSX2A9p9UU
2W0WvDhUDx4peP8c0KFLqtnkerVzXe5w0sg9r1L8Lvky3WCnPgsXUI5m5joU5DViZw7eMehm8VD0
OaNkoIu3Hr/O46y0i0F4cop3rKvsCIxgxdyUqy7q7PUqeSAiGEkKkNTiH4es3Gf1nJ3cOkeOTILg
RF/OQ4cLOyZVERzwGzdHtAxqZvKu5hOh55PoMM6shUTflDBLoiRYMAU3EtcHYf4Pw7OfA5m8hbqb
HzM6imI/4RZHGUoa1zPB71oXTxl7whw31MEJIEiQyVjOmExRXivdPJQtnvJGlkebcfaJHBi6AZeo
S7jUkG24PNnXzg/bA7rfdzB0r465AExjYRQY7qmhLK/dQMecDkWizc9MUrs+VHW4dx2nfhNwR2gj
ZCcNQao5idabzmgCeEIcV8e5sPr3quQbFdD9TIja6oONZFFtsnwY7kc6LlRYG9UuJSl/Dzpi62gn
bDsmJXVzOSIA6Gmx4Omk7GUzarCeOKYVaTnyYVveHO2OnaR5niz1p5MCrWdIaWDOYSxtiEp2D5xb
LjApeznhJ3DYTqf6VY2pfgiaZD6QYVyfsVhW2zVPkKRC0Tz3DBfP87hY2zSrO7LEisRwNml1JnI3
RJBsgr+etpN3BeJpk61cSlGkk77kk09MmvVS+NHk1RJ3eYtqkLVGXDZWSU7dzY7FjCe6znzrSeRe
/mA3A0L5mlENQi5sfEQbyL6rmX0y2fDGiWyESOwOwjsv3uB8inLWnGfrgGqoXYJKSyijpdQVvq2c
fYLrhN99EjonBpX0G5HwntK4S1F2DyOSS3jNRWByT8H4eZeCPswEV9YmbM3xx5p41jvqRv4Df9p6
Q9ugsC5MjO0qw+JPZjjiedEem4OkrV6TIsm2rAW43jdUCdlhB3bTFOY+A2FOs4aXPZNJXtOoc6bq
NMLF+dsK0nYNr1cWM0tyo1XHdfFOVPWBbjlna8AyPk21be/6gXcNl+fGfKyqZf6BzOJdWVlVcM4g
KfHIO8ONjYHzUk9cwI12KV/K1vhVDBJSgeT9OVXJKUv1wDrHlbe01+LLbRSyYslnZtO0BI8cPzcw
Bskai81qHckpGCTSDPW8rqyLN9Y8ybhq/A4CFUJGV4Rz1IWW+GtRpHXGodPRIWGQUyITNGWPHsPB
jmVcciKaUO1n2dc8tlz1uTqjFrCNsp5nYALPFNiBJ8AI8Nok+QtvV2Yel7s0r1/7IGvyjO6clWeS
SPrNmwl5gupg8WRUkKvAQUtK26byI4TUhhhtJNmncnw0t7AqZmQH9O0VXw1HVG6UO58e5fNgeetX
Q/h4H2Rs74axtqk8ddnjFeSZ2e4sL6hh48F1wdnO611778xp+Iu5ZomCNnVf1l6sR0Vq6c63GTZc
usJTVwLHUazoIz6qQHoduigWNfjoCotngIhFNuexZINd6wdgT0/1KkaccaPaTWES7HCTMXOSmNo3
rG5eBqU7bsyDezCd3uJWFYiZBkF2739Xw3N5U6zNW5nxPSAvbpOn89ojqP3kQRaTvDnJUJ4ySmW4
wmMU3JS+E/AtF384cIyrSpZhhLxHXhHYR8UZ9D/wihVFYVXLLlOzS242aP+4/b1Jw02qH9W4QCDP
sQy/ebRqHFzcV4+KBr2fZTioB9dm6YJOixmWHtiKE6lonv7pZv5/TeH5/4hujW+dBvX/M17nfw7D
V/3vYJ1//YJ/+d9D7x+msC1eCTi7PT+8e+r/5X8Pwn/giuf39vDlOtY//8t/0q1Dz3dFiEFesMq9
NxH9Lwe85fxD0EsSBp7wXRe8tfi/4ep44k6v/k+sDr0+pok5/07Rht/Dn/VfPPBt5s9mZgy04mTA
yTamNjKxnSgKLvZmi9GSj9FaPQY5aUIcWjYdq9gSRm6pxFLqKBt9NaBTmr6MV+xfULfM1d3YtTu1
KLjkBvFuQ1AJQklrBYztP4u4GxQN3uIn6tUmAs9oGZETqvzoNem2cJvh0ckb6ylEVXpIWZ5yuTSa
i7bC/DikCTtpy3kJHPC5fAdpk+uA07WYyK74fHYggOPCmYut69kAV+vI76YpXuW8Rljzmo11P5BW
GbQ7HwEZaMOE29bFXNH24TVJDfGgjCElp5P9JGqfnxeL8GGBtQkDJD3lrWv/5iB1o1kN37jAApwu
OZifwV03k06WIz6k8WmlEoRaPTP7HfYepaeLGE6UpX752ggOJqGcXTERTp9D/swg9/4kyhcPI5Uc
RHBdtkxQRZzCePB6n53O+ot7+NFI7Xiskw/d22duxxeHURbG9al2xD7PTDySfm98O20w7xJt/66q
bj9Qw02kbDlMFf3B1my/piFiMYL4uiXbnpALaMlEieKjyly9HX3/k7KaSyEFAXw/nodZAoXQNMyk
fQAE0FBnMQ+Sq4841XW7YHh09jjFuXRU42MpOxaRqx7oQCezcJg759cyG/g9pAdP2vas2zK5uMqk
M/2sBwt/Lki79Nu6BzgztqeP/8HemfQ4jmxZ+q8Uas8ESeNgBLp6oVkuySWfhw3h4R7OeTDO5K+v
j/5eVUVERmfiAb1q9CaBHCIpUaSZ3XvP+U7SChZUo7feK0xE27RV8kwamntAsjx+Vl6DCYoIWEXV
OkwHFEb9sQqTs26U0adVwZdD4irgPZGqk9UQSuwoxYCZtF9m71tDwXVACLU0AoMdctIqceaw7rPU
yktSuN6qd6ZbGRY3iQt4Lejdy5RFpKaRnXKIVAPBCDuSeUEprVZY599TOx42hAq8ZkB8TrXrYOhO
oaF1JJ/eum6LSB4l0mHQSSVUDjquGOZpPohphkWNhyZxzwY4qduGSDvjSC5b7DF8yQ1FjpMWMaK1
kqzdNBln/6VGQB5iCG8mnsYdX3aVluS6L2KnZWdn1JGRsDr5GfOJKIaKommxeVuBQaQXJDLIPV0k
cnR6zqTryxY/K0hWenHBunblGCCvCSOHDl3huys/9XuGfbFBCU/0Et7EPKiYgmlWlDW7lqT0Zhma
SY15JLGi8gmVXwWkXMtlM+HKlnNFphek7XQyZ7sJKaExFiBEOPgqTPuNRFdlLAJ6T5LxI67NfWKn
WoHtPpoIRYqZFG1wm6Ue9AotJoCIACH4KL4ng/XoBXQHg063saoJB1ZrYdPiWDc0n8KNn2my/ijw
d2cIZSTWAQNO64xv9+xX3QzGJ1Lk2iuvienfB5UcV7FvQLjDbhIWO8RVsDTMTqP/xNGypfNZpDh9
OE5xs9xEQ8xhrVs+xkMS67whDSN3M2K0l8R5dldjZPje+6qwkC/gyJitaUZyASqVxZuptXJJgBBC
0+sQP+l4oCcUEgM1IF010W6mEC7kJFZjQAW8zdrQNfZIDht8cpXWRhvPTZC1mBl4KcgQBkciEDdo
0Nrw1ssnfc0Uhwu2ZbJiHt7xRcvQbbEuDpW9UIxh02K6cjTTfCWLMDyBA2/e+rxoLZwSgyKKuUZP
H8op3mcD5y1JV9YmxIjuEkEdjXsfNsMz8KZhVedqfJF2r5i0hemNiA2WvSjAMZLnzZ3lusWm62r5
EpiKs6VorOnV0KeP3mkRNupt/uhr1ar0wG/WcUc/vWsODv9fMvIa4HMAHoe+ywBKdYkgLsrnjqKi
m8WAvUY5REP4PFb4eLVwAIkf9GVjrsjCrWb4U572B1btx66xBnyioWru4sxNxa2fKkz5qesy0MA2
wpEyB4c1Mk8Ybu0UOeIutbBxdDp2jbvUNcIPBv4GuYhRVocrWVnRfVUwzH+lIGiqqwlVEH3VLqqh
2QYhRBfo0pQ13wZarXLBSQ2vt2Seh165nAn0NUK3oe4uTTNGZ0tjutmJYThJ0d6MSWvt/dCJbyQV
E0Up50Rt0l16a+nwUjM2vCk13YsWHZ6t+3pKYXj4VZZeAAkU33LMxDvocP3eJwVBQ5NKhLPjR8aN
RvOLSULjnYcGdz0CxFjCIpHtUxohncayYuPMqUTrJ0u/EfJTppM6lhB3P33OlC0iTSAb98jSOczC
3Sf3UTghOd6FHqefEUHwAT6vUL9Ous65LQrDecrIkt9G5DO6G3i8Tno0UMezKozhWsu96r4IVBks
66TPv5uuLD47FNnPvTKRvYIq8laOnSHDpbVDMR4NlKGEpIoTeDItOyEXsO5RBKrsmJeDTND0FKDt
OX938drTQ/kMYETIZVx7wzYu/cK8cgAzfBRa1d04iSnv9SJPj3lEz4/OrO8+pJVhv04tOwhIGRZJ
og2DZ6fTmLVDnMNANKaoM/CcraTpOjufpvjaCGwDSaHZ7DvLJG4isOhk2G2va6wRBQH2knY6rARs
sZikvKl+GEJDu6YPQtcTfBp9JofgC8RbGjL7eTSUE4LWqXQEDI2xjvnBmK7DtCmuakLBzM0kRG3f
VDFu8qwOeOhAB4hZSNn5YsWgFJG/B5CDWaXfNj46VFOrqEB09j8VMEG/oZOrjWeYrKF5o+kjTXRC
O6hhQLzmoMWFCwitpIQKVn2fBhBEtQSmVySp0rcBTLHgGOUaacYdbMMbAw1KcAXSytaPPbh9Juge
cgBaE8WtVwwlzqNYG9tbX4FOefTR4Q+I19F6QAAxSWpZ5wmvvMfsHBE2XpjENeS2b5R3TxojuANO
LnRNfNZ9Bw3RTrMmsfNsOaygXZk79rPsLCaqbVp3couJjJEg9GpGtnE9HWvfImY7Z0pyiJBKq2WJ
loFwxbqr3gfpAHlEE8TxQejXUNCYvVb+rc4Lv6zqyF83Dk3SmvjFZ2m06gB8OXiICRlaJjXMRIRn
TkAScICJi9NNzi9cILIZpSqPdChw8AvLIgGEkaPkZy0bGwwaEpnmYqJUP0vE58hMQ/Fg9c2gtmSS
ACAsnIRlOWscUPplHGd7sHviYTS6iJ95HN1g7Y1tezcIcqH2xiipEM0p+GCbY7H0q56WXteHItgB
zvfXBvXHW2lkHiFUenqZrOKiXGPY1shDiEgqyX3IJ/uIkF1CP7YParJpXJvNfQAi2VhEuX/oUVi/
sWHEd4FrgnQjZoBIWWWoTS+0BG1K5UPKtFz1EQQ5R7DC9oEH6v0uhaodbcohdBkTR1VsrPVaWBsl
3LkHhF6v2jKjDvyTHWLXq4ueHnE/4K5I0KMuVTMW72U9vjfEEAo0AxGRF4Vu2oBhxIy6pjkFz+OH
4uw3dlvihP6y4qG2+tH1K1A76gXOjb1VpMQwCLuurvJUi+//9ctgd/YcywQwhYz558t0U5YXvq/1
e3eomD9jgICmNirL/ZuvM6dp/lzAzb+vYTHIpSKknvv5OoanmQ1yhXY/tXn7Fs87PEwBKoJglCk0
Ci2JvqcdvRJmaJkp/+bq5ny3fr28K0AVecCxPefXrxn1QaLhrGr2VkW8PbqN5s6U4ELx1ELup2t/
IxUSowRz4UsyFrQ5OE10unc/cbqwvo4ZRsAAfW70gPDZTsNlcIti7whFW0XXA6A2sM/oCmt9lJ7r
qmKpKlwizco4LBjaeMe//t3+/IWohHWXkl03pIkv/Of7OaFGddOiLfdTVBMhjUoe1UpXRD25iU4H
N4hlXIp/oItJ/Qq+F795Jv98UQEsyjIMycnUcWfE7o/PZIX30Oro0HDRYDoKV3CWbugdBleROyqo
vv/dnfjNxX4Ot5tLfi5GLBZfkP8TBKGfLwbcDnStzMiHgHe4tivzY0i0TaYPzd98qz+/aQjOOYZI
G/GeJez53//gasdrZZSFivJ9hAytOVtG6bNx5obd7v76Gxm/uX+2Z1FFckw0ER7/8qMFJFXF9mSn
+8ai2Ry2HCkgvofBke6HABlrCrPeerQXPba8vj4nfSusC+a8JRtR+NF+nf5KA5EBuhgfOt3X+bD6
Oiv+9Uf90z0xDJNHy6Oxw22xZxzCj/ck0EjPrAoZ7ZMw1N19KdvmMhQDxdK/fB2gYVBFIDBzGe+X
ew+IpFYBGNF97lMMrCqmztFqzty6+rrO/+123/9zkXfEj5JM5/Eg/vert3pr3v6J175+y77/x7+f
ItxhP7cG/+eP/bM9KP6wBLsD74gnXN7Uf/QGPfMP00UjSc3kSp5oAVj7v3qDFn/CAdGt8xrbLPk8
Qf/VGzT+8Ggy2p4upcGfdZx/pTdIJ/HHpd2VDMAkrwfpenQZ5/nHz4/qwDwIxBK4qbxDyEBYWLnt
bZVt2eWvRVV7+8jvSI01hoWNTH/u5JwCOxN/s8NgSP7N5zDBY7GK4AVwxAzP+GEZEV5AUVX4ML+T
Ot1hzt1YItlgw3baYxgeLIxBzsXPZtwC0SjjLLfDLHqKSeJeqErct8q9rvFpkI7MyErPSTYbSO0h
rooupqTx4x5KA7sGTT2kbs3NiJGcwk0R5wlCTm8f+jo+jjZCSR/gRVZfhmQ494l/ZYoSeLWz8evs
ycoQ6dISRdGf3LeRqPDoBG8WtcFKR7SzwgA+lPAwK8yOXGjF5G606Mah0i7vxYiG2R9xSYoLDiAx
jwepLbGqAcJ4hrWbYNyY0GYG9DwG59jluKTsMFiO5qnQCvyJqAwkzZjplhbKnXLqq5rEKAiDV3nI
KTxBne2qu2GwXyQBdVj1kmvST5lDBx0ndfqGO2FHT15BNo2kVzDY34sw2kn9Vav1B5cdN2jcE8Op
W7I5tyYEN2PQVr1pqoXp8jEcz1yObbJGNv2NBNKPSAmHvCqBoSRxPkE6+XvYPnAkJwGSOGnViir6
0Bj9SQOtCvgCaE9vmEsBZwwr8r7Sb+vcXQIdJmjC6u/UEFwMHVYVggTulofyPx/XkbNqnB6WnnjI
JKEOJMMsnPpO5cNnh1BgqPWXiTbGWOrgrvvyOUAHNcJGQrxhb7KB8bOPxdn1HuaaPaHv5Ajc2DjQ
SJpH1K5314HmP/vldICmdlu5HnWE2z7gIV0ZxkeRZde13h2QM8RL4IqrAu/vwuD8v2bfwBxM+vbQ
vMaiWZpWM9FZT58JmFpA2HiIMl1foMn9KBQeEPTIq6LG+WDq2jqLm3e9gZXk6z4YpvGqQbDgAhe3
u/Apzox7K3tyyZU5x7gInzhlMm6zbvyh61Bo9t6ioluy50i6AjaNjobSWuW7JkyeacJ8T7TiNE7n
0n6oLcpSQ5G7Y5aUvY2Lo5sUJahaT5aR9zNImmzL8DL57rEb0Fs79qazxdkabypZnlysnHWFdZVj
XXG0MK21Lce41gkvDShFGnnNTli44BsAlxDyYH3L8NIFxhHgHtKyfZ2jyrId4iild4nQ5yxo7T+V
ExiDxPkGLXEdk4K5SDSjOinPmEmySQobRqzRBzNejb7Zqdyo5GIZ+rIvjRv8VTT8rE2qT48kOu4I
DFpArO8X0+Q8acheGUNueTTclR6a2V7M7a/O0IGXds51gUYoNMFHm9ND1Jn2SrXuS8Q4Z5lA/HAm
ezmORG1nw9nlHGGawzKfpHugMl7DbHl3Outi+PH8OplnTwdNpxr7HHlgkBPvlYhdDkD2R5EYe8aW
N6OOWcIyi2xDUtTOzslYShUoisIdcEdX8W3ArBCytX4OgBJi0rtUSPD0WufOk9ARoJKXZXTKorxf
Ob5gtEsqkzXO2g7HvgCCucnSWC1GyMeRzLdd6FsQ4UJMoHX5rbCJVBmdxwzjjMM/II8OfQl4udU4
FCgfqgdEh2eSQV5a4pxm/DvADVc+Tv14h0Q7IFzhNLjNocCV22XVvY7reBLqpUntV7NBD1r4R31s
X1AhPCWjm2HK4XugLR81sI8dTD43Mm8ZCd3SSt0PGSk8IHWvELiSxJIAeFCIAhGYVvHOlf0ey9bO
NMV2Ij9RkHIHfOVNBhNSM3BGtDnNk/J583OFdcFQ8rtpuo8IXsgxSay16vFwMdxHy5HW60yANauN
fCcn781szWGharRaHtDClMyZpRlrD2YhcHGMTH6h2TWj8aS8/NvoumptZYzC9Kx+ixOXFwPkWtj0
L53nX3JN3mu9nB0Y5Jci0ayRR2/rKjmZRbCfAuu7Cohl5yyfroyoPk7cVs33T6SjbyoasgurQCRM
nzOmbw8GAYmMTcvQXws9OfDq7RuD/BQEwBcAq1A8wyAB+6SdLJ3+ShREH1XBsGdKb/WGaAVQ9Tc1
qHTl8jwQ7Ri6ybpyXNwasIEn64qxzhp9KQFvnHxltCtAjuijj80aR1vy4OPbBvy4TcYWRX6OJp1F
SC/8TRP627JyVmXxGtb5NVLvp64y9kPqrZrUOhDGsOs7YlRFvjK8DnaKxAcYDT7t8YaZ9h2piCvV
WLsxulZF8wT6BK9gig+0ht9mPDNCOps9YMsJ1ZvrbaPGJ0e79neTFk6roavuHb95q5L2C2NNDFJF
NGC1YoC4cGha5R4Tp7TFa3Ac6KNnc3ykllc32iROhFFvunLALRTzymu2e7GH8HuJRAjhaeHq53D4
zLrpWredDY0tunHis/ELtRZtvAIFf+D8tuz66BNz2UcYWGfhNNfCqXYze10f+7XeMra3K+9Z0iKP
28+GoTxyReZH+bK2q2tbDbyExTOvyKMaYbmkr51MXuIufw2ImkO8cWz19kxCKzIwm+XFD082ixY0
4JuqLq7cHi028UFjmZ2Vnb1mAWO1UbO+ea4iw8TcFcN4coMoI0ID0IGH7UOgkDPat3Zqn8PYW6c2
/jQjfp+q/FsmxgNgFVnibR3wb9oI2pywBFNZL7MUDQYhKT3ijuxKsCjg4CafoGynVcjszGradTNk
216cphhiCnJ32tPfO9mtRUpIHIwanuZm6wxwRNHdhYl+KgJcp6mnjoGV3FQk48FmuYXLtAwDAiQo
chlIpEezfoitZCWUtinr+LqM6x3DRnLHu+jRjVxM1KSR5SFfK764yFxbd5sOBNFm9YflDYcwSnZY
rB085Ucrg2nsDNBpVLQO6vSAyW7luM4j4ktmqS0NP2vmdeAYt5VWL+2kmWAIZQ/IlKwbYteNpRMS
tEogDgebomCCDSKo16qrBLpo0piEplv2pQydlyAeGWC2T3WXbslbyxauVT1WyYyCih9jF2As1ksH
5XAwcJiZEG6ZCxxb2IDlUtjZrSoJxvPr7WgwLcSvbwYnJB10SMPh6Hk86j5hBv1nykSrjW5oll71
mXfxm+gc11dAWWGDuMvhdphwh9ab0MnPyi8g1pnVQEZqyP4RrTW9vW3ZilYjXWcUT5P3QIvvKej1
26jVWQ/kNgrIe062jWCeEFlAxuSmrNrjoGc3nXEh9XCdgmyeolcyZAFgGvRfWgQu8be+b3bYZ4/k
gASoSoargaH9slfOp5c/hrybYxFc9UawiCsmbLjs81LBlT1GBgKgVN4TrrqRDKMiZOMU6u3Knl2o
kvNDq7lPSQNmZlSPagrWE3kirXmAELNEud+w0aJ9JalEZc4drtDOXgfoDPoliDDlwYJi/qJn2UOg
A/DOuzi68lyYoUjMOVrW05Xr58mplE72rtnkYeQA+ve+L8BI6Qyan5GxFY8Kdu9iQrW+7BDVfOZN
Iy8eoz80k6L76MCAr0k/AEViw+qFu+V3S5+MZ1MyTCdjQn938jS8kQLNua4CGwsQAuidZ2K0ZNws
Aepk3i1sOe6k1oSvGadh2rklMJ9Ys411UxKzEnsSzXVIRN46FTkvbBpBSBiDnVtZ+ncuKd/ddJq+
kc+j7xBAN1tfj427wqnExkAZe5bhWF3peZwddM2t7qj3OB9zMKN/XOX1jcoScS/5xAgLFXtLHPZ7
3ajLQ9FZwb7VILniL2aPm7RhBURB7gOlkTSXdam3xfqqTnkRwyGKKmi1tjftNa+sTybR5ldp1dZX
Xut2uMdR/D0Olcd9L5zy1FhwQ2DynQpJeChtSj2+K2TjPuqVPr6XRa4OceP4m4DAnrM1TMULU3MP
JWSuCBoSvD+SFJZvkuk3wbrC7jGphPHZ6hr73iZP8ZZxw3hT9155bfSVfdtZ8XCuCi+kPf7YQULG
xI/9YmqGW78wrAfNssZukUej+YJitN8M8GTJahzSG4xn7TWhhS4u27B5DWczYla0kjQGdL9EDecX
HD3IHo2mPqetwQA1GktqSGIqvGBONkDyt4GjG2wDzvULR5QwAIh/XwjfNBACxNnWC4Nym80Fdg5o
biQ20TeJEO2hOsBDfxItnByoQ9kr5ETzuhxa2E/ggw4azCPWlBy1QxpdiuF1wFgG1dFedk06nk2T
aTnBq2N3V/NkjhDg6zHbMqwDgaamd5skdireurVXNOXufc15kPl0dlTy4qCvtexsH+LOsCaUc1bD
QMYZDgriD3ScmeJrLzUktStLg28wsv/q7nOvQRMYiUZpDevDYSItyDHBHLgGtYxmKNkghl1Da+jZ
GNDWokCkE3otA0vf5n71NJjFPe22fUQ+XWq1K8uYlmEs+MTttkuuTb16NAxwCqVWPyNYQLoYRJwo
M+e+s7oHXzPO5exQ1liJojA5jgMBRHI8S9wp+xLM1spGn4EhskN6PCFGYVgDEARra5yvUdicVNQT
4R1zKK/RM6Ax2nS4CfNaM1dYidunNizxG9QHL8QD68lNkOafmKwefugP/aY1K2Y52E/9dEhwxGbZ
1Jo2Gb36r+18R8acmGyn3znpE2V+dJiGdjgPfclU0UjHK93J1fVQBNMN61N420eOfW/EdXyufOX0
ixrP4rNMuuyb+/WqJPNbQ+iFd23Pb1I4v1PJ/Hap+T0zvt64+d1D7ZrcweOggVLwarbzOyrnt3Wc
39t0foP9r5d5CER91aYJCVk+7/o4v/WwZ0qKuiJYZ9mkThnm/W1PojvWzsCX+9hPxhVBuf7FFDZs
6HltMeZVZprXm8Bn5dEb0EHKQqSEpot1ySDqdhGEYXNHZHd9pxd1dqBZX12VU0Uo0kQ15s0rnenb
rHnz6ufM66A9r4gkNBtMmVklq7GJMPJDSShVuE6+FlPA0QV7J5RFEhNZbNvU63djIhF8lZwzSn30
bq048dahMJPHToQUDH3P8g3NxjmosQ9vLK8w3gm2HdaZ8paijNnkvzYBLNbkrM07AyEs3Yc/7xbF
vG/EkTd+6vNeQo4ZwKF5fzHmnYZZLJsOv2axx9jprdW8J8l5d6rnfcp3U4A/Q3Es5j2MfrG2NNjW
Ij9C9yynevqgSXiQWLcq6OdG/dhXmf4MPZahCQgN82m0XZpaZKiPL0Q4o1cYhYw3ZUADKuHZnCca
xWLKOMAhjDUXArW9W6f5dRiCWjZLM7wuO548kapNOev4HJJQ4aUSj/dmfWn8ii+9nz5L/+ovFWDU
fF1RYB5cuhnjT/ZpzZ1lhDkKwhpN96UgmZl8HtNk1soisXV6Sb0KL4KTQtZoOfQOx0q+Cb28wQ3C
FBBgOBPB0CfouKJaWLZf08IuI/wNfQpdNdBk606p25Bqc9dr1kuV08pp9Y5KYuJcCZ7qcUwR9QTE
A6EsuY9jdZ82+MC1Pka5qOXZda/nzVpSsH+niHnSpG6fRAt8sy6thy7i6NmR2LHWMyC3XRNKkBpB
eit7RztKPBprNvoaxEIS3bs6ZlenqeOr0HHuIyO+l3gyDrHyEpzXHLPbTL8KhAFeoguHcOMMHYee
BpBaJ5zXiNSznTQijGGwElI1hZyKkxbx5HhEyq4v+oz/vOfBWMZu92y3RnGV27ogtHuwlklVmFs1
IrU2Oi+DqmJt0bSR65P32A90ZW9optJW0au3tNVvOBeayHyGWSMCVrEYHgtMI3e9VlKOMT3cWm3b
SSSaSXEkco7onyQots0ITLIHgbAVsVNupDth8La6etOZvGuFpK8Jdo8KLBgxkQ31a5937n40kug5
mvJXm4AT3FplhYNWNtvME9XWnzDBMEGsF2jPh2Vl1JgySrIdRx8cvo7mctnEtsXu6GUcLUqdcv5i
qxHjs+AlHkNK/lD6BTk7Db/wSNXqz/VA7XX3/Dl7HwhEUlgxhfVAlFd+KBom2GbpAddl2z0hffsw
yjq7T0y8gHJgQUEJ9kEV8xkL5z7MHFBnRuQuTC2wrssZr0sYgUlhE37UpI1j1kAQlKg6W3EqAKI5
Rt+I9n7u0xfdjk8NhhGnMVGV5+gKjQIKc5J/OvV0O+I44SiMAAuVfCqw57hAoKHjXdeV2a0IHULT
iOwGFQYy2aKwqrvOMPUH1Pw11avxPhS40GwVP7hVujMqFi5NyJ7KGOekExjhMXDFAd8MiB3B+zVU
bBKFxnGAhvR159uQjVq3ULuo6QrgnfDZA3yVzzHSRvRoYtxMQwI7ZiBbBh9o002vhI5lKwZO4dKF
Q7dEGkFkI2rgN2DBYh9ojn4I8c7t08aqz37hNhfyL/OL7WvDN5/152CYyt0N84kKvYN7VPMpS8zn
rf7r5DWfwUytcfdkaGkr/+t0xoprPcj5yDYHTGxb7vjXxvv/x1j3Y8kk6u2DduAqqgljfG9+lKpD
X58l3//nGdbT97r5twVO7bf0N3/un0Ms/Q/doXawdNf9mfEu7T8k8h6H6RY2Jv7KGPK/5ljuH6ZA
7QykxfZMl0H0j3MssAGGKZnDU324TKj/9//6aZZe//L3/5a32aWI8qb+j3//eTZMKK0nCeBzPM4W
oCAc55eJq2tpAUkbjtxWYZtsEL+S+obyZQUKAOl2Pv7N0Nv4leXO9SyGvIzuuCMeX+TncVVsDr5g
AEyWY4KUnFCp+DtjLUUtnTP7GbueucPEdKnlv4KoCjHWg6ljt49T5cMj6kyyFDpfdqsffrbfHC1/
HefN98EypS5pDJo4CNxfxv5eXTMkHzNkV2b62uR8DqPX5AKKwc5sLOhbEwD5VFQbH9fdKhxPdkWD
4K8/BL/pD6fbr9/CwmNg6rrpoFqxf/kMiYQnNKf7bcsIMRQhY/4Ve11x/9dX+c0vjqpB2tIllNhD
gvPzL+Byk+OQDtWWftrOTvoniWFqh3ykXCgaoH9zY3/znWy0N4Jf3DYtHqSfr1aZlYEJWHpbj919
M0C8WKDFNf/mKj+LNr7unMcbQfSBo/MMm788VciEDdXbvruFkMfXSEagVGl722XR+7988zCl4C7x
+D7ScX65kK0R5Pn1+PoRQ6pMiz+pgBE0i/wi4uRvVAq/+aXgSaMR8YRlU/X8crGhtQpiuCx3WwhL
x8rExCjsIEBlk4NjC8rJX383c/4t/ket9I+7CJxICIsVwRLyl98qMjDWV27gbpVm4bDtCu/Yu75+
m0Ix2xdZiBwvV86G3j7z4iIuNgbBud+cufnS54O6jUGtYxrM2JkTRqGcPFW5dIRMVza+zksDCqJc
4fL11L6NCVEXWYYysSpBEy+KXjGraSCZtmRPdQs9dm6qLKv+4b/6afn7cbn73XuOP4isaAyh8s/P
IzmDZm+PkbsNcmimMXHI+5HUXIh89oNGmkoZ+8QeV8En0a/lGjGreU/IovybW/275xVHkWkBi8KB
av1yp6uYeBgMaR5cfVTOgxVd5zrwcEMPneVf/6h/vpJHXjmCLfCcFM+//qZhGdLroVO2df0oWw6t
xKJbZK91qJvrv74ST+afH1gyTpFCcFCk7/+Pf/+DFkFlhtCYAUL18TpzjYcOHD8r/sXkFH3raDwI
pkJYScDzGu7uiCJf6mrpO/jpF0lByxqcdLplpESLiOaLc4cV236zOyV3PQT8FFZJO955dWMdG05k
BwI9oi2gUeztJVElwyZF9LNUAOtocCLy171R7srQcjZelY8472v03ZWaXU0VnWyFsslAnoFeE7Wt
CewnM/xTG8b2mRBaBtd1WCOlxokAV1RGZ7Kc4rdRoUi1gMSt9RR9/OjNSOlOuftENe5zJCbr3GN1
RlBh1UuNZEpEeJVzJXXTPxnxuPLo3K5Tv6SFBLJnWWcGVQEoj3vLrMpns81LZnh4KAJA48z6RuUv
86Jn6JZ34yb38nQXkbRyp+mlOks9Y743uGWPY3wg1n3ohSIVsPNPFZPNxxBR17bLlHx3+hrTtK+L
l0SLn0j1pP/FvNuhmVidhVeJazcLVwTfMZjWMjQthG6xAgTmLaq8grTL0JEH3RL1eepG/N2Ncra1
qpItX6eEwUm6HF4C2mhT0aZXCAIHna4vkWEeVSJa16TN2lXLOMBdtpqKtqnqu+8cmbgn9FUQquTQ
5mgSXqvG97llwmz3+EXqJwML6yPNIJT5VEWUET6CcJpdtHNBUnjNg0wza99SzdJaV9qycmyLQ7MD
yFrpOEKigGEOQb1s/QuiOjJwDKk156R3zPfMwKsw5fF7m3XH7cPeZr/5DpkuAb8ti1BnRGurtO2X
sDTHg+uZ1gvUWsaYkq7zGVScThpAl3Ad2eo1KnufFPZFBWefeifrvce+BqH6KESaLzpdj9+VPZdC
rm/zxHtdXN+lFgcholj7ksCuCpMxwt/UsNzPifKCZPI2yoOV3gg/3krS1WDsJXANzSQjjcvBeLWK
UlDoPkhoBiKDszUnDjgL1oPsG020DtBV4WsrzwK3WYHeX4ggaXedD73WmbQgIuIl8GgjanPGORjW
Fc7566Qd4HuLgrDjITf4vGFfMW0IZYP1lxjC0ANBEU1HswdsBKX/KvTs6hDQwryjR8bsNBo3iN7D
e1P3hnUUlQCm+Wz0Hopg46nG20lbz/h9hwzpxMDzAXeHj8pQBFpmERh0lhAQiFF9LwzoIFFbRZxP
lXr1fM8xOKAKBbqyooZD+74kOhqeHTzxfqtJx1qpNOHugzM9UTl6hLiO4T7MGffGVGMziDN7Y94c
X8f46XZSVP4HDAN7Hsb2/U0XEziT8hPf+a7QCRHW0nU/duFWG9iFOYpW752dNTemV487skcRfNWt
XBN5aWxwucKXM73N0HFAHCbDOuCcitfoYvpFRc7PosMLbUfyUBcSCX029Qje6kCiifcfgrGzDpBq
UUqBczxUVeO9YScRD+ZkN2uINAxDKr9qOZXPcTb4vHYhFFiczbDK6c2jhk1mmm3J4RhiYXgIZtG+
rOorWejJkl1vxAbTtrvKn/IT81Ys3qXVT6sih3cfOFWM10OD30n2crEaMg7ewp6ua0F3sIvd6Y7C
tD6VUxJ9Ix0iQ1AE0Y5tPtoqlQyXuiv6PaBZ/7kM9GCB98ZjIGFNAPRGDdueO50CL35uHc/Z0rCE
hZ779TJAm5Zmt7qegLSlkbBHekp3YqbjT4h20lZqm0I4/fe8z5kPJmWCMge7pfFMTLY4IV049YTQ
rWQZB8uh10lCsEbjmDYCGQkptOmmIpeDgr/oN4U102doky9iA23NVFXdrV+XebSpLOjkaTOZ0KG0
T7Csi6x37XsOSdO2VSFat4JX2YGBYJD/saaJaZxISb4po+oo4nxcuIZWLidW8C2OvDdjBriGfHMB
vw9COUZSq0GuBmk3pOO2HhjmL0Xbi2vVt/5trkNrd/3/ZO9MdiNH1iz9LrVuJowzuaiNz+6aPDRL
G0IhhTiTRiONRvLp+/O81ejMvNU3UYtaNFAJRAKJQEo+kDSz/5zznXS+KiLvxmsBwiLlkYtxg2ln
jO7eE4L165BpyDqYASL6XbTDAMSsIphM8EqV8LSl8HAGE5AQFIhEmsCZbSzDtgqjyxP7sglQZu4e
aGxO9io31drmYXOL0wrmYGfFDxnv903FBiwrxAlIClVQI1TDvCgoYKx0G25C7A6k6WZVjltALy0s
5HgJYdU0KAspD6+XMVP9T+qGEuprQlgURyTgCW5Dg9Y/9Mv37OQQsHIqUk2oP2i6a4/8uGU1RLQQ
Fh70QduPO6SY6p5n/0bw8AELKrr9UvTJmuaz8g0zaHfCv5iubM1gzZ5NtymrNNvlRM1WAPm4jY26
UkuCG6nynkcHzlAaW09uZWiqYJE/B3Qt7/olKcp1mdnAFZPAcOXinlxDau0enEA8hDloB+ZYtNpD
VDwM2BBO09x7h7rT+qiJsFwINE23D3wuipFp7T5tq2DPI8XaJqpnECmd6nomU3DWEupWQ3r1rY28
ftt59FtZc3FFPAmoZB+33yxIOLoaHB8L1NinFJss5pXJN79UtTDXa0VTbwrVL9i10FQpZJp3lhW1
tJy19REq73frUA0xmcR+AHHa7RAuzjlBwdO8+P66jUl1rGzbGp/Hsky/QSOpLS1A810HjOYY+l2y
u+TQ7rGIpztA7F/QzfSt3Vjpjgxgc0J2wR1EhhIfwUivkinaea0ZIW6HWvzoFnw5vZsRyorGabdQ
aEHjJAEw6DhcCdHkiJ3tasp7nIIAz5SXJDyBuq4GwjEGRuGAMu0n7aczQUamr75EWRr4RGII9vuk
iW3qOVo6pLPgqvT066ym9gZT+O1Utf2XX0t93UlXblK7moD3O7fabfttnMAlcPvA30ObGY/Iv3tA
Is80bJclHYwy3XZN0pzapKYpU2J3THWAy6Gfhts4NO1esAgeJpmemrlWT55E2GqyyNl0MOW+OupX
WLnZFJBybSl7oCGPLBbP5ksL6y0IyfSHPTY4XASaJtBHSF2uqNoNg4zxPGXqRc7NwKQRi66DH6jG
KAPjaNwsQym3lZ42qp0ioo3tsh/Jdq8rB+fUIsMbZ0HhdfI8/8HGHhxKCjh6XhI09saNnBXNws99
YZE5CpvtWIrPJsgP2tjDsdIzsccMp6/bkqCKmICz9k3eYQDItK8s2i9iCAGQPndzMM/5SkorOhFe
KzaOi7LrVo/wJ2u8fyUwQeNvmg5plq08w/00TrcBCc99NsY5Y298k6r2iS35yWtYM6eWgrvZUKu5
wIIeJJrbgIekH/FvWvo5KhzaTMZlw0f7Fg8or25mfUZ5++y45U2TBw/pyAqV1/ZdNYW/0vKXMhEJ
LIyRK4E9Ywg0DdudPEk/vM59+8ZyFob69KpdV8qiCiK2rymjK/eJcaPPdgqB6ThEpXGwNBFRLjfo
6pfF/WIUV+0iEvxr2xQ0enVkw7Q/A4+p+/xRtzmdTX3zpJboOegK/nQfpUzep9a/zuzqzXP8gRoD
T1HUoYpdU2dPmRMf/Lp+RMJ5a5zuKAc0VR+HmBuUvHYHeSmQo9nqEcvHUECYcCx8VZ7P/CLrHKq9
SROboLoHMegfofH9ZOxwDMy8gU6P7Qcvz9CN46YrsuQA3WK8a+LUv5tl2P8aqipmaEb9cGLROwQ/
ajcmZtnXJvlZuiEHc477jwMBU57GF2cJPrzgE+KR3NW9t05JKe4UtfWnuazw/yWGcGI2BZj9AE3R
SR7pTT9RNwTTUq3iprmhGGFa983EXkVSFujC8gEVwBGhN3nJqd5iD8MbpnMJd4qDVy3yvAYuBt83
51bo+Fb4EAWYGlwQ4IGj3scapBiAT/ji7D7r0tErP+GZD+x4jXPxPsO/5hbJyzBjuQtwVzVUV6xJ
idMMEFbqmGULuGCveRLEntcKe6AzFfK1sHHv0pgmV3n7M7S8l6ASVHgBBsVE1vOlqfJZOq4+A4eq
nyeGobjm/eqgTGofvMVptzS6g9Lp+uIjH/UA3o/4mGYgcgobAWoe2MSGojX2tqF6b+wL2DEIeKei
MOD5xjvf7nAy1G67XdxKf4dz5t7l7cTuLnAp2hWi3cEPHFBBxE3DmYX+Qi86mSZhc0Qxnu+osxo4
YPgy6l4zafn7JiPyzYjlodN0Uyeyww+dUh5cD3d9B5584tmx9agDv2ljhxBxMXFuzm2KBvFkNmDq
wKiRZ+/Y/asXt4SBoSNX7JxciW2aDPE6NMH06FjUX4QNeFajjNilbdh+TrypU6jAAwcTX6lja3lw
MkvvWW/FLcKyOKZt2ZxquMpwSrdB0zo3Yu4wQYOCuinpPn3uUXmeQR/8Sib6KR2nGWlkdsUL+tJw
aHBzPkg5qp+Ga/sMzTcAVenS1eVCxJBDNu6nesrWpor7W19fCBuMcTZhlsEy7XIMD1gqeI+93YdP
ogX/oNPB3Qk75zLsmfGtK7evxQoHgz72NZiDSVRvc8dWMWXiBXowa7Z5Z89YT9kKDRyR93GBjX2a
0UahHegDHnKf1rQgOEnQ6G+Au3AGqmBbcfuCa7D1MfEKF+q8bzaKTsBzjurFbrGUpzDMxks5yI+M
QdR6pCr5BuxXfHBG395NzFLACRu9p5gnv/EmpY4gC7dNbKZdzI3OWapWV20Bu7DIFftK361vYqPZ
4OKuwrtnm824JNlRLhdZaHKCfV0N/hW/Z97qvMz2i++MNJSY6JREWOp6Db8DJ/B05gD2YHrHfS+b
AsvfNHxR0UC3aZm+N+FSgdnMEgLzyxfHcXUfm47irxQcwzq3dL+jm3S8skT/5Dg+3hUCFw2u9izQ
3rbP2A733jyvVcLIzZl6ZE0BEQETi8VsqFHA32tNeDauLZupI/ANmlG4fNpWkupok3THoc970amy
ARy08mXEYnZKLtzUqNHwRDL4t2tae5ofzCqaJ2mZGP9FhgRXZu49OXxxdi4EtAxhdF5RYqnOpRP/
7MDe3TOPC9bScodV7cl2bZKlWA9xCFtN6vAayrfCo9+V2yCeyuM4wQ2RXRJsO6ut95ZFmkQCN1sB
JsqplIQJjfUVcHVktwSum+Xd9J44pEs6v5LOBD1RFIoJR/AzJHzO5oDuCAQCyCO1K+8qF4NjOc75
dTBy0opil9KdTvwg5CRBS9J5c8BugoQ5NsWWeiCiG+OYY/IpmagC2NZEWTztjj/mQnhfYwFQ4GTR
kbofTQgQwA2W8NVuJoFTz4STv1U6y79bLrIQ18ZcyOssHebHBTNzuK6EpZJtZEEfBwukqlcT+Hpr
zYaT3jIsjxBEvL0cK1bHufQ2qCYPGNB4Zsaq/KyBm+yKyJ420TSlW9Gg8pc9MYukbK7KYbyNalud
qtAjMFGydnCvVssNaIB4W5D/4l2ES69XWUM920D69JlfpJ7qqmlfy8uz0yaYA4Si3BWYVK6xLNq7
yjbgeYtoaN6Qo93T4NfOdvHCdt54bZccbLwwT6ablwfojt1jXrrejahjgXBPS6y4cO9mACvVmuQ7
wrGkZoNfnetNtyQY1DC/80ysBesvAPKoXi0UslETb6wtKONLa2FmFetq0DiJQqy9GDXLZFOWLAYw
irVF21/XV7AGjPwISpBJl++kfAx5/tzqOtK/gFDQYZNwmNxrPuromvU7K3e5o+4Tv+fpVd4HUYw/
Do/EGpMyed9YpDfG12cPBB35WF4P1jZakUfrloF7uMoTs+7HS/oEHWFn+aA4MeN2e1ocgBkWcg29
eh1bFg7ZqfQJ9cZdeeOneE8Q7p9D7G3ZBvSjxQFBBh8BR6kDFYrOWqlk2JoYT024DPqeIyXk+LKG
1AL2fotdkFc1ZK9mZvVzfD1t6WKmEH4xX0vveEdKRADSL+ZZz9mhM4PZM6nFIhAl4gyNpN+6F55k
oy92jxweeDPQhDZnZXdyo/w+GBq9pXfjlHiwudZcLfYmYCq8Zaqjb2iAdH5ObXjBORU1qQSsj7Qc
KDGSbRNyuAKwp/dh6ANQSZWIvoICTwxESvnC+EP+aKJ+uE8NQMUojoo7PnnOxYzudvaowjv2clib
oEnsau6+jRidX0OWKoiP9nTnLykhbBFXyU9msOzwmZfLq8ZNB1rbeeaBQupJN+6onaBgxqQdnomy
jYfhu/SEPW2FnSxiExhsaXtQERnPTFdiTm5LzMWZWzHN8mfNMZhuMIj8QzxjLsHehKSKWYa2sLC+
GfyyeCqDEQZCFnXXfRoYPDgXxSXJrfdZ4kqtcryzGaSrXpv+3odLta+lLe4Yi4T86D5mfNEz0fND
wL67mL1sDFmnw9pOAfS2zmB3ovQQ+FHgPqAu0V1QbTD39CvjFltOQMlaEk7Ri3oCdB4/NZOhb6RP
5wLvS4MfJLSX17qZXih8ojNsKJ0LPQYCDgE/UPspdQR5fkpbZkIIOkAVcuu5Nxa9hWQ7LmN3YLTZ
kp9kMm3qOvN2Q8upC0NxQTwv5jA7ehaDl0y5R3awIM5yPJF01QysiqCyItkz2jEARlQ0UErWGxoR
aLegIwFVxbpte3dud8KqmeMw0cgeSIz7oL51e6Rk4NIAmsmHYJxrClqGwAbKXPeo1Aw84HYt2hnO
vdt4Ng8wbDIild1BlSmHSFgost24iadOlusIjDziknGMeoxqKWNNYcLglfe17IaZmDhChd8+u8s4
uJcTS3VORNpeGhQ792t2Oja9lrTIbscNKUEmi/KJ0i8eluV4GSGXbuJ+e6Be2ApFkbUv0BBY3piX
vPhTGb4OcxZeo0i1NxUWgXuEz/AYOK77JPw0lcBnLHr2Ussz0L2rPn4b56hlI4MD6ChY4QTXtsgZ
pwUM7bRfc28VI/bJjYVl7ZfXeO4TYCjxjPdafpdhs3Dwj3uI0J2gW0h1BQUYXeyVX53li2MyzdNB
oIw85LWfpBj1rZ51pw3e59AL73xZVD+pFkiYmKbpnZ7aS1OXS9NOr9P6o8BveZK1x383JmYMUVkc
mICtKHoDZOs/xK0fyXVbe/ZHL1NiMWoYMYJFWXAuBWBZwNt9erYWj9luZu2cLMmfQdsN323jtM+I
SMlLTYXqm8W9v7V6PnmYXE15DNhJHuYmX14SqFqv1FRza855Mrw5ygo+mAJ77xXRqfWIRZMcUE7G
rWcLv1z47g2XyElitGZJaalnDOfp21kis7aY26wbQaFQ30devZ5BUz5bfp0d3UnMN8qY+K2waU4X
IWkQMUf0RDNmDtAxBgo5WpV8LAxZuAFgebxFzZBAaGrhCPMlkGJiAwicD5DTjpzrI4tX82tsdHum
KUTsERssd+X7cNDY5lExXVrvOeMeOETYKJjdiGQz2mlFX05ZQCKE5kt7CV1vbivrM3LZwCkvZd4F
aY5NSePU8mGGmhevSqByfDg+Q0jP6YsbZzDV0TMzmdQkG06510oaF3KEwdYe3G5d0Ne6rJwoB7oU
GyE2Q1m3NzwwoBl6Od+cI2fV7jkm06QwOh2n6Lb2qVmH01uyz4bM/mkXyvxgYG3OQiTdA13gFyyo
rm4a0ZSnhQra79jzo5tkkJIsTmgRN7FH99vXQ/urdEpDNmps9VuD9eS1UArjZuWGJL6ivCP6Nhsa
qMkUkuvlUo03GQLpY++DD1xFLfUgKzim4t5Sg/ecwl38ghr3bF9g/k3PjmScJT3CYZUSPHB9UpuL
NvNH3cdZuFbMTjX7KQh7IaP35dAPjPWofqfonWMAHzIwGjYYViAXcSqyzqsJI9kCvYE6k1vioH67
8VFdeUakDaA94pNXWcH6BfbBpx95oTiFGqaxrghnsNgA6EOIlpElbsbOw4jOJeHcCv07CQpMF7HU
MP3QCur1JlX9q2dTVbqpaac4knhs7zO+qGjnRb331CMQznhCu/CLrZEH4Civ588ibQzDlUqGxYEi
P5eNlNPP846ruej3CaZvHhCqB4JPpDh4120cAOlly3+VEud8CobLyhYHZp8uFlN7q7HjUxrOP5Uq
aQgJ+VBWHK25T9gj8Q4QE2wngGDJkssce0LHCd9ATVVfKjUJI8vBpzBnxipi29f+wAiTtcBTwZ6s
vUehBhNsB2a5QvBw+YtHexhHvcLuazdbmbo1SocdtsPWy3JGZz05sqT3qmPo5ReeYzoIexMKusLo
g+k+1QxWikS5zfKPdDNflaUF3s4MwetCLB1oS8rhrVZJXR4oUnS/wOqKq1l5DQfcZbb380gfk1tC
3KxgB+6CChGIS7I5UgWIUBYipp2DmHEmGqRmNemT/nOh8YAtHgCslyIkTG2I29HsRWR0tOMr3/Ji
wPlufDaLi/mVt92fZtWrm3nW1gatljP+XO68QFgrC7Vvz9mGCitOzfK7i7CAXwjF+TmL/LsK3ZfS
2i7FEkqgdO30FmXTtZ2NO3T7jLyA9+G3Yr63gsL7hJ5F00UjrmfHbr+07xZPFPRW4rCYNmb463Wv
Mav59cWxflvJ1rpPLefvjBj/bHmJhYcLioXb8UA6XOwTf3AskMELqbzoosuZHvGUE/M5pBjmrhok
9Ulos+KOeuLiiTI3ltJ/bZjw/jO7BBYUVFBwFhhv/uLvWRwriPJ4ivZzQBopDqQ6jKpHRRDI9q6h
ChEANUsrZLnxyywsKUrreidHuFSab7aUUNajqGbYKUWOjRmBqZkCd0ezZI/e7NjnJjUuY5k6CIGX
1SQdVeC1J+MVyw0VP4AfSCAZn9mgi1OLimFTLjxX2AGz1mNfxbPv7GsAOFS80KkaED1faUVSVBj/
cdIcDnwz2+cuDz6LpoXAHsKbJjePyattSM1zGAv3yRT9HfbC+WcbYRwzswWg4zpMB8O/mNhqLiU+
Po/dOh5Kzg3i7HlgzNa6mI+NjWXJzHgz3Bjd3Z71fJX3et7F1ZZdwMVjYJwNxLY4XFPgBe5N18G2
iN3xSJQiW7eTBZmUKGRUlWyA3aI4UBEU/o0x53d28J/dVnHsI2h5Ef/Gn3Nxzv3h0stZS+QYq3gv
lMS53sTjQjJ4mbKrxRru7WkMNiOLM+H6PjuRt9S/ULw0Eb2LW4+Bm283YC97Ixh74Nv4m2vzn6xg
vDgvwE/tELfz/2oSTJnhBXZAD0BpM6hCiqRwW4Dr+5tfY/850HOxnPGPh+ORW4BH++/ooj98CBLB
2OsTGe+RP2eyA05oHYxRmrKfKvjpcIDnGUlpYmMnDdCiMbjP2YRStW668grPTnxXAYDDNsPNIn2K
RgZXwzkvk8Xaerl4lEPZP//rj8b+q6WR57WwyShe6GURs5+/2DQ7YgcMJLj2xt7hobBQ0bUOBcNB
ojxyxdzfe47Lu1bk7Vu1MD1D/wGePlbZaQYusMHMMH/5BU2Wv7+u/zFp/41JGzWUi9TjCfH/9mmv
s4/mK08/VPZHm/b//T//4dQOg98ifFiccC4lFVz9rBYYMIZ//zf+BuQil2kQXdyYFxTRfxi1XfFb
GHPlcrdgnMREzNXSU6CX/fu/8VfcQDYwclhTdiC4uP9izP5XRm2bX/4ndyZub6BkIfwiAQzNcy5A
oj/cKnSJMXGqi5lEkOqeagrxXruQmu6ISPywKmI1vQ2W+IkVVv2KlNu8G6qh1gH9unrLybbdhiNN
Wgw74leFBHIaa5nSQJ5XX8i++uV/LsZmyBl4/uvEQOjh5MchEDsuSUXgG+6/hONff3x9lH+6Jv/T
H/CPyzMSv7FM4Kq0g8vC93tc4D8uT+c337UvzmdOKa7t/OHyDH/D/YmditgyAMLocuX+n8vT+Y1X
F7HZ5LqFQwfG/79weeIf/9P1idbocQIX/PnzdUkrMuyWcsgOlQnrnebFB3CITHqpwqy7ceVCYb4K
YWDvNVyskxj88NQ6UaZXYzAUt0ay3K0oPfSZBmE9efatRN/2cTQ/y6KOvTUlbI0EBlJDJs9NF9/X
ABB+hKVA1AuLmsOoGy4trGqZppZay9FOoEuJhKFWgS3rJwAGSx5H0kE3vePT7TDZ5oPqiOanzEq/
3yqPit+2Zt68WnwyX+tq7Ek4IVcH70yzkSvcNp4guosBy7dTVWN3BKGeWBeOhcfMQ9pFdyqiIP+B
6c2H/ruo7tEPdf2gI5orkHrHZD1hCXxz5rI+T5M9W+sJIzdHjWKpqp0zgz3i6JeJt66YS3cVu5bK
11grw/upyRFN/cIdPzErT6e4qL2TrdP03rf8hkhk7jw4fqGpe1H+ubay+j6sy2BvDV588CqJgQAf
DY6TIEyu6a6Dow0XfOviu9s4ARGH3ahVrVepo7PPy4kyO1hVT9iycgIOOnVplitJS9G3Scbpgaz+
8is3TJcJr8rubXFK7y7WM2TTrC8SxSyoSJ9Cj7r5FVvV4Zwxl76di2LC7jjJxV9pbG77sspTlst0
NE+hHVjPXZzDuApMKJ4ibSOuxgGInC3eO3Gmb8b5Wdim2yO8d2vbGeB1TSLtz3WDlWfVgomgIw/J
+apwy+G6aCgxWnWuag5h0eX90SOHqihpb4Z3sPEwtn2ORr/SOpkeabY0pIK9AbN6NKDAhUAKblpQ
LjjTwCIzy2Tzsi876Ml35NarbjvMRcPIPYayi0RQtfmNWcKJOt0Zy9IWbInl7mpvCX81BfO9TVZh
glhLlIllGzA3tWEJ1HSiDb6S74tXZa9MwXAB1PnU3NX+5GMtJZdOG4qpagP/KNQDrlLFICiH28Ln
N9JMv3b5RRQw+XN279tZh52nD1JIyG7yzSg/nE+qcgBaJcx6cM5q+1NWo6hXmQps/A4kbLikJn+g
6EG5WXsemfxd6zhrEly8VXTMjOk/dYCtzFJSNxsB7vtT95znrm0AzeV21Dp+99plKc4osAFspwmD
QmHm+qkbUu9rZujxNqWgPFYqTkK5aaDwr23R+rtCWKW3vmC0joDYOYpmBchPusEDrJtOQxhpjUw7
2OsxTvVujsUs6WGao1+4QwKH0sjYBopEwcBqnIbwB/v0/jgGYz+uKkZdDxY68M9Y+f1LUQDhhpCw
7JCFhxaP7UQkVqp4/AFKqH+BfoDk7pv2allA+Y4V4NHtFBU4di5ljluMnAMxzTbzyPo2FZ9F3TJ0
pmxTQujpy6vGLv1sGxQBSDo6xttjQ/WUs6IdZEGbb2qzggEMYz/zmYnioAy2Qd+On/FSESm1C0Yq
64EBKgjvar4PKIqKdm3SygQizTztL1ykvS0rDFpU8lDOwdeIQ69cvgZKOKiKHxgBChLBNxrI3E3c
+4zznNYL700t84dxtEj0VmNgHwXlDQd22eo+j8x416cOlhzHNNaGNuDmtaXlZDtSr4NJN0keB80j
B/dGuuyAqAHg9mMJKGWAUI9mHRXvTW7au6Kith2GJlJzPE044tTypWe3jdBmstbel2WLcMdonO9e
lzID2mdSeRHjyjc2LY45xS6ouLU/hWrFM3x44tuZcFzPqU0BlGFSWg3dfLL8ibmziXoXl3KELxXp
gtIK0btGcq0W7c/KZ7Y+eJqLsBOamHZquuLdbj356ndMSFddp6jKcrQ3+EwxFocDXlmUlByGimO2
I4XEMmUX5b0TtfXAV+Ly0EmFhxJuNcJhWjYLdHQ+/gWWx4CeEMh5hB9YGdfjODZTuCg7qW4gb1Gp
jk2BYEOYOvGt6sIK9H2afWeWajeyF/lj6ii6+mKSZABxKjpSCppVMyZFbbiFIYIok9L+cvAaATTP
asHGeCNi+8qdk+qkzQjsjNaNul9X7dDeUjJFWN1OaYsbo2Q6G9m5y8YiHI3tH++FPSSa7IKuPIbg
tj9B/HKLa1fZFk1e7eAehLxUnkMA0dOSQuTo0RUUXvhrBGC51XXdAOfqPPzDXVAXYBPKhtyDe2Wm
3EDMqTT/V8sr/CFJKr24VWSwdLHjWFOD42cU0wsgJq0R0FWh6OFuL/32BfsBqDZv6A8hwcMBtD9V
FjioqkjFVwPGU0zuSAIovpQ6Zu6FkcMAt6O5qU98gVq4NDyHfGuv7Hv3Ym21MaNGYly+KlYDFup8
eKyA+F5BDpjWM019uGGR8hoOkN8ei88eHc49cb77CJUBoqhjrJcGYrgz9P2Ti4/iEJV+yK1bVUwj
EUx/dXkMKQR8Y3zWIKeh0xk9YRiN5MlOBjqZ51xD8UGTWbl5rtTG5MV0DfxtuG7SVuBtS8qbyudB
fmH3dag3E1CetRfZVICiHdE2kI2Wve+LOeZMmXcltGPw8U7hVaeJS+06QqK6WuLcu9KZJvaRS92/
ElGPN73fkPCYE6dZBY3X3Xl1Fd03tQgPxTA09tqTCTOgyXK+wEIw+YDz9qMrYjStasm9bV2m3kH4
g3wSDBJgU/D1t1A/XvG/hPXKOOVCjuKSMMA1Fd42ZRx80g/piy2GYSzJapDvA0j89TKQ7umcvv+c
UlueiSfQb4eyFK1NWZDZ9vsQeSDM9sYXuD4sOqQH9lxO+A76sqBmSF+q0bycdhXf1OmvJOuyuzqx
3Gsig3QnVjV3Ic7agcjMQP3S2+jNIceaLnqwPJdJFomP9C0kmkHTdT5O71aQWe+l9uj+LIZiepZx
EeyzSIZwCKlAiidTfvN61TlM+xmhVufwHuTcsz3LFXnIEVnwMZ5NTbNMb/xi46Y5LssAK/2PiJYU
epJ887xg78J63dQfl6CtWkmaHLDz9YmhoVnh1l87nZvu+arMtZ2m1DuiSKsfucJ4yPYF3Ww1LBVP
KqedhmordabyU1hYut3rAXn9iK1IpJsonoIKZ0Nm3/ZSei9OaIieO70o510+1qNNfD1KGfM5KrrK
6USg6QWpmVZ0E6uMyZJY3LV2OuhPyWzUmxkg0m9Unol2nS9VcpOj+iEWDEF25AqJ6eJx8uEjzUIW
NeNH9n05hnz+faQ9gzmq0Adnqqtnz8u6e9lVPZZozkP3ZNtipKExXVtga5m8+dGdPWnxK4dBSJcA
/kdny7pL+2PoQAhakRr0HwBQoEXnaJH4EVWP6SrNF1BDtsUR5hyhKyY7M/reIawc1Pay9GTE8tZE
7qZlqRhvnLzHOsK3kBIEoKJjH9hDhJ/HoVJ6iU2EyyCuvO+itmLMq7FlP5HcmklYWOIriiqt4ZIt
rOQlwQsARVPRNKtOd7Bwcelgyu2H7IJKTL+dtKVsd0Gwn2NJBTJ7zAV8fJRDb2zVDx01PUBpxSOq
Aaawm9m1YenE2raFjkM3jtAkq4OgTz6wTTn3mE3abMuuNya8VMd+RVl1QIgoSSvrGyrHwh5NqyNW
+8rBzdFhDkyaaatCl9vEY10GbDdpe4uQ2n64cSedM3Xg1RbzBxBHSfquFRWdzI1sDTgLqVC+uaqc
dVJ3GeGL0ju6ZQT3RpC2XM0ombTmIaPB+nOx2aLCUE7yVOQer8lWrnyWJoz6TRcn1XdbgatUbjWD
nBVlsEHj0JROWMsmxG22VVQIHwZX0dGXuDScJIIdIGgihSUfYthWL4BSE5mX/spHHf/IKktdldOC
Uj3Zy3KwBjv+nr0wmfd4WMOJ/FxuPY7WyE+JsD8f0zAqOZJx5nT2DP6SU8s1/TlXMZvmBWDKPSs3
1mgXfMsV/IsGA65gRAczxt0Lqwde1mEGxg01bVPldNvAyWj9bAi7HOltLlYWcOJt3NIur+de3/Ci
vZOHYP/KPoDqrzJudqWduxY3TYVAh1ssIdXVVcBHAP5NRLXuW08zi69dvOpANy51uzgIf4RiqbbY
ii5sRCKLV3Snsp3yy2TrBMlP9qlMhbkntwyaeoybcfruqHr4OQvCpDRA2skmnZ3yPe3b8Ee62DTd
czooTqYF47pYNLvNFAk8TlNynlED32wBbI20IfelM9FFkQT+dIq60Rw8WaVXQSBLPvcgPxGYiSFq
hbm/b0vhvHRqCXlG5W1w2aHX7i5Dy4JB6XmwnIe0YDdLldtPn0fMIWdbCkZoKojkEL7mInI5HCsU
K1zNeTEAI1mqI8QqNtGiJtbepux42cIF5wA6y4O3tO4RAox1bnv8lSZoKWVJyQI/dpakbJknr3MM
0ijahuSrHrn1EohNzsKjLaEpJ4IpxtNFY0GHfyzq24YaqZNLg9CZThqKM7sowtbuBgJbk+XqQ5Zn
7m3uLFO0SpoCRFTVpfOGYJq1ydA7j0mdzkBrdDE8UHSXP+kK735spf4n9659tjMV/+pIiO4AzyTw
Yp05QyEznv0CAppdvV0WR78LihvmyaR/xMgsox54XuUaZ8hKRzUUkEZnG93U9R5QK+hDsElHRwaS
pjFvurIq3mxJPoPUo9VQ1DKkLXyxytUviqUu47d11Y5hNT8TvulD4oANHDK8UquZjD16YmaCXVdi
7oLXNN0Q87Pt9WXn4q+9MGse7doudoE3FufWc75DDoOsyl3Z97RBWcP17E3h82X5JEpQRs19RQP3
M+1RGd/l0pGigYM8fJUIL+v/xeEc617jVgd39tnRVGqaNiIoLm0+c+bfLSwpelPFBS27/y2jxv+P
KjXty6Du9w/hH7n2f0bnf3xl88f/Zu9MlhtHti37K/kDSAMcnWNYBFuRkqi+mcDURDj6ztF//VuM
zKqXeV+9e+sOalJWkzTLkEWIEgng+D57r/3buf34/qH/Jh/++Vf/FAzF78h0jsdmhTgg+jGS8Z+C
oXPp3WSP4Ugp5F8FQ4EGzl8ALO2wX0Mz5IX8KRgKCy2R5HwA2tl2wYbIf0cwtCgO+ZtiyPLnIlly
bxZ4BhzTdv9hiZdY2NzxNOjtlPcxCZFWxTsLcPYtFX3mc+x21ovEX0cVPQ+/U2LPo3WFFtgdJMP1
Q+mIhCpjQrirZpydb4gl9KaUXVDvoooz7ikq+z5+Jn4XzeRVK/k8RKlYiVqI9WTY5kqb5Mwce3ry
cVCGXDfDbV2az0vKY2tVl+MjZU3Fo1rKku20b9+2qO97wdxx5cHYO7Sq6M9UOMMVZmEwVXhFu6IO
m9hYwk5Am4yBtZkhhsXlKE1rNMO2l/Nd0EfDvEoTCmivRNvcs7Atlvsh0Nz9vHgpHmpTLsMaQ/fw
QDa8CK4WZ7SQxMzcIUvkiHg4CIUICf41qr/JgfWYVQkzsbvH/9edOL8HwdUQCRqHMaaI9o7NWv1N
vI7tvMK3POCNUME3x6jpc7HIMu4Fga9i0/kUyqt0hNmfwEyjPgrTWHELSKQcrxbDHSD/+hw6p7ho
3nOeuo+VJy62iEjeCWd2yYWlmLzx5eNmimsTXor0Puc2cYaDzZmZW3DUNrBNYw/PVzzR8ukNLRSJ
VMG3jqwL1T+YzUcHPNYbR1b13TcGHVWm9m8KnzKyjSY1u4ligAwhua/x6KMG7koVjWS73bbY8Vtx
rLBzMaPnuiFR3CT1sneHbAyV1amTnRtF9r7w4binV8rA08uJ58poJdBWI4eitSjcJ3U0Uy9gMuuH
dc9MlAOfW/c24QfXyUj6kdTzrwy8GienzL7gnhPjK5tMrRPwl7Q0q/QB46ha6XkBD53zc/cy8kLG
IisOlTNVH2YF+5kCKvunygv54rQFH3LLhIv3Htc++hNyHfyo6dO2KhNY5mDs08lVawx+yc6k8Cem
7zRIjl5X3Nd2mjCztPHJdWf3Djdr8Na2eXIN0B96QT4v8a7pfPnVktzGZGoa+evAMZRuBuFOYDeR
YlUIqwIqdE9XKj7bNJ8Q4WLaya4g0Rs7Xy7NtJpzpU+owAlZh/JeplT+JICnmp2Tksyt7eAxd5zh
rXXg2Zn1wOedqduNw4EqdbmVVSSRG6Ji+cDA1scvvUmJAilH+oRI1lGuysxnEMQ0fRRFgsoLHvWq
MOnHwXDGzFHjdX4lSoR2VlgK6RKBaZhOzaywPsbZBR9iSmHHWyfzQDnExmjRh5RY/qr2kN7txW+R
bqTyjQgmYu+8XLBDxo3r4A7dJm4S91tmdLzTsNrEHGaQs93tOE+zuU4n3mj6BwD1c60LVU43Dr7u
/joa5Ig1jtG7eMDI4ZT3sRypv5v9yBpfOj5dkmqJPJu2tOdKjlljbLLLnpEAVzU2F6oHkCoAmLkH
dvCqecjwg0l0745a9hFf2GlgbuTCpmujXM200T9zXushj1Zp9gO4atBu7Chq61WdNQZTtesDI6ZV
srwc0wwMHSVlxcTBl/wnU0oTFp49qk2U1pk+8MkkFlonwl8R4XLu2iEpb8rSdb89YyrF3oEelFz1
jtt+4qNoSbbjul5HsYtMl/AlbhKTeCo9x3rCdbZgm88wlnOegB1g1o0KLwft0HeTJgkXK3ARHlzi
T6ssXthXcoP0gf2lfVOF/IjUEwCcNPiiXSFbTlnZEmJpgchzxLseMrd8qfBioUZgOLnp0SSIlNjB
tGpr6Ibch5SxJksLGNTqxmu865Cg4Y0koUzjYJsCaL1zpx69JS7FfTGUsROOnUtmPEOdOUQNcf5V
zWboQDYrOXbdiMZvsMaxSmG/UEU3bjn7zKulDLwDqVWFgZZHZLGZDNP8nBQZTtsgXXbpXVQLFvul
3wH6D0511cFYpkGa/GzFmiV2yvrWQLz4MCm6fE9Gi/xTbOEg7Yd0a7ZDdM/TMpG7xvL1YwVK97Pp
EudbBNb4CL9ypGeifAi4LU2rEUuy3sRD9QC7HcSfXuL6iiw+d15p+WpvFQ20dz2QLijLNAldp4PV
jfOAPlhJ6Rn2sNx7Uz4VDOtel/pIH7L8GeBzhPeLmceMAACiIBXvvl8YVHi4phj3pujhlww0P+ci
r/asggDNtul44+qGmB78embK2eIHRrSwftRVYpwITNtxKEpUodNc2Eu91u1SPTX5SEaFikOeXeVQ
O4fa6Qf8HgRPSPZIB/iz2SXvLnL93YC6fJ02WXBbthgyL1HvLx7N7Qkmvn5LB6JPl+o8QqBTpo4U
OLBkaWZuVK49tfdFIi5LF7Att7wWFkFjYD5nJG/GVT9Wy724+BdZp9TdOvKw8fnpD5LE+ZPnk1kb
ac/pbnj3yjcTEWXN4gQXddtxRhLs/xL8qgOUxzO0FXnD5ALiKiiLVxRNOvwCI6FlqmJbRPij5XxU
DVxv/mSvLTPx7swa5g8I0mC+s3pjqR9KnRtXwqnad2GVfMCU0+O5grhf0MXTVsO4kp7uPr1mcN61
rIe7KQ88++DGZfZajQpT9Ox0pNjM1Ck/4cZ0X5GNTLIC/9IaV1pHOFZgSgfpdlCD/0AfqSav5Ob+
Vc0GjGIVt+K/TOxsmfjXuJnBxvYHAskJlSSi4YtZ1Ll3TipQ70fNnZk313qeDA0htOvwkLICYJdb
M5ixk3WnZDcvY/cTYEBFlmTg/0077n+6Yzcc8tGtT6PX+leukdR3WVWRBtGUusUgG4b0KefUs4ub
Qh+TODJ3pgfVPGiJ2CBFJPlLauXk3AIPE1SIB3jQoQ90KF4NMV/EPAhppE0LDdMVyO8HdRUpvReT
jeozG9FXpyefQJoeaFZX0sEwL0CFZGek5fbIG49GLfjr5AmKukxXha9ByGdyuWcwjddToihRcRKJ
Rx7hktUm/6baiSCt3gNwN1xvwFAI8S0YCaNswFHnNvVbWXWeCpO5LT8yYqVHh53Lh933ejPA9mgZ
8IzoqKrGgrZruRn9iLTEKu6ZM90DZvXSSdV8LWZFhBQp1b1J2C5BKegr7z6u5unUArR4rIL+UvDS
Vu4NZWpDQgcMi9ASVry9EY6qztz15zVJLwBGDDto/tii1VNkUQJj+fBkHC2CIcT/Rdq8RXuhAAUU
dBHa09y8yyTlUSOpcb0lyOA667qf+o+uq+D0x6muwqLJslsbHdJBEykslO3ZYXVu5Ug4XWv1TqgB
4z6ppQseUZcyGXISWG4Q/0xiflM5rCd/cl7NAHT5Qzb1wZmUsp2zb7Lld8dsCUsAU2q01TyZsThS
GxHnwClwOHZ0NVW2cenviAlxKX5nezMJhp3bAdxcuVbr32FnN8jklaN48HjqrKkw7Z/jpUse7FnI
8zgr5rbYbfRdLjp32JrB4rJepO50ZrIfPDppQSQ+DF5A1QC8coY8mc23LiTaL+Kd9j3LIHa3hJZB
CiekqjcsAI1v7nhoTbn22PfL9Acu/3rNKOQ+BciVAIJNw7s3SXu9V0tKgXUQ46BlZUz0ZJy7AFxu
5b9l/rCcC7M1PivkgwdzRio+Ct0VR+hQ/k9cTUl9WpCFiJ9ot/i2namjnWaa9zieh6Nf022/5uhv
pmQGhrSkC7qdZyqIuAvtG/oC9mxmjCdPkX1G8qz1DrtGdyzQOkJ/TihIb9yaut8ZEyiUevrygAaN
ccjCf35ZJEmwKk4RG31C0P4aOhepFquqT1hEoLDAG2o3Y6mSI5W/LKeK/nUyO3JuKKrrJZl7XoiA
dlKhSPNoqq+m2JYH8NnceRzl3CWj323cWSgo5vNI4oGb18o24md8u3LltIJ8bkeVrdDBz4qsmPbs
9jABC8Em0eVbh2rsnRzjahclc/QjMmp9S9MQ9785MNJVO3E6xDaBF6RjRcGIwD4aF+aNolD6PJVu
fGjSmnDrbJR7S4/ZsVF+/zUCwLrzjZklEw4JttCTXz06PPu2nhz1nlyyemec0WA44vuk5NasL/U6
80LzByZGjP9DFR1rd0h2dQAMZVJwC3qheFIbMBHGZAR57XUHizZdAD2YO8hVjcguDd1I7JJY1wMG
kO94XbB5w+frrkY+INTlzHBQGtExLEIvCXQ2fGCg+F5qg9kqd6LL45TTWM3W/+DNbXs1w03YcQRS
WzxjnGoTNqHXBA/LTezT29uU6KCtGsQ2AeZ0RwKExU4zTe3Ra/BdmHVcH2ajbkACuK1JAg4rDMWx
3smuokc+9neeo6js6Qkyjc6Z7je0cDdfSJYgyWqL/QdvJzmdTMEgbaCfX8dGh8U1nfv8ubKn+MVU
7C44fbLqDS51B8hqH0lNWpmtrkBUxE5EgZfn7z3yNocqwsm3MyftcHtLp+UNI/Ytlun2NiPbu4so
5ektu2UC7JH6WWr2hJ1baGuZ677quRo+60VfFzg4jjpPIV+goi7cYmz1KYLI/FSMG6EkgrTFYIxr
pDOoQqtIoaf50D8UMd/bhtIASkz02yZXF7J/a7jUvBXipvL88bHzmc1nnXWUu+dG90Zbk3vVgXHY
lNTcr9hE609ZJlBYAn86ukE0PkTKJTAgO3M74k3Fze3R+2bQMU5EmoVeiQdqWA/tQO8908g559PY
bFibscyixqvYNEaDxYQUYUnxmvBJ9o1WE7PDIwq56gybTR5BSTIkWP1/+nnU+Y++gtqJ76YsOZl0
rM87nibfrTBGGy2xwOG/JOX7pFrkid4WebTyqfpT5yKtSX3hXmL8xvZUQTN/v9iKb0WaW986/dUr
51BhvKp5Hw49p5utR9THJEg6Jc9ZM40gLiQV1+T/dVmSdm4kmQuvq3FmN8vrENfuwUcBOkx4Uzgv
THZ5tjKMS4Dd8uFDuYaFcrn42coZJg/kkgOiLOzKzniw9EyIaRyAgsPee4hzv/tA5OUGoK1iL9zk
vU2r+Ghr3ZUAWVS2Nkd0Fs51OQnTqHIfG3/u9rpcbHGtpplqIJtVZ7sRWixkTM2CpKw9GfRayLEo
5TNWJGHuyNUENqmM/DIyqtM41ttkbFMK9rqA0CEpIVathFDNn7U59TdycaIXcyp8HxCgHYGX6fz0
NSmT9goFp6y2mHvsS0ndlF8ZfmpDGom65aHsrME7QUXoNKVl9DGuFxCJm2Q0xnBGlWBX4r8FRUPA
uuH4trMR58CEL4k5hvBpl2sOne07/elLtR1HTEcZIVBgSbbxWMtIngxvoQkpSO1V3FfDO5dc0t5w
y/fgl/VFeosDxvnK016+oMyYkM51xSRdw6kg3n2Dn6T5clqluJgCZZ8mnBVbK4jz75QYY7RvoA1R
UAOGoyXiaCPPZ0HRukx8CAYrG8xOF3r16FrsLuvxOs3gN3As7BV6RN6whZQTnBU6A0uoazWbAze0
2ZOYxzwmnsiiZOJy1+C4LyHgAg+E5iSWbondSdJs/mCu28ztfIDrdf9qR81lVNYVIIlE5/ljhhzo
hhGK5W3J8YU/LeiKCcHOKkwMXZBRu+MWzocytENcI1ZTmI042y2DR9Tsu2S/wYVMVxSweJ9ZbtUv
XmHJ18UrSzod2pjth8ztOdQOGapwtPW8ldBy0m2SswVkEs+3w1LT9hfNveZ4xzqJRve0YxvqxlK9
O81c7+iK9m7yqJQOh64ChFrn9z5IZ8nuAv3DWKciz46ek2ODodmFSJs2dLuzPBre08azzwWG0n1e
dPQepp2d35dG3uzHyG7gmrWcPUL4kcSMrdZjzZni51nppuAiKWz2spuhqFr4xaIwWFCPXVTUB+zJ
UY+fxEp3bJGdCe9ONL0NHgcsfhKpn/vZ79vQ6ylJCkm/LioUVE8RKg9mBDQQi9FHn8fWo/RlPGyc
TnrMCZmyj54eLtUF7pB+CN0v6BbJZFhbfESmEVId07XUG/XLS1r2HLr4eHpynanJd4n3mJN6TZJO
74pSeFcIIn6yZaNc7lBr8++yKcQ1bh78GHnW25ghNZG/2wSACI5FN31pRnMggDdDX1yNC4UgYUYk
beYj1gPwIkpDdR+IfvY2dBOyQxxU8FgkLaf5SXD7mT0rhfk+0vLWC9GIE/cJVljKtGo+oJlbWAc5
NW1JpDsYsNwUA01juEr8r9bt26ecbSWHMVI9LI4Ekt4q6fw5VLGH9shZgFx51rcV9pvKomyVpZ5/
nESLVpoEqbxJp4T0Mzufhht2CgR8hZcM81BWOspcu2W3gH2AvkIhR9w35npIhvomLSgWQ6TNpjcP
ZuGa7WD/xpVEs1hrmv1O1WBdTrUJv+TC87GDtWFr9Q0kMI23QH/SC9SgNBpWjA33lYnOpuIJb6tz
tQQV+D2z7xpK0HhMErj0gnFHbrneGEK71Wqozfk0lwasR06RhiJZPjWUX+VVnm4EYL07Af6u3kkm
o5YjU8CSmr1nvwEeFV2PE7SFsO1g2zRmSj5yzArkr8wMOno4uXdivCymrYFXqT/No1s2oXFJeoT5
XKOjQcJBTNK+x31giQN5o5eO6T7nycYRzIM4E6UXfpMkmg/fUCoCm+aoEIvmihesjElH17oH+rvN
C+vnkBkSWD9lvZgDPI89ftWxLotTAp1uDHPiYo5py43mtgkeqWuMO5atgKdEsswb5Q2ULci0a3i4
WANIBh05yU9wSvN7zkDmgoMRCes66VDKWroNPBo/uc9yOe99yQJhy5rbf66TnpaZeVDPaREzSRMt
T895k7/Whh1tqsT3s0PKQ2QTXfaVqumGaN3T8vvBQsf4rpJ6fkxZtbMurWDmrHxuu/Mx51EIhxYq
K+Eysm1ksy5aNnjPL4a59tNMZfG0mBP+5qoGa8thLb4yLJZNYVddfiIcazZbWk9wU82dH5bRjBgT
qbSZEBSOSDoO6B84F9qcBWaDorKt1eKPy56kvbrvmrG+jxYCkHHKap4krhIPbaO5Z5Pt7B4zKSwa
8Zq+3i7oK2q7jP4Qh4WhUaKsWgMHiICmJNTa8EDlMhrsS1QsHsGF0sxB4cNiYY+qSXx4e41RjPVM
3EnoZJmwDkTpH4jgks7E4/1BoHxjGw7GPzMtV7LB4/PFQoZcc9CIV2ayyeXZlsbeQ8bRBNhbJmFS
UVH72BIWfGQWVTSbkgI2QtpxajDDWdO8YJatfoIMYRa1W3SAUGqz+CF0KrNQ2mm+puoEsb/pkyZc
xITxsuBGz0TZesXu/8rm9f+9dnPadqRwzH+6ow3jGM0j0f8ldPSff/nPLa3zO+oHvQMSlo3EeEae
7I8tLYEP4f6qqDdJaVju5Sv/sx/C+Z2l7iV3ZAam63vWf65pLf93n9mf2JHDNhiIiP3vrGkJM/3j
lvZXx4QVCElXBd/vkvv4S+7IjFKevilkR9+pgDxOXN8hnd/Cxv9Ucs+2OSalmxaDvYTMe9EXff/S
ielMWA6xNnZI7YEnTuX4qxsRhybh1aI5wRTJHzKG0kfXglGlpmo4e0UZH9vC5/TcuvTjQlMONr5d
wwwpdfwNlQq7RwBAgAVYbMd7DqL586LKnKbIvMTwaZXOwEXvISmN0XznTVUhVu3yoHpmqsVgpil6
uRJD4QLAattjLIF/TORnxJYbNc7iaFJdF/r5bIy7UozNTVJdFFIEPvMhgmXwyrCoHipRlWvPFOkn
CE11PedNkaP/DcunqgL3fYodHymibz9GMbZhgL7vpgJjCl4psuiplYkwZT47T1qDUlmydFOSV4eS
MB2VyfnGAq0SJmRytxw6FUReZKql8qxPmcipWJVVTw9eJ5PsRHIk+xxxj09M6XnwreDpPbHoQ29P
/QAoXuIT3VkrAVUWy+a4CRjRVqbNzjBNlbhKeQPoFkbu76DfHFGJn+ekjKK1LyB1rheAfiwESxSZ
ZWpQApwls9e26VGa640A8Eqn+GFCfA12LfsqAwPeAKcU8DpdvsGFiOJqOBI0nwl+DwMGeegobE+U
YV9M2XRcUv8zBnRjlvVbTFwdKnKfMxx5U4LKa/tk91sMcq8FmG+cXKaI9yTPDVK9NjphxjgThBk4
ckQcFybWChxOwKEniJJ9jo3nm6coznYbayX1nUawYxCe8T4rb8bV37Nrwv11YW7ysX7q8HadsyR1
TpHX68cY7M6HQqxOeQJzvD52io8ikKGp/moAir5BaKgsxmo/AU+TEuiw+g6O+QIjONulrK8eLEag
s+NYBqNSPQanFKbOuYgblHFZxtBaeEK2d1QuTc8a7nq7igrT+NHXqeuupWW1r8gkgLwbr9rJCRAp
9XPB+MhhmG2H6grJ/qvjJLMfKZo3wH7E5ZGuoRXhEQEMu2NXqshyPAceT0XiHsvBtsrLdZs1DAKx
MWAN9pieTSsw11BzJmD8psg+FRfX5a9G4PGdNmf2x6/L4dYZPHkY3MQ759ivAZE6+WS+qGY2Xz0+
csAeGoilQVTwBkok6WpnzxJCut3ACdNmO1orv5EKNn6sqTT3fkS5WN5GNW0sWGd2Mdpf1RDIBBR5
2n66PvZSkiLO9DahVYIeBXbFuWp8nMYePJm0o33mOuKqLHICEi6WNxhcSb5p5km/LNqH36DoCtgI
iViYTh1twSbQdLz03mULW+Pem22wC5OM9vMcsxaeF7DxeU2jMZ5XrPFQ8xjAifj60XMggIKWHJ1p
jccCHRoWqgNHvrZuwlEVDFlL6WBr5xhthcU4FdWGXhKwLSJukh9pX8dPC1jCI2vSDEWyQypZGY4Y
X+kUsaxtI+wLP7ZhoC5sMONcIjjpme+xaayWwm3O9Qw/Y0vJNzN9sdQT3ti6Y3Z1ubH05B9u2P3B
+J4h5R26QutXbfpRmNDUlRVD2q9B68FkynPvGAeQjzeyN0DFL0HzZHYivV6k4KgSxNPw4kSqPWGd
i9+swQcLXroFSEhhuJoPbCQ5VxFFTcKGIPSXpnprr4ruC9qiQxVASbSUR4l7sZLkzTf9Qv5I8SS1
mvzyxvEa95vqwsBFtV+Dy0gpSQCgjoQMVVjSfNag3+HHj+HDpgpnGxO6/jHjCenCcfIx/2PLVs5Q
7Nuiba4iLyE3xW8K8b8mdLQuxjzrdkLbOqYAmc51J/E66l/Z3KJZKEwd7CE8l01UD3yTn9509JqP
ZvNzAkFDOpH6MUtrTQEmUySkkbx8KA0uN70kCc3NY9O8Jb42HQwJUt51dSueZ7+KLki3TJxMekGf
gnZoXv0qlVcyzXFkx35nYN0BF3Jbd7K8xWPlPzWzz+kbQzofH5+OZHs71wB01joZrmdoUkvoTI56
DqzeLNZAzKyfZmNa8sgrjG2MMxSermI5y7duYi/EA0roa65bt9hHDsaOVTu63iP3pvY0FAExy6gS
W5u98HqKROyGk9HCz86NxCB8suTW1miq5JTOkf8yX45HOXD+2ywN6J0RpBUw+idnGAYlXHPLOiMS
VKFVxc0zskv2VAfwl1kKvNWmbz92EGnOZJoEyZ/U3iOHmI+NWRk/2MHie2Ei79c1W5pDaqbMtjHH
s0ecS/7Zr5LHqjKNc1TN4PKog2tY5aXZGfqLhXOmxl4zzqWLaSXAgbVJzBL2esevDUqCn9JbHeVy
unwScrvG2V1G2wm7KQ3nftaHVFOM+9gK/EMHNnE/5OPyhaIAbQzIeYtTAuxH5eX6VNRAmerRSwAe
tW8IO8uOHdTE1oAIlE9U7yPqZwQmrB73kh54ekUAa7CrKreNMUoPJIcwNhAK5HruY7sE0oA8ee1D
T3vP4Rzn8CDFJMnRZEiewJacQ67IugLRllRZXCwhzcUcUhptfB3QRrjp9AyqwlcpR98q4zigHXvn
cAPCol8Mjy6PljuHtl8V6nHMqMbOpLepzFF/LFY6XktygXCltIbRU0XxjTIH8WA6fX22+oADfodv
5GSqwXsggzo3Ye5cmjq1jdVJTvJmXrCVHUt9gQQH2IKuvdTPP+o5iN56aNr3HXbCn20DEImnMqNE
CFwGA6/FVmDkT1rQ+K7qy/yc4JDhfGvzFq8sOMT7VuNtYC1fzS9iccEOZXN9zury0mGtUQgoa7Ds
Dw891MPlruJn75dbZwxkZdxMbhsfHZUu5F/GKNrZsc+uNk36eTyQOdS4a+bUexkMrkiqYod7n4X0
DniUdTuKGItQ52pofBhdzb1X+mrnAUd9U3NW3bW/TEVC9fhf0NeOXgy7cbWQeTj5sz2fkMAg+Bu2
0d8xwI4YEC/mpNjqUAfyccDti5fNxtgzNS90eNbnQKfZZvLa5Ub2HtXuPLacae02Le9o2yZLsZoL
/7v6w1Ydi/nGGICTB9gRSb0GE0HhsTM2PvrD18Ix1lrL1pk/urhj16aLEtbFXA+fqHqp3Aa27rdj
Fgf7tF/Gu4EsZf/HT9lcrFm10wxvweA/2hfb1riM7gsXJ9UWTVLWZ8RqtOameHKz/J5qdVzsF9tX
ANSCaxaVYZU5g7ErC+xKoXHxS5S24I2PIi94qS3qHVcR2e8s9H4Zynwh7efUi5pTQCnCPYs0734o
vPqaw0sOkXDOXw0ZQcP1Ci2/sotXbclYv4eTx257kh4kN2yVEztnEHlX1WQP8z4LLBhYGHksMsNK
zUQMXPcryhXtC9Qo8biiGxEdrfZJ1opWBjewype9xZPrh4Hn44dSrNrptMjAbpFBkO3aK3ivV+7A
0nonqiB5GgItEIPy9HUxjOXeDAr6VYe5Cni2xcOzlbHM87GF35SIcuclsbsf9q+HbxulKPjQoJkh
VHQPBFaDoJT62i/L+rEdh6PVKKTiuBi8j5jY+rRhkxPTnRrhtwqFN5OLX4R9KzN/ZOmgUJniZG54
n/NLc7ZZOlm27/t0OUxDo7lpNBUrlLwX7it+G3x6fdOhwJhJO64a06y/HKPp9mPV0uOJHHiXFGPz
0pI2/daNG+zzMrOeB+uy2p7mSR2CgbDs1honsPYFgVZKy53FOGTozHvhJ9MxwwdFaRK5gveYQ3JO
6qjrT3jpi3qXebJD0rB0euJIkOy9dhT7ejIbzEBRGmwsN2YOnQeKZWKKjuq1XVOJTL7ZXSwW0uCn
Slz/V0WRRkDsUCwpjIqs6ownZtn3yOJMN3af7lxTA3h0S7a2o2GJe2pOnf1oeeWnrBbsSpyyO76D
XeTr3rGNB5N19bnIrfYlm5r5kFl2wajKAx+PRrSEtaVdvjKAAR8NUR2RlmoScAobaUI8OiL2V6Uf
RZW3MQnBRN2KquBHYG/pO1wPaXrXB8XPtgMJweVS7MY2T89Gm+CNIdZUYV/G6KHiyWI7PBsmnatR
cH9pQ9g4chEOEmPvZQjvAwMJgpO+0okLJdJbHAcLg/bqve4aM8T5lcA4zWNqxHOB7rtvO81bwxgP
u3Y+Du7YXnU8kT6SzIOfViaRjkCtCzBpJRA90uhdF7EedztqGsYOUSrTHmbLNsVWgH2P+LPhxEct
bLbhNLF/F9Lytss0EYtljCzqjU82DWK2lyUH0i/6BxHv6hrGO3cSQ0UB1dRE+Av3cqboWO6uEaVm
3KDSam/RxO0TZQCX6pqh3A+ZjyMFKlizVWUxPRPRYD+GOl8djGaICBSC1gPeB2u6DBxY+HbbLuoF
U2zHAOiPyOz/X8z6PyKWcLiw/jk953+U3x/FR/kbDJ3fbpKv6vOj/e2gc/5X/xWng3T0x7/0h64V
2L8HdBZSyGSzPkSqgozzh64ViN8F+UpM/wQiffdXLuFPXcuyf+dPLhkDx4Emgt/2f8UPQPDwVKSn
07dckGn8u/+OrnURyP6K05GeyWeRV2bxytDe+Nd++6usBZxQe9SUtbt4LMjvu8VnWctsY/tcLTGW
2m2FaZbCK3p9guyzsjRQYvIzYTOwuUkqVvaXoF/EkjqMxuR5qObhXxHCLvy3vxDCLi+RlAU2J8/n
N0JJ7N9fIv5+1+Ss2O4ksIoVVFKxoRXOxp0XnAbaJ8gu3HiaHgZF1iejk+KPS+K/L0v8378Ah4JY
flU+rah/fwHYamo5OrBCaaqHTbkwiNQWPcx2Em1isoVhj3uN4pDuqkdSX8Ei1f/iJfB2/5dfAcwl
03JcqEfSu/DD/iI+agcXWV7kwD8Ah6zIqzz2Maa3pvwDnvXf/qjOP4DIfv2uPaYO13SgPzGy/P0b
eQvS0zxXza6sBiZH1QVbv6tf8V0GW1aAlFOz9ScET0J0gCoAKcQETTiJO7e0yhMRcwOt344+dOqO
m3YS5r1NG1d4uS52gTu1h76s5l0LgWRj1Ow/CbD6G9eridv3Q7dhzcPmoRdnDJY5nz9+kXPjvSGI
HcxWS0CnTXSlShppDVHPO+0u8fUcPeGk4dNaLDiFJXSDaZxuJp39tOwl23Cm/CwNbKM5TU+LDH4M
cXGPDf7lL8mj8x8fx782av4d++Pzi+OSMCUpM88xWUpf3sG/vEP+UqJQJk2941GKQWSa31LUQ+mw
pY9w5eC4VgGqzxBs//n3/cW7+vvVAeuIBTE9tuLXbeTv37ioA78GE5TupI7zDQav9EBQodsLQb2s
wrmxTvyFyH4r3GMxc0GXmiCcL0veUFCxmzxW217qALg115QNR3fNsUGuqmacd3kadSD3Bew77F7/
qipTINz/w8ea8JO8kPVMcEggCv/+2s0+cPDrxfkuwFezboxf8wGYO3sI7onnVaT+unzXARa4qSck
t/+g7MyW21a2NP0q/QKowjxEdPQFCRCkRA2UZVv2DWLLtjADicSMp+8P9DndFuWSqiLqVHiHZWHK
XLmGfzC0w5jHVz3iJrQI7cPvAGROO7xnbAeir9syNfMUHhrwrLGxC8CDk7H8eP+dv/3WJhxw3YaS
j0ey6RmvbxuPdgWIOrc9KpLBkklQcFUPXYb1RUtbIA7e4xaCOrL+0f78ywvTTX2198VRyzpTyf5Y
Zb1eRmMPJymMhpb2HIrSqMl2rf/+810o+7GWTdvQIb+5Kg9HwHn9fFUhgO00RREms1OFjMbzK+jS
z+9fBEvpvzwM7AmdzEszPcYqry9TlxLfj2wowI8XL5ETSeqY1sMarYJ/6Zhsck8ZOVsGONKVtuRX
pVW8aLG5nBAKDqyVM4pOtrfVwLNDKcVZJ1lidV+0LHJMDNHkVxUkXCr3UbGVGWcX5xZkszwg2QH2
AdnOzaAV3k4xxg7IDEawbm0BlCO+4XrK3AHQOuNffqxNLO2oosNLRVOgYYE6km82LkCWBS6NvvAn
AICQk1aPO4BaHt1JnKQST5g7XW+/TJ3bgk4aMQftsudySZ+tzDiVYomuIgHKzzSyF6n39b7t8ZRU
vWqvTHScelv1dkgrvcg4QpwTFfZNY0BbZojMgtNY31XcovUsimfU7ddiO/7cLGJBw8d7TFgcW6XL
uW/jVKUeepKYJgeG3uF2wW4f1+gNI679KiarZfIuXcQmK2wkTS4GQdX8h2qIsKyDWC3G9LkF/+Yb
TaNvY7totqlufa8khhxxX+oPCEiRPKQLB/FiU6EX2Qti+4ivxp2LIj33yzjpQer5L5sCAzxPcYxH
egeDS+Cmi90GUFs0GEYLgw+pPDmqaH2TGcaK/3V9WJjRtqfpsWOLVWFupc+GyeegS5rSN+UELmbQ
g6VZHq1CfMo075GasGQbys5HfSkJSX4MDhaAbgVyNpuqlQ92CsYO27Q7Eowwcqpnqbby0PYCzAX4
5MBDmQQ9K4Il6ux0swo4xE3xgkMc0hfNcA0Q4Hop85fCqbxwQtXcj00etB1LQB/GDSrN+toGdn3k
H25z+o4wpDgD8NjIfZ1+ih8J1jl8MCWYQRFsc41LzUP+osQKK5YvOzu41IEbhq3WWF/oYGR8cXxV
dLOEmhzFL8AsWQQJ0VpNR9dXkvo4OS3z+pyTuljKZ1hExV2PcCMCiIr7qdWLHYjSZzT7cM2cVTCr
kfMIZ5pnJD092llPbrV+GDKD29ZGsgDhU/5rXbvzyLJRhQfIKUI5XyTpsxuRM1qxccLc2gu7uXhG
fgapfVa4tioEnReuXLhvtBp2gNkrRnp2CNTqUXgkMnjI5r+3QMkK0zTj1Hay9dElZ0WaAveTaXVk
S9dsQ+H31aUwkDxgBRkan79V2S5Mr9A+0IfkOKqKEjDvhK/osmgRQXg+3zi3SxbTVyg5KZxpzHbl
tY4Y1tfeG71d36G+0IiJreYkAmcoD6fVgW/nMB8KFhyNNXvinkod9V8IadtsGo71WCNwxzx4N3VR
tSkJYEq7BizH4t/wHCzd/PcHLlXrpBfNE4pW6F1M2UuzGsfiGvh8Dhe9k790CDHgn0skqLKYC7QM
Y7qCE0TYjJGl1rXQc3iJFAPkQyAvmBt4zmawNKp/PTsWYKL9vCEqEagw5VnQfNLr4/l0wg8FCA4j
0Z2lmdEVI9GXWY2ie5rQu5IkaZtSXweyRVvQmmAEz97PCkzaxtBZufh4tZu2TT+D/yTkKfzegVib
053wEU4LMbx67siv1nA24yOIUJB9ew5KvUV4AXj5lE3cWwoOT6+R32oKKDOOWuG6xVax3ex5RhMB
wIakdzPwcc/VRLKeozaCEsF67AD4vz0/IfjBl3VLAJk6rUcBJG0GD9zY+RsI3cPIUxlpDUGByMej
G2fWFvdGlg0Mok2kW5ghM0uEEoTEucxecoE+iAQX60uVxXiOdK5JMAFB+FjPDA9MzIEDosl414I+
pC3A/kXnTA9GHIR8CUllX+RtdNWtXwdkFWSXpYZ4UIEcy9iHSP1NV+dInDLi9hEPKkCyM67kjIdL
sriPTiGQGOFf2NyJO+1aQMZkMXyAHljSLq37ZQe4Kr2tPTUHUS44floiAmuYX7+eK0bOTaH3wFa1
rZOGPxHknTnENYmNOPMi1xU2LfxkIkjTiTQgJ/lUY82ikx6BpxAsK0Zjq4E1n8bwSCjWr8uoE5At
O9xJiPpUQRVqbPzCZqAqOMffYo2O2BpVQFo1FDlobO4RCeyC9YyTHheIE1a11bOBnCU/2jZ3ra+T
xYxpBVaqpMN9mhVBP8r8RomK+bOaNPXeKdndjB2NjTrlz+e1UnXlc+YmL9UyPeKhMXNgoG8ILVL1
19Mm8oiLeccWQGoov5kcO/dtxVaBPDMgAv1Iw13HKLEXVbOjzYPxhC3T2zHlrVramp8jWw8RAPlO
UXPgzV1zS5RsrlMz6Q7mWAFXtlDkmoxk8pFA83Z5P7pBXXuRnzVg5+p2xK0QWqi6x3cqfk6cCRqT
oZnpbtAEwwU3bUPPAUaWTulL3dRPkaw6BjNN+UNBzu6TAc/4GhuGyY9F9ymjVxtS56Rr5097AhiD
5F45V2TEBnAu6Ky+YWDJCpx+Zy2USUMNg3GTi6E+SCtxGGnQrUIsH5LsuBJK0WU8uGsBlyerIM4i
bw0NoxgwqNoVFjHPvVJMfuYANwPmYmz1ET2CfFSXawxyVWQACPZrmVejwuczLeL/uW27s6wx2XtK
CT7EKnIfI0RIVnUBPcUs1W1Lo3VD49wkRwH4mZRMD2D94pihy1/ZQsLWDRYSYA1u7mokukB3zEPn
NU/FatHt9WLZDIYNjxUPbuSRjDaktZ5tQSZEXJ6+Hcy2yDe1nt+9cn1TTet3sreuCuDYcRGPv/KO
XiXG75E/4qoB1N/+IRzoIvH8o59InhUtIWhh0YZfDBhWWsQQ0PUUEH1epRtbUxH4NGt0qyM9tTEc
NfYKgjhbo4X1zfh1RYDcKyNueuAPOI76XQzPHydQvmmc3ChY8KY18ddE4RMziitpF+7GTUsGiZ7y
S6DB4jtweAN9QhYp75V/rI6omzXwALrFPGEpghWzVI9SMXK/QrQABkePrBKSEfsGxSq/nZBacNfK
Z8kFNukLYSnt0xdtqr1dstKVtIhIU1fJ/Nno0PLjCy+YBHICmZUdvYzQD7ag7IovVdOb1+aiPg06
oYL5wBNSCqRUeSMhmHom4Q2PKVglHQayJMHJ1CyMV8iYVGo4/Png/YJwYH+bSn40VM65mOAAnKsL
8AxBoV6gd3Su6EG+Ew4Mtikan0j1q9rJAP+BXE2ab2XJuq3XJUrBHJrj+Ewr3g3zajglLismAgSP
2wWN2oWjYL3PwVVPGt2HsF2thyJOa9yKs2ekpJ5R2XvCwZYc2VJP7QI5uEM2fjsm7XSlaYhupqrD
ENaJ7wGxH8WsfaeAbHYYY0m637r8jIbMt4wzDdW+sNFn7wruKf6ZY5bfZCN345JVbTDGIbtewyk2
M8tN3nPiDS7WM6iFPWIj+Czm8kiCMd0jkSrJAo0bIclrFM0DNZ7a1I1gPTp9RLFnKj95+hgMeoLp
kV7wrCAhbwEFJPeq1MS3VOXdY/DZBVruHAqTFSYKVgNqqKiYYoRyAwiE92w6LmShCjt6JR0fS1jx
oK9Zbuj8DNs0noFlr9Nil7gWteQ5eZNMtwouTD1D5TVIl2R8wyDIvdtu4WHJMfVlAFOfZpCbZb3H
pyWM1L49aF72UinJS8xpLyXnECjT29jgPs8nejdRhK3pTrOu1ZhlchuZFlUeOQHFtR4AmFEChRve
mOuZWc11ARSHqmWZaBA5gIj8PpZPdcnRM4z9eAe6moEWww+yyq4KO5DnVzOdyVUbZLrL7S5/aHrY
nqWqBQpDXlDWkN8LKnooQKxJiTvWMR0M0ihzdqFwetoxhhIIk5s1DNlu+V5iwfETP1BvS9dioAOC
VJDHDH3bK6wmbwaGX4wtv0WWL5Ch1ecyGqojMoLP59VPvYmMSIZll7m80ITgqQr7wYXza3v6Cao9
pR4zOj8Tyq+1UWWZS7PvY2+4sfA22sz5egbGrM++1jGwI4ciKMTiJCFUc5h5CBnhxrHV1eQWC2kX
KIeRY5gESAzKxpUCVZqIK65nfWG20nD51Wtom5kkWKmi3xUSt6feXAEpyaj5XsIxzGrniOv5RENl
ns5nrzexTxNQCe8X/tbf2gv0GHUE6x1bVe0LJOWQwS6JEXgOYeBRiBs0bKGlPjWCpiASEstuAQTI
U/CVEQRcdolerpNc8cVqvrqNeFTdVGMPU+iuaQbOF0oA/vMxH+J7VZ8WAFSOgiwp7gnJqDLpHQcA
lRj6YaNAAtzFn8+NzHONhHLKT+yckhd7wl7a6uyTBl3BH5FcOzKDnK5sMZVHiBQkdMOalDrUQGCf
UuolwItKx7S+VVTtdxHGaMd96F0IPJEEKNB4WzNes8AEPUWbmte3Yjdi7KZN//MWORMBg0EBDmp0
BYyLjlSGgV0Zr3C7qKWmZPYVXbU9HQlbJ+kqc+tLurZSeT7O/57tpqFL/kGL+i9NMbw36bIh/c4E
5LKXZ7huY6V63oeZA+UH+leyR92AU8jGCDJXgJYk9sD0rkiND9pV2l/aiJTvmA6gBo8hwLmp/UdX
jJ2tYePq9aHbwDy1COroBinaQzrapW8uQnzv1SwKIhW959pC5QuZyE+e0MPZmLSn91f323mKyRdw
QDS6YI5t9aIP3Os9DNB6zMGlEATWhgFsO1LodupQe4S8GxNd37/k2569SX/UQpsGCTWNxPt1H82o
OkTPaUqFbWS4QdEgndLE/Ekr6seplQPgIWXEKkQW+zQGMfb+1f+ym5kTcAOey9dnlPX66iUv1eiA
qoQN1rl+TkMHjUWEw9+/yl9eK11mND8Q2PzLmIrTVLeYknXhoqXmtscg3pcZyqZzi0Y+RsUdtJT3
r3jpb7J2QT0DbqxLfxuZI+fiwWDPxKQlZRfGadZeRx0N87Qz5YGQQCtndB8Tjs+NUOme6Xb8XE4F
nrKThq5i3Kyyf+nPpfjAc2VVArvo9a9zRNtSWew0gS8Wl1AKmXqqYI/l2fdaWPOv38kvQs5+jZz2
7Qev4O3YyULWClMRtIUQQnMuGsG97ih2VOVt6KbOrdTR2K1Wtf0aAMxWJWveaKA3zCL7LNTyUKjO
Z5na4G/T8abX858gmrHgtNLl5v3bWqeyF68BOgCUAJY6W9u+tABBp1LMMVq1YekN9GkKkme7IdSg
28SRiTxiXzfHhCbZV6MTYtfWfCIcAWjpKvWThiIfqEAqk0LoeJrVYOcc27gdgS1hPp/9sNu91amQ
RU1SkM45GK1xQs7ipY8TsQEgkwVKF8MFp1PjLDE84IrZ0jp1zG3gvbpaZFuz7DJgbGttrao6Zqnw
bVX0I3g1tLLWsd35YMsWVR7efzeXjlCs2nWSjGeRgaeQi67c6+0IJmjqKAxFCA4Ber2FAJHTAbUq
RqQ4hLNaQqOoQOugBHE2wPJcH5PWKtoFSBDNrkOrNuKkQ/4tvxJqrwSWypRoWPPmBf2NXYsk+g0t
CWRuXTqhcflhPNMuqBbnZ3CxDzHRwmMorV6cZvQyiPOSZJOkFBSR5yo+PbVxUznyCYAPWvl2eUQv
VAZaBjZSKdIdTuzig7D6dvEDGcawRtdXiUDHvHiTZbYYICDjJkSy7UofeTHAaU/4VdkfXEh/G0IZ
HWp4KDHhdXTnMtIwBUF5qYCzhwDnM3QEzCVnDMgap6teiqWlw+HQlUrX7nIz9fUGAhk3g1gO4rXY
Fo8igYofP6fA3Y9OSb2XUwLyfvOgXmvGiuKd/vYRxBKN04I2nBJRu7y/8P720RjgMQC1HNWy3kyO
KypXXUN6KUzaUvP1AoycrJANLluyzqmcMNsY+59rvTTntJ/6JnmZS/eDiPU2QDrAIpgngrYzrTdo
BiQGWkdomghVs/5leIA4eQ0rbQWhX3DNH1xNfzvBglaEOCRzX0NTwVO93mxGjbYyRCbB/HKMd7nA
xXIdS+LoHMN2iS0auCTUS8eQA9BwfIdD8lM91fmNXZLcm2r8LFxtvinMZtkPFN6gqLBaM5Gs95Wo
HW4yY7x7/zO9PUe5Y2sdFDu455A0vr5jidFA2U5sLaQ60rBuQS4q6EgFvUr9RCsbgqtafDC0/EvC
z9VYEapHhorDzsVOKkgdxrrRERzJaGw2oCwpxCf9mCHMvU9Ap+P8XJVUtP2hpT117Rk0KteeIf12
JSh1dOPTihYC+rYttqdI/bMAtCtaK/AFyGaFQYmZ2JTdhtU9Ad+nm772RCqNwkln/Azxe41mqUW/
dh2/mHqfnnIqqi28yWRvLo4Zxjkmc2lkfC4afdloCkM9gboWHtKl2CXOmsxHoxda64TSoYqbRvok
59lGXZgYWRbej7USttOOy00qE4rou6GgjYFqwwhfkmX4/qf8a9iwESXQeLmmCmbj9bcU7pIm0iRs
xHOX3CNAQ1OA8mWnW2aHqYKoOQMpclNPf6ZtTjfb4kOf8dgjukhBBSzxypnpEZ1jfQlF65DOqaBn
2grL7zr923m0aQrNA/NTyquScfctwjYfzZvXRfc6rXGJrySvIE5UJFov4r2MTUaw0mnDyuEw7jHH
Xp1U2RJmMlzH0iu3nruU30w3cnzUDvMPzszVm+zy+rqJdguYF7BG2iW+x3OnHMufqg7Vgilarcvp
Xsvp97sFnXADC4YvlbBKiGhJfoDSrvq5yQk5wU0mKPMnC1io36tOiR4wy5Szi4mSwwDIns3vqtZf
5XP9pLQ0X8/zB1obmkKfL0IoL4kS+WSJdRpg0WTPaEqGarn2+FaB6nwR6Uk2o/lFLSz4s95RDii8
WPZi7aDQ0rWPvRf+x9CjUNRfZpsVYeUCsMkdxo0fLLe3WRd0FVdzNZwKOZXt9S3+UWUNzOqqbJUN
ahhSnAcEpbmOhDUmQgIlsWDpULGPcxC5KnLkC3ywLb7RDA/E4TyGWdQe4JT0DGDc6qlY41tjP+LB
ibBbJ75VTPTR82YW4ajlHL5/92/jngty0jbZ9ypl6mWN1HeoHJU0XkLFNUMNWDxib91TPlMVn7tR
RVR+EPVWiN6rVeWwpshPKcqwyOVgX2/pj/eVaNC1ZU4lSGtbbMCIOxjqcByfZzHt+fP2DIUG4gtI
DkAjaOgw5+waF0kz/DFkI/PAAsyyAarxUfC4PCjPNwdh1mC/raih9e//uDkUDjPkaKo8TBNwBJ3k
HtAJZwrAuAzKykf4tb9cbt3iIJUMjWLizbGTC6tlEJljebGuWqc8zgoJldmydqgdP6qI3cu16hDj
iCjgMAGywdm9WKuJHJg2ohEaJkliHb10MImFmD1Pprdj1ORhrgAEOkgrxDoM0tB9Cndir2lKdWvi
HfR1NEsP/4Ae9bL+rrURxm/sDn2CcWiCkT3q011prwsXmxVsYu2N6Kr0WBmZB1oFa+J06aodmoA0
43FrWmfXp5R2+CHrK21XZy2u8DBWgAW7Yk8NYyZbpU5H34yhAEC0RMknGnd0JJtAxo0ZlshgXYHl
UJio5HdI9qD7CxwsdHSDd4gE4NFulAzphTy+q6iTdwvmAD5EYNfvE/4i0ZVnbUXbaWPTn2YStR0+
zJnvJFRqUT0MtA2hwPXk3IjRMKf2q7w0rgCoWuDAci+DGNBUu0qYEEEyifhiCYOFLllkhIbTuHsv
5R4UEcX0dz+JzryLk1T3FbrD166tLLR/Fu17P6JD1Tm59cFGM95uNJckTAdES1RSqddfr2UEY6WH
35WLxlrm7s91j1GAGqlalck2uVSmlyreRGgoQsowt8YyQ4YU6wescxMOSYd2XYap6saRDkKWRfKj
0DMDwZnGRnRnRPCYBRTMioumFwHSNytZ7RgimNu1K7FzjUV5nOvRPHrrr8/q7q5L9EfLAW0yTjZI
Egut0F6W1V7PWveDhtPl4QXsjw3FDiaPIdCoF0udyImtLnqMu0QuoUxmWKwf2QxfBs/zJRwQhphu
2pp1SX2nCrNoBMQugIEMlceB9ivaWpQZAt57izk97wZm3/sR+zIp4KLETpPkhnqCsHERoRAKxlIs
kc4Oh88mYPiFp+GiNozdcrxkDUZ6imG1h1qq0dbE3vaDtpZ2mds7kPxJkHUSePqpdFxer6oZKvuQ
lbWz622BtMgEQ1PoCMNk2XpBRNUOwuvckGj3SNshD5ElHz6//wrOCLg/E6PzPdAi16llAP2uwvV/
Rmm2jXR0iRB5ZueKP8xNuy9NQ1KIq7DLUSr2ICSo7T+TukS3vEjzFmZh5FedjhVQ7ix+Mjhy2+Jz
vcNBxX1SW9w9qqYlu0vErswT+TDiq3ywpMPjdIlzbJDtODpibL7oMagEZFOQ2h697t5wYgzoBqX4
IPmydJ7h1TOSwNIyRQ/doHHN2fz6Gee0s82GI3TXs6uOoyGnnSpiDZZ8PVydH8Lrk+IeCpBzbBP+
gsFjtPVWBdoCPR2Exs3Fx5Nebo0kivcebho+pFOFfa22B1xUXgRYjL0y2EDIXKQE09g4IehuBEKm
wxUEynZfNLYEAbC4oT05A1PtNlCsLAPNYTdBYXcLCJ96nbFXyq4U+uLLyIJYlSDrKJsWCt7i7oQ9
ALFI4ocZTvjWjsbifl7El0VmBkGov7LGnps1UYiJm2TAp8fpnpS6+vn+kjHenLS8TprwYCodWsHG
Za0lPCj/C3XTLs7lysDCCtTJhmMaj5/K0oy2Rm9qu6XTUETAKmur0/HaZpZw97mL9AuW5WijM1/e
Fh7bLKuG5BpJd/WfZs4cxsvecs1vsY/Dqo4MSwY1ug45Z166Hebq8GPJhHdNladu1Q7IntW1Jozu
pgLUp8utYtdfUDXod+gWPZY0pP18gVb+/hsw30QrREKoNmkbYfpg0i59vaAy3Gtt2inWThs4vF04
Ct/1aWQIxo1HnKCuHvS124UdWkiIBuJzMi9Ncq1liKbOJgoTWYLEXFnU5We80YF3pGw77BksJNWs
TNnpo2Bh2ihtS8Bx2DWwRmZEe7Za6mbbHpZPMMs+RLBWA0tgfhoH4wmSKsIYnvMpStKf1DoIjjOf
ukZqytnHgDbw1End+458MkgKF0+doaAcrxIBkXvqQpveQGgy8tsxmGShD1xywjwveP/V/W3tMLkw
aXoT+94khfOUJswoWTtDYb3ANnDv170i0WHYYj43fNDGdd6cXKvZhQFCjU4uVO9LMHPZ06tS+44I
C5zKz5hDPwEsS67FglmbuiBDhX1tdouQV3Ktu5KAB6Gc0RUvfeX8bQx3jLZME78OXnREZOomQqB2
p4HymeyrOcYlsZnZ10MG5JWf3QpyQh/hwQi/WY6P1fpxR9r+UrfNctJrwHxaswy/YGi2e7SPNCaH
U3XMWvwwUViLdwmQ+M/jUMgHBv6Rr6EgdRJpCkNdB6eRmxotLntpArQZBmQEJu/ARPYE073de/lM
5Fi8/qaEY3uUsCtuRpWw3Io8R7+X22FiiseeLIfPFrRbvx04ZpRkcEvkpnFnqpuOXdgp2a2u1tDu
ZaV+NyJ0IgExM87GbVLZebKk7TzEyg5eOsHI0ewgoRdEBsqGWD7YaH9ZLSwSejErHn09JV/vs9a2
i7yMQcW6ElAOZL5sJwWc1aVG6wkvkWz7P12dTBVBpJNiUahbl1W6naPdpCxYpyJeQwIi2A3A5rwD
mCN3nyy4+b5/Pe1tYknZZvFsGgUvwzzvIgVxgbfhnBybO3BMBqZsIEM1zbWPcA7x21jU5HryzDSI
0TKGky/hcRMu7Lwxgrpk88OJZxQwIj6B8G229XoOKhV/Sl+tTai9jtaFouFRUruWD2VLuLaq9XC3
MBBGw6G4t6r6HwQ54PwjmAbimkVna8U/4BebILNBhWaoyvsxvcnH2uWwW2z3phiSfMeU4aVBaNyH
1vySw1LXE+5dUSE8zm60XNPX0gOtn2is1PIRSQcilULkPx+tIifVwkIveQJRZgQeNr4nDZAvGBF2
k4eeaohXnoq6TKFej53ZhbW9nqZlDhhckJfkKBls+xIhT3Xdq7NO/JBlPz9XC/EtH1jnC7auqNbI
dg+ymLMnJ+y2uWi+pGmu7HhvaOvDHmVg4dQ+HZfF95SEKcDcTP/624L1jlSyspMOYoPwRcfe7xEq
2k5ACzbzeupmid4ezDR32CyEi1QbyQe6aeElTu0h6VT3RmsY4GO32B68Lnb3rcMOrRJ+RI3JIKrI
6/y2BvwN5rsLZdzK21QDRVR1Uc25wGMqlpbdDsqyIPSutQEyd3YIR8k74CPCuyssN8TW87M9Oz9K
8LooxZr6gd05HOHUGAERjFVszW6IDhopC/a/m/N292xeH0hTroCHjC88Mh0Ufxmie0ZH0c7nOK/2
/3xF/WrPzuY/aiYWaQz69vV//p/HuuT//vf6b/7fz1z8yH8pYvbqH/GL/3Xh1bPp1X8EZzLmqf8l
54dfbV90/zZbX3/yv/uX/+vXf4/Sqa41xB+7/o2DVNhn/8h/utf0zX/9q9/0TQdZMtoknmlThOhs
JX7fb/qm7f4Hdh1wJ6m/TJV5A+fb/5clAzli4ZwKs9/6rVj2b/co9T+0FRxA0stgSfMYO//7Ddz/
Tot/f5X4V/2v//6TdXZxhJrQSpk6rLpEDOA5ui8GtJ6eDnaLuHGAyyw07WWZ56/Ifk0fDDouQj2X
gRII2cn21sySRullqMfBjBY9zs1mPnwfVOzSmYjECJLSjQ9jlELCP77CX55LW2v2P6qC8xVtIA3M
k6gKCKqvr+iVS+72GHcHjjZ55UaUSFgCvkpwk64cg/4w+iOf3N7J9l0E5mZUPTS3+Fffq9nQQhW1
2is43caV1kB60Zce5e+5GG+YXS5HbcrFB7nMZbPvfL98ctNiMq06tLpe3y8CLvlMtuAEED3KnyOI
SFQymeJtMUf0fABB7oYCxh6x76t/ylrFJnpyxy9kKTAG+9p8iVFd+4zqf3cVT0v98v7rvBwV/L49
CiyIVgZIBpdF/GchiXmlCtFotjHYFOZNumj5tE2t2vCddkyuZ8RUmSpqor4uOmMKGO3HcD91NBli
h7N1oiOmz3F5N0/kyZo4qIlywtsWxdUIcGay0mHyb4aJi/EQmfK+QBfuuY+1PMQOXjy8/yznVu3l
0gCUYLi4qNLPNS7aPW66jGrXG1Yg+iI5zhZMfCTI9difhJsA0EyRrys52AMFTPbPyh5xASjKapUF
hyS2n2xPOfXT1H2zzcFAgWXlreaK9TRpZGKtdeNIeleYT8NaLRQaakY/HBAbSujFZd+EhT9GGllP
ntUZt52C/H813+GoOOzFbJeHXIIW1ZAjPmJggUaTnqChutGxqtwlJdZZGXkGpwRKmTpmxjdSqMlP
FzVVJk69Ia4tcAw3XYa4+garQhUNQHXEJU1XOIhq8Ksf9I7OG/fiXTok4SbEdBqzVOGv14VgGJhb
7WwhPGaUdzUdftqTo3p0qTeYfL4o2Tjd9TPshW05uUm572UxvthNIZ9N0XQ3TTwCJUS01zkA+y58
B5lSm4Ez5qk0B8V9jZU2k024Y9exKOefXj9qn3oR1ddwTxXS8jw+igX1EkgIKYTyWJ2Obt5nuw7y
2wcL5xLQs24CduZ6JIAUs9gKFw/rqmJAR9kO2rwZbuNS76P11eK3Q1i/V2bb2zWapgMhLhamLm58
bQhLHTdkpGKvLab72WqB3MgxVn+8v6b/El+hR0KB5Aswn7Ct13dWxHNJyTVawcgIZmvI+iUZ5gNd
rcnH5PPq/Yu9PTNcwEOAdVR6pRoh/fXFEK+0R9gsVkDnx3lS67led3H2waB5veWLlfXqKhe7tEC9
3G4NNHhzfMB/qTiqH+e+UpD97qp59/4TXbQK1zeH0CdnNCeqa4ASe/1ELMlMCL2xgopC85qSfvlJ
48Y+mtJQH/RptTeq6tGr0U1Uq3uviqT//g385ZVSClEkuMR/kz++voFaGS3RJJYVFJ2DKs4I4nGK
FueDU1i/6GzQBKROBVyBQKquqwhAvL6MTsh15yKzA/DpD2IFGZTqHGYp7kckdtiwTKgaGtP4c5V0
oWmm3GEmgPTJUoMfNsbZ9/q+xeHRrE92K8bQibtuY00PrS6abY7tTCDSuNiofYIFFdrcG8NbJB2I
5lcWfwSvu1wfNDSRseCsZDyz5lUXXZoFAc2mt6UTNBw726hPIcehwewvdq188HXevDa61uvBB5TH
9jTrkpqfLBjCOr2Cgmphx1fRnCt7BBDXyXJV7Iw26ve8au+Di5IKXu5qxhHEG9IlIiuzksvPNeKa
o5fwEREbHJGgy+vAiF2JLuQ0PhnIFdkb6pAH3GDw0By/QS/GF2ec9X/QI9UgKiT4OoLgoi2/MSL7
vhVwvwhuTZhKERarwmYbpd/A9X6rBy3EtAA3aBdnvraM9E1TIFrvjNPBygeaBU6r3nv2iC0nAq1e
OmO4rFgFhEZ1VndSi6wbjAlhHsE1EbpSwCQYk40XQXlEmugEVgdqInAJNtADen1bgv4hN91PMZj4
uwUIoFh+UqS1dxUKjT7eefFTWyv9ndJk+m7M2tiPFtwdIOLgo4SrWFikdgX5timyb3CoNXx20wpF
26kdfuqFJ0MzMT0adp1hfptSHTEvtXwUYriXbohR2SZFEvFHlAIAs6IS7X4lRu3IAmkIbdKSOwvj
pQDOs9hPBXN7fZYlToUI6GmTTWtPh7AFcszkzJW9/gtTOvemxNZql2qxhsp1TlsJHF0ULKPNTD/i
lPqet9UYpKjAwgGft6KwP1kirf2uMcp4g8GqWWxpIs7X0kjMU5QMiBmmczAZ+I8guVon1RLqhbGP
7McentE8mX4367h6j8YxH/vHZuh/ZWSXX1K9znfGAhrGc4evSKRetbA0d22PtXukN9qXJoNrOeSS
ydwsalB4c8GE2FuAaBjNqfSWLzjnrFaBGP90Qkr0n2IEpXJ3sqnxu+FOTssUakth3YPYKn9WLZ+t
l/RdIK/FLy7cvjBGBWSvNq44tYWrPVWNKL6OqRFWGY7OO6T33fuaqfVJyTFjAO6qIqRY6s3st9kw
fy4wtDoZ+DJ8FnoGEEKR86OSRCIUtZLf4oyD8OkklYecROu2z7BdyRhS+1pTOlzZFrfRovRBPk5q
0Juu9o8SafKAiKp1q0tM7BO+3n7Jyu6U9MWzHJwZIi1POKqWEspouFdjM1zqR4AezInK+a6J5puI
HkGIzuJ4qLW8/hFFWvJYqyzJxuhTEnAXKbkm13APKRaQL03n0+ouNvUUWyenGZNbGBk0BWAIbWs8
y17otiCSP5jzVYnJ1V1lub+SxvpW4R8GIQDKdgSdNJ2+Oq1T7814VDbzjKVqYiBE3rfJgnUv9LVe
xl+laL8Kj9nAprM0+VwAKfsSu7nNXLgpQ8+Y6wA/aZ3if2yPaH1avvSkvc+kKHZScePAQocMr0u7
+mLKSrlJuStfaBE/nFcPRNhp35TNeNCQ5Qr4KazZnPEIuOyXYcUMQCcbgVEPcFKlGhOygQk/AHft
08CUO8DISdnlTFzvIhqVgVbDITdo5LSuVT8UcrTvrJ6owB5E59pIMbIrrftF/F/mzmQ5jiTtrq+i
B1C0Yh62OQ/IxAwC2ISRAOke8+we4U+vk6X6zbpLMpOW2rQ1WUUWMjPS/RvuPdf2HidZ8ZnANKg3
ctDTyXeITkmcUe5kovV6QgQyuyRisZuAIOaFZAMsGOuC1MjXEdgYv9eas22TbBA03bBeAk5HtAML
FwQJ4YEj85/kCEx3SgT6mpm0fAxYwV6gQFSQZbD9k9uKEif76GQ17EQIOBc0JFx9m62DSshWs6r8
2hRoxRaMjV+ezqeVjolt6hJWxlkhugfXqhJy/Wjtwp1X+W+koGBX9ETeb6WsN05UkGFpT0/Qvs9O
hdPWYwZX5C8pmERecVs8evbMKmXJ3G/bzOVTq3Iq/Vgbf58PLo4nQIH5ZiZNo0e7sqlbiUV69p6d
lNxNgp3h2aYKjvjEtLGdtkyhftWqO0viWYFT/qozsoYQpPp73Ybuvrfs56ZgkIZB/lIHiqH41OTd
KgCm8D4aVJltp+v0U9Ce4ZhMq2i35AvBY63pzyPBwOvbVgw/krhOZiCIwNXOWmrPoLFu5ps7krSz
KUtqaxUMtb9DYIiiCasJZUezb/K8OBNjoB4sJ+t2NyjpnWya9hSEQ/Pkh92jLMhvbsrE+pn5ffPT
4Ee7SXGyt1tCy3ac/ewuS3vvnZ+62aJ0CKAKZrBh5tjsZdjKnwkbkFMX2xOCbW7O3kXfSeJMclDQ
dNctCOi7pcTRNYimOrZekHH0k/pQ9IV9KXU77caOw5tI6cfe+VNI5ggrwCDDSzwChBwc2T64ulye
QlHEZ9IuFtIPo/xs+xCd/XJMfzC/XN4nhLrrxC2dJ3T+cJJwuh4L6eZ7UD/ZJwgRQHr+0O1UF0fv
rbDtYyaT5pR7gutWLg92WJCaWHjigcnOuLV5tSwvluA8qiG4S70pQBSm7BfMXdljmY3esR90fOcn
YtraSS4uqor5f0Oirl2Uf7dVl7+Au7WRogn7wCO67SbysqpA7uqSehFRw+10SSTxqkjeqftNFC7H
wfcgNfUn+BeBnUFFDet7XWbgriHtjGunDdOtNcXRxWNa+TSaLPgmwrZ6j1wyJEgifVvQTW0aieS9
7kaCBbXqE/xaY472FrmS5YfVaWRkzBnm9zs/srxNZrNEj8iTfSZFG83kbMpE7UhEkkfAJu3OXnx/
VTodc2sfQx2qMKCpmIpD/5gLZY51bP+I/TF6iPnz6ASR1dRJXl5M1n0zK3W2dtF7VMBlD6y4n67k
zR4wI/2p4/6ELk08BACrQRwgXRBa5vCEeJ9BZQfrjlD1FeOoyyDI7RHpmkIt3fVppbEnO0RPKsya
99pJpvtxHMQrLWaI6avMnF2CkVauQBf3Vwhi6VvUR84TJlb74o66PXlCzJd5nofvAWMSDoBOyhdd
88NYth/89mY7+YozWZ+KLMvJb+HPOSBBNkQK9Q5inNbeAQb11IpzYflJPm90V6lhsVbCa+ptn0T1
U4ts8ii7XBGFPBMKl3tWC2cxVvuhaT2yg5zMebVSapIc0xsCx4D7WjH+AW8SEifq65a48Hjq0he0
nhMf/o2vNOhK7IEoBSV1Zhe2GHLRxWYgRN6aIJnf+8iUYtODJe1hgcg03eaTJ0PkvXlyLWShdm6B
7cijGZo5bKzgQ3RcQVGblkTQTRE4MItoygLe9UrrKrkkZdfyw0PMq6hnmN+z4mFsX3aWuZ8h+VIy
kep53y5yuOQqf6pC88uP8h9T5U94nRf3BG5EHKbJvE/G5Qttqg6zQ9GzzDNAyIk7JiyG6wYXXUR1
27OqY0Q0b+oq7DZtGU93sMedHdtfuYu8PEXvGoHS76HOHZXUO2AnG5J/kh23K/hsrwKbPyx1frbI
EHrDlHue0m/jR0+xdl/6WP0kUg7PvfgkL/tdur5/qIRVPULOY9Ng10Rr2VV0V6q4GDdgfqpNgwgb
tr0xybWy254lGsGkVWlN7JJKEudyWJ+XJOjHZ2soig1RiJj9/NadrrjVBaa7MAh+op7FTcyPMD10
aSAey2R+TufKOzR+XX/M6CYa7C/kWjFa0r8VgK9ng9p2v8wNtOa2jQAuL4IYLa697wnFBMNXJ10J
luf4bb2bcpw8v/XYN48QNvRB2Y64xbk6KyJN423YkAu+FsnJq4v2MSwYuKycJOs2asjaYxTU+s3u
sVzSqyjg+pkI2nXYGHpWm8U9kRhh9oc/Q9pcD9ydDa5FYh1lDEnVxgzWqdBxvqX+H+6jkgRnWPxL
se3dpLpDRmcFqBqQ7JAEGe2Bdo8cuX7jsZl3LbhnSfxsoX9Hv83Q8JUs2eaDht0+M6Jo9j2AKr7c
U7KHvwMeImXrleu1SgDHA28wu9ljA8t32N0uHmJBbN7mwVL2tJ0jcsFXM0vCI7Ap62JLONOQK0Ba
lLJL73uKj20gixr5b9nspxSqQ4Zy41yJ+LVU9smthuaXmQSRwLKTz5CFm2cTeARStOMCqZbjdKiS
8PEmn/6UQZk8TYXrXlCepiv+SvF1Owo/K9HI50lXXcBvFs65z9H0tbmVvEZmHF+iAlTpZhqzLw6W
8iqVnl+1vWQI3qKiYfU91J9QxTtegywOkuzuuxLI69UxontU/dycmrz1jq2YRpZgFU5KyxU/snZK
71uy4PkCMXvRYZydKwq2H1WSeWzsQdjvqXnadtspH798NSeHDv/veJsyZPdMBtVb4TMZnK2lOjWJ
GpJV2Ojh0R5kxDjF9Muhpl47h+UY/tYOYpKVyevs0eNRfSQjb6nlytJ4voKI/liWdJOHor8B0Wv8
MLsuj+uDrHX+Yxiq/qPLkc9sPZvFAYA7YydoLnX+OjlBsnHjxdn6aNwRIBOPQgaxqGyCRZS8WqEN
uSho2gPpxGplebj8ckJnH7gm2Xp7BlICFzFZ70u8vFlOXb9ClC9hRsXBpoPzRXNYj9cimh+jNI54
+FUxHVpegrVqEZH+4ZfEJcGYpLQsMGERLmZ17DpmEQdPlhTZJuphnvjAHPx1R9T3qzM6DExtm/qO
f9x9lW06b7Eou/eOquBvWxQ817S31M9ApjniaszW29QBMLFual9nT56U477sPIpdyywk3jWEC0Bs
Wp54oYzQ257YGm1XaDbNuOznKKwOhWfZ3luVpsMfRXwlrTWTw/oEjypEVjktgT4nSxaSppA60QJF
peg1KXOdZd0j3Rzjs7OEpd7OJItO1VwdWhN7T6XxkkNmZUQ5V6oZcVxgpiNnxaBKArBS6XvSrDqO
AmMmAvOKLJG7CmfRZmwUxW1k4na7DP3iQp2wUR6FGVHDYdzkZhXozjrOXdBcCi8ZXjOFvpb84nCl
kedj3I7nP6ZNwI7Te+uTsZrqVwCsBVVGyRW5cMMKdtjKu0OxbH64tT/8kcyBLjbskm9eevcxpXog
2QN4yYmrkGOAzwbK1TJVcX8NYrFchyYkzyqeDImFgbLvmIYhYosUnIaN8sps06VNe48y3L42dpB/
0lrSLka6i7GC9QXTdQ7uHx32sWIbe/qcjzJuwLdZdUccQdh+DB2L/rL103dWSnyvcFjT6GXNc60I
qUz7QBQ7K/Z+lS4DKI3JxR99lifMM/dkqZ2KAtwXNPWIesZY4ilbovJlhi+M+qYV51bGzn0RFPAq
8n7qI+L76mG31GY8LlXnblsrgxKGPK7/4eWhOuRcX2+iECmJn7EMSUHSznDqTV78bCiXtlo344Gv
qjh38eQ8tENukQlRYKIE0Uwm43q80ZzW87ykUIgiyS05KwAUwMHeNd3wLzfoYvTRRpxdNf8eHPW7
H6xXmxZgVeaZc0QqPG9iPEY7X3OENrgK3nryYE9x0pI844vst4oq8i9Mky1XJlvcDBWF9Sq23Gha
dajLtm2fDWszQ2cYEn3LtIi8P4Mb6IE4z8ypYQfpEXS19GWwDV1lFyujMlp7ZDI2AlxvIRYD9Rky
UV4cIQ604OYtQL7EPtDoX5nVEuir4nm8n9PoQckxuIycwQEvK8X0NA9MdApvOquxM8deY+fh2/Fh
87cAoSEUEJhSVOzDcZnhjot43vSL+Ywn5nBij17jI+pjfW93kfcOC5FXzjWMZ6kej+y4mi3TJe+N
22lN3BrwqTxdgqvlzISi1jkk8bKIN51jLrKuunMS9mqdjl37vZQz47ZqshBR0+taSIHXXkes5Tqt
iWVo4onvgeUEx4GSljxlLiuNy4sreSzceQ/039o39lBuSGBDnCQmtyUaz6p3NsL8YxO5gohU9J3P
bdyHX4wyENOjDcFJZeXz0TjDU5X28sFxmQtiiiBoL5yg7KXTekSls13CBSRbHDfLgU981IS+3UCG
seaJlUQhqeRdW15EwHkY4sfpgerFhlzcsiKAgLsXYXvoXWI1hZuYcuVdOWF+JlOSsPesaSH0KL3O
VIdrL0n0BfMX8VGjbS3bxJNs62r6q8eIVL4drB91Rk+bfYkeeXRboubxAtZoRSbq1wpIw4sQk3my
SIR5Y1/f0BJlaZWu/AnhUCyImCrD3PFQmY/xW4wikxls6T6PSw0Xf8nSNS0QjhoDfqn1vBgzDfKr
oStUvfZrHpXEnys0u9SSe67pnByQiEBbqwhSCerDF5Rbi/rkGO0IEEHmCge20ZT2KbLRI1vo2JCO
27UVBoZoehodouNLyvuG0zTuNG2XC9A9CTSeBgRS165p0lPc4ZOXTQ/eTAfhHaA/clIBhu1iEqxB
Zwz0QEMZopvNW/IvQNlXnvdKFMEKhuRn1oQ/kzIJVgHgn4zES2R+oTQ3NlAfrsEKXsIpDQ5kANhP
bfNXBrcXn6pFl5dsKF5qCZPQQfj0p3Nc5znqff+F/I30mFGCbMGoP6euRryZhvpJV9oGoR8U15mb
tJ4qwiVFPj2llhHPoanIWht7oukrpswMdL2Lrv1pD6B43E1DA+lPc+ajLD6D1LP2c1od0QNG+8nn
Mcrl+IeISvNNUsjaa615PREQv0YdDKuPzRcip+pouw3JTD3Om0gOzIbSaGx4wj0SPD0jX8Zp2hn2
sV5X8xmz69ray/DlD5U5w2UkDmEayQDuCx+7M2GZB9gP096Hw7NrCtvqMKK48dYN7jvQmKtuRFq6
7gOCMPIlaonSZrXcgvwvz3GPWqS1tkleX1VmEbaUBN9TbIn9ZM3OcalH/m2Ql4+T3a+bIbxzQQpb
Lf1dMwqfQHV5z+y3YXdQ7cm6f2yswP4lW6M5mmiHXV3NjPPVcmYA9lqAjxKtHa1ZPKzdLGPYh+Hp
6PXZWdQ5kWv9XH57I/i8wus/jRF3KAEdsRJZ04iV44oKkh5JAEFkBdhiaIGgChwjdxmI8046cFqE
WfPgL0S7BtYMRMrQIIfk2K4aD15B7BANkd7aiQDs4GdNaOW5Ulg/vAa2kjfNOzKzho0diQLbTBb8
aqrafw47AfFKSFf2xCu44c5f8vFQLkvrM2tp5CmwsiLce5UTfPTKscTPlN/g69m3IX1v4rx4foQJ
WiNkh7+mtgXf2xsuL9xCjF2gSSQto4w+Wx5Ty0+fu5Zs3WxKcBBGsXtMAg80UeeSo+xmLDCV1stB
RYbYnSjlVoxyHimU2k3+YmUmZ+XoeDL5KbKUgxhLSLS2O2ml5zCjP1mLInT0R5LkxWMisEIeWWfn
5XqZ2I+woIUhCd8GXwF+VU0EF6G8Y7aaBPchDD15O0+TkLCoPnvKtSqeJ8JqsDg3pP54uWGmqdM6
QAeShdFHW5fTz6Vxg+8iKqAE+MlEMDVhUICySEEggg4IqRmBo3aLMx4QjtZgEvioaQYV3WLaoi6J
rf6dQXG/zbGlssIcoxMkKGb4VgQZdCSz2pTX0G7wP7XdvZe7x6Fqf0q7RKEY6vuA+1009b1nifOQ
E3TuO3rB2Cpq8RhQkFx44uQHVKqOjrhb6UHYRNo43/ijbx5Etz2UqsvYLi3dqsqTPdlRn0qop6Cb
3/0UlgtMB8oMEAHdcS74b8Vi3GMLaq54SYBG9TzoVcawUeCUR2TjTE/c3TU3ZMGULAewvKUNoFMd
LZ+Q1tKo6rchy2rd+94AiVse61riy4tSeiYfbE6NjiVdt8mgn5OmHl/FDY43Zx5D6jLorjkCBnKU
LoNnpVtnjpyNE0uGFEOTpu/0C5WNcjXqNlHhmaMC2PKZOTmpKT2Mo7MZ8eaBSCtucuSMtTBS47VV
TXDBqRZj5gVLLpLDYjvTxqbVIUmyqJqrXdbBc6cTh0KL+WlmkwoAXedjEJazXxQnLrPV+ZI1QQ/E
cDbvS0TXVq1ZZTHZCHlY7sO+etfa8R6FcVKxG0Zv+WztjGAXquOLn4zh+9LBO2WdGVBaFyYgNXJJ
7MuM3bVbRRFvA3owK99Xg0jvPUZDX/SmdCEmT6+ZEsQXk0qreCctGTnbNHDKV1q4bDP0/R7351pX
jn32E4t9waCK12rsDv3U6l1Q6bdxqDreQfHKAhnyYBzhE0mX7WT6YW0Txy03QR8w486te0+wUuRc
yV7HJipRjLR0JooHbVWGdg+0Mru2XVSs/GzBtdcD4ymbbVhormwG+WsTZ0zgZYta21NA/WI5rXy3
FSD3K5ceHzVMuPGhHruTG7SIGlt9qOg/321oxDtcYd0tWLP7rgvmsZvZ5QHRWZ9mq4pEpucSwOW8
7pyxOBRpQddgTHQXSQKIXdxpZPsxrIPs6wvDzwVPQ9WheJRdcR0jLCuDarMTmxNWDm5VHuY+KatN
b4NYAVSgzZOZs/qA8AxSt0sSziEu7JIAmxsszV3y/D3nVPwyTu+sa8Q1z2GbKubEc5udA+NzhAWR
ehgL1mbKTWnkGtc6l5mLYzbuGv/Yu4qwtTDQBazOyD6pJSU2cxpaEneknIlrJviaL/uIh2qjR97y
teVOb8VgJP2HgcQfqn6vYwfrXuIew6jlGtQywMdPBYWTenQvdHAgRXq2impDlt9j3X4P8KN+N8Vs
rftosu6KW8WrjZs9oddrrh5IwjVk5fwhx9d/4KvkPSSMg9586UbbOLFIrVSmpt8jo82FBoFDvJnX
JORwbtUgudA53RJJFbVz2ukzJ+68VtRyeM0cvQ+9gr1/A2F+VXSp86Nk3HBK2QJtkGbLTZ154dNk
kuxSOE0AdCCKUqw5DZdHkd+y3f3AWkkNH47Ub71hhuQRqU34VVtY4zum2ODZ4fl8lC2cjEl4YEJ9
0zwFSLVWpAQgdg68YZNzyDKgUv7RxvjNNKVYsk1cBNUz+MpiPw3h+KNLOesa0En5Hsl2FK0WO+cV
V9Yk1S00nc2SiMZhGzXyC6m9+xGoOLvHXdxtWCda4Dhjd9UQYw3CMoEybYuQd6ps8B15y1niAGQd
0Sg+HfAR8U9LWx91vPwWKvIueFgeeKCY1jNNWhNZlj9Iy6kQgef9rXPwZTVfE8Pqet/S9U77hsNT
rmU/qAOPdUf56DEy1VUsj0AYxWvU2cNyu4hg4jRJucxri3cWyYBJ7mrlpIcgqvovV+gVDPanNPLG
+86qlmNtz9G6KCzVr0edI5+RY5Y+CoZFzzxd2Y+ibp137UJ/Ax4nMIcEYpc2qbkP66YEEzDRX6YL
vrSxdOx3VJfja2EgLflxdcsSMU58lD0xbcjGxO9EmHjTpnaxTUKzPHdJ197VRBLtuC1KKHj9cKpn
m5xgYyuX9YvzV5c8kYFQd2crp/tyRVmecJg4R2sE9Hu7Q7y1IRJ9N/jKXBm0jEcjC+tnQTzXG+yj
+FTTJB0GSw7MYSO5n7M82zljuC3defq2CPGGqA+ldhW5OiwhE2Z3qdHALpuppKT2+48mVPmXl5TM
0qUwz1HkYiFe6HfazcL6GAXDhqnxCn0j/1swJXlZcPFOa5Yb8by21Tg8O3M1XP2i6YKrDVT9NC5O
jXbJ0tM2oNe60VDZoOOLfFg8GdNJhpVzSBwSMdpwRKPitEz1kjx6SUkyv8q2oRBxIoY2JMTyfear
14qBJWZsylfZV0hILCRUZmguVmO9RrVFrllfvlSt1T01k58SijZnt6q2ITw2y95sq1f3yySiF28u
1JO1KAwC+aNm1Lpz/Xx6L5pweAgcb363UiDAhMFNZ6/JYvDM6fTOsfIeFqV3WaxbfaCr4ko+sXuu
y8Hel0JWD2IEjpoGqvhWKh12nQZK21cqo1WxOR0QWB3oDTOx7lp3lGvkH8GxjIZur/rYfFSi64mI
XIz7RbQD9djQEj5YUief8ywQmxpSzKHza3I3w8hg44By2RG3vKeXjjmaRHusgLrtKAv3vRdNp5Yg
TZAroImDpGw4a/mpKrLzKueRYWt2Vmb0dsxsc/7WiHyO1i6Oguiyhzbqhm0Fd2lDSm98BqWMKLb+
o5nXhDN3RplO854yOunJOPO7VZpL6LtDXh+6kKlxGIuPWMpvVEq/Y6ata8EWO0ud3RwhUeuGMMdT
0/wuwqJZJSEJfRmpEhV8WjIVCf6q1J3oxZ2OmrcZpGc8G5gAJYshy1mg6Qq55Su7nhx/o7LIOQIw
fV4G54BiaA0HVB6WvC7Xgc5QILAVGld6ZpEVT4x7qsFeCdc6YFE+wZg5TPly53dMvxfsmk+MuvzD
EM/5zh8FeuTWwB1ju59/Rng1dhYwsUtMfvKzy/7rJajpGBuTMQqvGmf/301jUzeyut9GxSh+WlL6
Fzih9s7EotjXQza8/qVn/NuT8bf+/h/uj3/88v/FDLL/3Vx/Vr+HfzpG/j/0gjh4DXEt/I//8lr8
b06QQ1b9/JI/y//20P/8/j3If7eE/P2H/zaEJP+ybfhCN+AA9oS/EEr/yxASBf8KEj9mQGizvcEu
hk71b0OI590i7B0E+Pg1CDy5Ca3/NoR49r9IDgoxPmOtj/76R//1Q/7HB/V/NoS4/zQA+ygOcZXY
AbpK4HjuPw3ALgqmVsc400kvr9ntDLQwQ2IRTGIt3Zc/evRU5Ca86Q5vUmjpCl9sOm4inadHN+xQ
qiBKOQBZciHhjPdTlVT7G8/us+yLiDSwsHVpx4ruiy4BjvWAOKfUi7gCrJqf4kRau2aqhVw5pMZ+
o7VldSCH6Km1gkxvpd36RFQ2wOc4cuROWdVuwXMF0rs8o/N1NpMOx2NnxDEMOV855e1d1ib39pR1
hxYNxHsouuS7sBj+UQAuKaqXdNp5NcpZAtrL+Vtgy/qcgnQ6mSFnZgDZdc85Lg8Id5f94kK4H+aO
Ls8tL0wM4nuvTPV2IQ8BmZ7tsHGcbvsB3z5k02AeNHINpiSzRL7ohcs+LWsWCybN2ldlmuZ31mXh
hUGghzBlejGDnfyg4ovxyzNJXrmBynhXmxQiVdYwrmBbjuY1lcNiyDrN1T5eqDTGxi3eh2mxT7AN
x1NduF9oD1D8IQogU5KDN4vi4bmkeD16qLYR1xsbB3oRZb8AzVs/3FTE5y4b/DtBeMCvdlatWM1D
YP1RHNmXaonVe5O71YUPnNfJFogEipru1PavOkiHeoO0GfwfGn4wqfGf2S/qTRhK0kBLpapTV7Tl
qi+9L+ZnCB6pF6Zd5uFO44H3eaOs+tmv3HxXmjQBzT6BERcQETuSYg5JwF3YToVzYeWE4c9lGawp
ofexcKNVLmjmFXd+uxKYtJnfpG94ffUmoJF7wS4/rtTA5T0a6X3MS0tv6LL/UH5U3WdlmUdYFaVe
cTdQXTB22kTpsNVF5G6oRvotMpjfAM2JZyPWNbg6jsqP042wU6ZIXUe7utONSb6D1hevs3IYeGiv
eltmtzzFErWmrkn8XM1z0t3FCreHbm33ceg8uMJWYvmbECsnSGZ6xu/BH+4Tv7fWDpq4HaZp92q8
pdrlOpyvci4n5iMuT21mJ+VridW728ygBXZWxXuW5CCGrb6ePg2F+Bn6WPsEjDk6m6yNYT3ZZAnM
+XcHPQfKeb9vlyh6K9oZoVyFFqZnzhH0S77RQUGFlmb1K9Kf5Cp5deM6sJQhWFU7EhFHLq5jY4sH
z3DLEXDvSb5lhok9fnx7P3gagm5qU/wsOWuqKqi/YlNAPUau0R2soPd3LAbjLfuDBzM1X4Mzn2KC
UNaWrTcuG/ddjwyvUl57iLueGRH3mexwqTq1i9ECkMXaleH/TeLt3aTv/2E34OS0fQ55hxEeh/A/
zMhplEe6GTgOsl64kmiUhnCftmWKwuNYt3czniSafQKQhvq9nEtPbpuuR7IDT5aUirSezqNR+k9a
SRLiZV2eE6oemF8uNPtGePV7g+llN0ToYLchIt9qO46gR241VfGU/PV9Lv76bnty8PxjzfciPA63
c0EHywRvXXnsBSfw4J//dk39fQP8uwUwuvkM/+O1O7jn8ezfPC1+yOXzD1vAYo0+9YGw97h0n+nO
WV8X3jPLzU/bt/OV05D6HQCyvIv6KSKumM94F6uZRrjr0Q6tLBH0zpYoPdKCF5PO+5xVF3jdUv1m
CSVe6KSWIyrYgz+XCLVMN6/dqQeVP+4a2XfUiMPJLd2YLij76rq5gbDjVA8zc/IjnOiOPXA5nRJn
kCe3Ax+xHgoG/KjyvGOtei9cgwsbt7yPLhGSRb5RoaLwTObqYYp08km4Tf25KFvtaC/qX27lTddA
LN2VpGPkpPo2gR519N5YfXrEiZw+LLeYa34Z7XozZe8sU+SJ/Q0mYogtW8MOZq+Zn+FbRn7txno5
opZCK8KiLWUU7IpnWpJckQothjU/tl57eSF3BRjmfc9+Y4el2mxhrk/E63JGbvsh7d9GN3AI3Eva
t/wGgurK2v8Dq1uw0CuK84QMnil2kJ/boKTPndgnvlk4BO4xVFvP3qDdG7qIUaqJ7eY3G/D5LbSa
8C2ImvoBQGj/QPetTnARnAOxIvIu7ez+wHjkWEFRH9Vf2BPSBrv4Np6MJmd+dLXWj/OtmVC6nhAK
AEzZS1/VfCIT08ul658hATL7cU3D+sZxcXV56Qt83yZZp3RCY6699WgCjbIePdUnvYa+GM8d70w/
kqolh/lMJFV4V8UFwKSwzO6igGU8joPYYzmQLyiHaLHX5OUh9qVruB8sjS4oYtC0nx3Btq4KAaP7
HmI2hIqQL0zxMIGZu4SkHDCVqxWUO689EYWdPMrbKcIUjnIlOlp0mz1D3sWVzyWZ0J0mdNgSC6sm
Kv8cFQXI+6haQ2F7GG5nlgg5vdLbOeYJRz5WZFr/QShZf6nbWVdC7Ws0SFtfZSMJYWUAbPp2MBJe
zyHJSeFvyJoSD/3tDGWBwjnDpMpwEEgik5GPJNfldvLOtzO4d/35VOuGMxdr0kKahopBhyyc6E7T
Pamoa86GiepnoEMGDmUUbQqrB8z118WQ3+6I6HZbOCWiaVRy3CGdKDKsK/AtSYv46wqykxYnR2It
IzILp4teFrsJ7lEvEJAy3+61rJcei3j0QMT52MggLXUDIt/uyaknMj7/6watWxH/0i2zG8Yv08ge
281aciUqMl7bseoOTVrofUrkSoYu8XalG5tIZbFYA+Mo4Fg7p+qifmXwzz9Gf1UNy62AsKgkzK2k
wAtEcVGEOmflFgXEVFF32JSPaSK7dVjJkbz0Mo63qTXNZxKq2w0y4fmYBuQdjDVbuZbSh1CN6sZQ
m1wmgDFJ7JAH2eHNDbKQpCyKS+AO+dHDo3DJReX+kE3oX8chiJ/qxaE77Qc57FzZJ79JyXMf5lIH
X2RNq4dsWLJXa8rH59TD6ghRYYqOowA4AMjfmjeV7TOrJgYqXmWZ9K6h5U2H3uoKhtv8Uc4NN+wZ
f7jBQwVF79SyIb+Ok0qyVauj/tfcq3c7JOcbkjGLgcKzgx1Rqc4+npV8iQQvPKdrOKJ2ZbwkkVG8
iCQm2rkdAlS6hW89kCvlHVE9+89V3oQPiPODNYBFno8qa16gTzADbey+PIJCzcdNhaKUYBsFsUw4
LTTyBH7VJWxrsQ2VTg4UlvavOTHTFxqXlvfYsJ2mIBXeTmsT2KswFEyChcPbuCCQ3Rc57/i6nMOM
PUxbnHUfW6ekU8yh83k+5fDBkEVkfYLGnOlxJiz7A/rqg2Gz9oIgt1ojLyz3WZ1mJ8kyf+ZNi8NH
VJvFZ+6F6YYQjYD40b4af4lAic92YnBoR36JgaZI9/wrv8hyZ7lRucF2xEp7dtvkZmMiIZSr/H+y
dx47tiPpdn4XzVkIBskIcqDJ9ibNTm8mRB6T9N4Gn17fri6h+/ZFX6kBTQRpVkCdPCdzJxlm/Wt9
SyQPVoO9v3Tyq4zpcQpcAeZzLwk/Rpil5dpT9IxVNQPMdPkt5BV02FcUM7AmOhZsTfrQ/KRvyFNI
8V51mYvW3A23nsPwLbL1sJ2QV/livTB5jFFo8Vk2OHJgA7bcAVZ5oE6BcL+LKfiBl9LBt17kXJDC
qjxq4jq87ROH8pIij8e4cAxtxh4H6zATr+mcgA2pilcbM+e729jDYRzy+m3yvPQt7ERLj1HjgMCA
YzX2ZNwD8eqoHI4GirI6em51S6bzPg00pOVuxqQ/zzBrfPYKXqu4q7ZinElcMFtUZIprtz764AxB
kmfeKYCVd1j6Ot3arWc+8KbUTHnQnubJQnGOVfhTtgl8XNraJoIA12P9Us4clOdhWeOBwSQah/vA
baydsnFhJW2RnGsjI3Mm8Fk9KmuUz3QUdkTOybf/HrOa46KTdf5NiSsO5GXkpE9lPUH+XCaMHWmR
FTuduvUe7IrH0bgmrgGyWuGCI/vC3zomXzlIvlWo6/YkE9JSqd/xs495eJwGPz2X9kRvLT+oIStm
5bhEo4ZmmC4+lPiWt1OQd/s6XGYuTg6tmlhdjzOGlX3i8e/PItfvBSfBZBsuJrjFf2l2Xu1UO8ce
9GfcJPZejvTg4NPOrqQow1vbGkFIpIxTmhGr7pjm3QeVDLeLFt9XlsUWBdn+6kdL3wcN4SBdP3do
dPDiwXQ8yqg1xX6CJfQrdRZeg9h/LXqYMRbJrA1mZnuDvX7a+6LpVvDb570YFMbNORevfYTBDQWZ
pbhpx5YlaexpopT1Q61DmPdsJTzfwCD7Z+SJ5VnVA1PoTPjD2tbejchi2skqfuZLXlbyNuXKvrJC
aEqOG8mHYYLPtnH71od0qQPrifyrc3HscvomgBJ215FRPeNKipZY3VsAbw9tknEsssrbwqcMSjS4
Pjqmpbjl071KhoZVRHLHmDtrU3i/CM3nKQ6Usp+YF+blegqYXtaEV1DTlzsOhOdejneeGN797LNa
HskurqXbE90qZfqdetFdlhUYTYjSP2gvbD54vti8lOnvJyqiznlc1u9iHKdoleSoEDhhrBZgtx4+
wEVNL6oInA8Ude8N3iDjQtG5x84S6YmdIL5ROZY0PyYpNoR5sS0tYkwQ2o99mya0PSa4i+YhfkjS
Wj3Sq2g+PUwQK3JZxbFd4MMsKc5IXWZefvD91lvYT/X8PrDkrUmd2w7jExkfItejPyExzda1U8bw
Fp5t0umgIaxq2Ztcu+ibVXpwK4+LbMxJ1uRMIkdgNAfOkPjP3AqD/Iq8c3jxcqwjbnN1NeSDu82k
HdPLwMlvJJC6boOhOfgQiqmOy2NkxsQQM7gaSPge5KaJimU7EqV5b0bjRQzqyOaXSfEYlSyiTEMt
6mWvG66v4mZv29lLbpn6lLlMWLKw5kB27QjAXsudn7nkc9CW3XYZagIwrBlYAExeb70Eu9e6z61J
gYfPeAOzUrBgL3gl1opCQNRVWa37oOArxp5CMIPz/NWUuPIsYN0/ayqCD3HGCgG2oNt0vTK8Kklx
KKXkey7LdmX7WUq8v2I1m6ZmwgDhbQxEkbO0w/CWurCrZeuHhzCTZuIYVXxFHMJbCLOVzGZwnVX8
3he+u441XW+5t5gTCh9ptjZ45F6+lgFG1kwW5KKUFRa3cSaprp1GzejPWij582KuScz4qEnI8jPd
ZZqPIKTAuq3sX8tATaqWXfkdh9O8IpCfHH16sEhLhniLnbCvTmWZZqRhq+yDnBcqdpPJ8NG1xuC2
5KB94a7Sn93EG47CKJQlYlbOa2q547qPkvqjUA723Dqvzql1DdbpOoW1JPyDcJJ8745tA68WMlmX
AEaby7WYUwbX0g2oX9KpvecNc156rmsXmGMx9hPdbpMC7SMOxMoWESP1a95Leqe5Oxifz3MoA7yo
w5pEp/8oyzHYp5NOX5XI3WOT5fmNTjqfKaTlHcMpvUSOmobVf30X/k+ck+tV2KN9ndmNwAwf/BN1
gFClDEPX8fcWcIOt56Y4CaORdGHjMZ0n88H918nn6DlSZYk3BbprtYnj2nrIp8z8YPZRt9vc9eIt
xvjFXkVXvRJNh/KJIRDkMOyYoTWB36vCKdTAaBJ4OH8ak++JRI1LKJsbovU39Nn/y3q8svktoej+
wy/4P2nyp/iL5eLrysD8G/Dp+Ou//zf771/5N0He138EkB6Zc1N4gh5/5f/+TZD3nT8cB1XIda49
PhoEwV9yvPT+kD7BeZQixwfv5P1djpf2HwEn9SDwtAdrQYE5/zfkeIh6/yTOAI/1SYNBv+Z79NSf
cv0/gLZFIdIotMyyL2x3adf5IBj8IOAjQHWDR0e38EL11kVG5JhSFCeFusv8cU2RZGRvuk66XI1q
PIyTmAJ6pLze27FyFrf+PPQ7e4r7x4rYBvSeip3JgzG4qk2eHGKit2e+oWJTuNV0mIJBTbfG86f5
RnFRONOhVybEd2mdY1DmxMnmehWMca5q+m1TtKBHDKieWS2FMYb1g1v/dm4wnOwrHXNGqdJk4qWP
PDRiYOIsLAGZUwYHYfo4Dl5zILpDta49l+9w7GjSG0J7+MUPBwQNQZau98gZnjWZpWmN8RtOBV6c
cA9JQ3PumcD2cMIuHEK/aozIWDS62oH+gS3YoW/eJb0NmiWLGxfqvoYMfJL0lmYrltMemjOSpD6k
UG8E7Q5pWW7D1k301RumOIbGpfVZDWEQEEc1yU1FV+5XUwzJTYfIKFZtVenkPJOvWTZAAHvwpY5u
1Z/AOnZMbPXv0VQNH7nMJnelhr76LRfL+Y5JOVqUwtU1E/AEHWIi37KiI65rsKwExqy8es4OtiWn
i7VY40PKfeenU8DoXmdpTBuxaSbrvWtcY23wCTKQdhlpXizphfVGulHOkLyjvHYNtDt/rpx8xG3e
ix54LXOZan2N63+rGvEAELedfywaCutusBq8taFe0n0CqNtZx3AB2Bt1tpCiDK3gbJMz3Nl1OW5k
2zWX2lj1JR7b9sBlunmMU1/cNTPtGdgR0mLa5CBK6N/FcCe6fr4TY+oMa9Ngp6pqTXNfS6MHpDBi
stcGwS7xEfcXU5p97zbVrvJss4ujjHS8IZovojI4AFftXue6St5cjvugPRd/WvvC9zmH98uTXc3z
pYy4ILj9DK382sicssNvc6rg1zgAs9uB0OJu4O/aa3B+QBuwJnYd5dCDS2FD1F1LRpYWnzhmyVvr
2i1YhW14su2+OsiCfsjSUeXeE3Hx2nINw8/uvCjHpYlSUQrZBeQfx/MoeQ1WQZHQFj1N6L4jTsok
5ied4L5uEj/pzk3YUu3eJ+aFUwrZtmGYT861Au7PVutGKO716tq6YQNWxBjK6OaCqL08OJJOCCz4
8z3PurMHnqDrTUx+4dtHmHzgOCg36eDZT0s0La8WNvpDrq8+0iltOGY4c12+ctiVby5BrdcM09j3
ELfpq8aTzwFjOLjYg+6hV7Pjd1mvLkYWzUdD+OyhLFz7awpCVBpQTsETTclYDuM8Eeu0GDxOuqwp
2WpG2NwSwliQOZX8mpaUxF5tde6LlE10745UAHOEK37MUarvfaTdzzS2um1ceGGErNuNj7TmhQdT
k9NIiir/pbsQxyfXd4mH1/LMfapLuAuBSOtv5kT26/VBeHYWvXxzDpvqjT+J/GVphH4wxXzR8C/H
1Rz3BZRjz574ObF7Y1Tz7Q/HQcDBmD2XXCHzPLwDjDacDGvEYzgn0e+COzy1jONs3mC0MWbqWJoP
jso4QaZO6HxnbbVQ6gtWI151mYTcEZS2XA8DxFfwGdFjW0TlF5Iibz8pKKzIfg2nGsOZxKjJEbS1
/fnGk1EPwHO5BgjrHlsP+W+EEsJakMeRzBTPQNuaZseVTfTEDt32xGwPa0ybt8relPawYDr2wZuW
Jh4uIIJo2SDm361qBd9g7feye2SYCRemmgEnEITpntIU96pSuFMFcIczYkH4GOWu+0HpdHYC1RJ+
WlP3JOpivkmjYSK+Jkz6wO06Kw60FyYM3RaJeuBEwzGbSdrTiGPkkSy0c6Myv7/NmywmBKuCmHTQ
HNzR10bTWbpYODIpxFkeuM5H00EmPaqaSPLnGFLDp0wtym3HSJ/xpwrsoOl0Smi6u8klU8YkGwrm
EwNGyCybg/uiNFieq9k7ZWkLyHoie1SscjEl1Kty6LdQbCiDX08qaG55FeSLQux4YPKI7akfgQAH
YfE1E5D6snJn2DcBmXoGfE77y+7hDs9VIp9HsM3bxQXd53NwxR7S1j/JEU9fQZ0uGTFrr2eyYUEr
IuQztQfFyZBYaZ8jLNnld9hVdItfTxuHwcLzMjaOZTYSUtixD+fqJp0Qxqvm+okaJyEoPnnVrif3
cYzjMXuwtGupdSt8SoaSOWO/9euguQtilpdVA2HPxso3Tl8WA0ti1LhBH+PeDN/OSBTnnsakOOO5
czOGFYUub8MEpnA5YClvC5NeD7xd+1BWugjWXUWoGyO8dtdZx1ZXEl9j8xpVdtd1c7TTcVGdYvQP
7Kv4qX/pYuJKhplywn/jOMk58MwU7CRxpxel8+SVPTujBzWpe7I4AY3bZAy9c04pxj5QXvASxIQ3
bGZOJbobzq51Joert5PR9TEZu/IZTxr55abv0vPSkIY/x8Ab37AKqXkze5QRdYrYOaiJ6jR2U3PG
WisfZ+HLkxsAuUUYY9bq47hbyA9flrLjAwlYdK+aYP/mBQ0YNXyYb2JqFcCkpjx2i59j2vbLxyBs
XOZhjgSgozr11ssWz20/ORyHPK7j4RHCirpN4ji5y8Mme6toirvlwNa4eybnDFMaeidvAjP4H8GS
0OqSqHfh5vXeKKhtUOV4nGn/3QTIbc/kO7JjjNKBUO3U1KOWutMvKc60clsTY97H2B4/ykhMYPdZ
9lepbOtzENvBNu5RRikCkvNB4lk/EewbjoYuiq3sgSuEIRhccve04KV0r9MiMn4auBgpZlASpbmj
sw8fYg2KzOD4B7rc/TvHDDE3fVuMv0OvC7bDDJ+Xg9FW1FdB2em+SobOB4TgbDX0mXem5ezZNSE+
WtzEth7rt9bN2/0I8SJa6ZGxwpKOntjPVlexNuVR/pTwmLw1s5jRFsblkEzWSMGXYyePcgnG+TRY
XpCuK8yp0bZ0pPsedL35UWOeSbC+JhbWKkrgW7afsBsOS1fT3g7Rtl2Tu9Hdml8z9neSDnAKhjr/
SBo18SEG47gyILI0TWPSXi/xkF1ICPOmBqTwNhU1FRdVJc+5iPTlahR5TgTS9bpyUNcHF4SwzdwN
e5aoqGf3CvHcZ6lzSGnE2aRV1O4iQQ4d6dF5ntxjyEe+Q+S5mr+8264Q4oZMvbudihYtMgD2oMu4
OBY2ZgFt5ujS+X29sZR9p4vEvlMclZnAiukhbKrkJltye5cRG6ZR0maPJVIhCaEyd9WbMazkDidO
emfPc3sTEQ3OtgxfvOJQZFF/C8qAs1HLdebVI0VA/hZgpbORprTUGZ9O/0qDtqKraXajV2x+WPwI
GT3WlM+nG2fglEj+u8wxhVi4lyEQBzydlPfe0Q4RX/DwEmNk5GrQas28nPx2bN5pW1cvJIQMGpnG
w+pSjPjagWl6YLGzXaznIv7gBRY72BolR2gLrgPvTPmklzm6rTMPCj7fp9wES+2j4lIhHqixYOYH
dRRqC+fNY4nbBAvKUgYUVGpyCoeaurid0zlIucjrTsmqaWxrM3SYFlZRLptmvYiC31IfRQQw6QNM
tswiPUkoyLW+IJd0TyUNl4w1ObNvasyz94vOh48KKgoh49GUt2BPcD8ikVO9bXHEMSQw7v1O5R9d
NnNDi3FyF/ddGQtoTlT8ehsvppiFQVwIRM0eZ6IaosQHcJhr2+WkyaN8CEcZvIV64KIzalrsV5nm
UV0XQ9NV+OsxBmzq0jATU4v91nWWG+17JXwC1dMEmElGyQv4pcI8FFVLhYJLed5317pUWtVN0Zpd
KHpNWlmTRNnkEQ/Hfe+4XDnyvKJuz4/thU0vDyb2KvPIOwPvBO0M71FMLqpl9SeAMB5aEnHnGcji
G8uS96iY3qGgh8G5HE3/NJusyzhNLW+MxrUFVAaRlOU37df07ECYZ0nCz/nnnf//tPjxL8nUP/+R
Zv1/k2VRoWL9V/LI+astgWZnX/9RHvnzq/7yKvp/UNxE6hgvogSYey2Q+cur6P4hMI0wU8MwAhIx
wFTylzhi+3+4mGiE+FNG09rhf/3lVbTtP7AoYrBBYHP5D6rb/w1x5J+xnXQ5++AR0UTYOxmU/ZNn
R2FPqzUm9C2HpQPXw3sVZt+2T26Cdmcr7B/GKvtumD38L1RC/5+bJ6ib8UmCekRXIaLws8j/CNKM
Ys/h4J0PW4XP+HfoarEakJHI+Xl4wI6S+RcbKG4bBJfEWh7nrsb6QsJ0AX3R1d+4cXDtZZgogN1m
3FIr3yC00pRQ4YE2V0kiYn9bkSjwLxTr8pIM2Id3jhdCcmuhZS1q1Ccr6tUu4m65rErDEsogCa+Z
au8nahU2ynF+ptyON0Ryd2ng2GtCTNDAmvLRFAUz20hslQUkuI9nom1zmz46s624D82jc2dXln3J
YTDf6Q4nDGOKFKO7n14ny/x7oZm7/eyo4sF41Tar0xvudt1tVvNRMBe2l3U4C8PunSV88WQwn4P1
GH86ynJfet0BBO4GO7pPmMjdMKX3YKzg9ZAMeEh9SALhsvdSbHZp9JrATXpU3jgzToNlH8FAscHT
PJiqcTdh1SO0oydH66x1rR02IAcDET2x95PV9d/hLK8VtlWAlyxK++BXX08IVGaiaDpqA/FC91HH
f0qesU1YO/FjVzWoS6VrAK7kHKfaVQGbm9mZT42II4jbwMIAv09U0LE8dTcnhXsvKM2JtzIz3oVp
oF4rtxM3yZ+zVNTxyxxN0bCm7RmjwtKQGwAMWaK0gebbV+4w34yp3++IW5bra/xkRwnNci5xYb40
pa+HdVN3VrTRjle9Sk5JG9lbPpCHbKq5ovpjUF0i6VTpKnYzMme4c/pwM5ZNsXY7WqYoHhrcAz1R
FErjUV1ei1yCukLSiXqMJ6QoZ3Lmvrnnz00N4dvS/u1Z2hPbiBvTdvT64BKribixGDF7rQeINGsP
GuRx6EYQcn5Z4USNRlFlq05IB/ymhq9RRbX36hkyp9slNczo1chsENs71aiq7WAFVLo2x7DoNHn+
yqtvmQT3n8zleJCyRryTZY9/h72uf/LJJI9dVgb39L8hvDcmB/GTuEP87paYFci9JtFOkvvhSiLs
8YJTkn9lkTFmpzALmAAxBPucIKudFDO1eR2iNjALG1NAfLFjmy24Rbkj4WKeZLU4jyXyED5TW/a4
XDiLFKvrufMnkEnF/T7CgzSGdvDZ+VX8xh0m97eu31ZAqPIMFmRA9mXswdXpASPVljaY+auo+u5l
igKOV5Jc+leTpA3975DfN7bdKm+toLcIcnaN/dvqEvsp7uviFeRI+KBmR7+XA5dcEJBMFPGmOpDH
whTXkmszsNwOJcmqSjXutsN/jOMA2irXb+ySCGjOgA6aYFFL+dxzcKm0VNG8HSu14KgG1W3HI0Fz
sjU24zLy+kYv47iPr/1e6DENt45I5OeFS7V9xVGwimQgMKjxyyfr3tSGJKid+dlraiw8K0JADVjT
U1P9FIKemQ3VCMWBKxqaAwQ+bVgJpT4OJYd81M8rBqtO/fRiFXl8kb32BqaMHphYenymhwQl7ZVf
KVSiWhXEPv1abUNXtU8R95aNW7sTnguveMCIkW6XmksfysbcvDsdLkgWM2E+JmT/TxZzfqPQciz0
GG2DoSMiZQEYHaOUezrqCpF4v5gXKLVTz/lu5ju1ALMMkUIg5zsMuC+OJcvCGCJ14bdaxrupV9Nr
LjBDUc6V49Ejnkj8V+D+/0j6bvTW0eB5hObphiRhaETKiFwOF8vz6xffzOSnu3DUWJcgBbxPhMx/
NdECCAEjKUs6Zl+LobKE8A41Nl4wbfutiY52CG1kpR0nu+MEKuILxrIJmhXjhFM1qijed7nTBydj
DUjIBkBRfdtWRcIsvkmtryls53BNSqrttqUsw11XEt1dTR2TYtdpUjgM9YLGGTql5SIRpS3RRvKM
cK0qq8jwuYE+AjxjPLRIjyJD3/bIb88tEDQgawVf4i+nIB1rSu/88JYnqf3UQPBofm/1Kxm74jQS
oT8v5FUs9jmVH1Rs2EGzcjBvhW+z6EV+Mt0BMffLbZGxUi9lhk3KoNk3K5j0+ldVKvU0ZxJPNLIY
IXFSQuDqBt1+m2GMH1rl1HQyg53djiKY7vxissF4wTRwIDy+ldzI4Pr5VbJONdtOpPKIaWxJR5ks
STBr6ic1r97W4Tv/gkx4h68wXA1aXMcatpI/otDL79xw6KbtQKDpas26ttbK2tPiEDKTYcIw+OGX
iAx3yEH1mbmplMltxt9j/AYxlalN4eeUs/jzjKOitvnZ5jA279g41DPLb31BPVP7SMzmo2J/vlEy
mlHtcpl/FAOunJXdAWRk0qjQ9cdUo7nKwW7AE9EBz2toifZzGrz+wnBhvAvnUF6E7iAHmglnAmVv
Lx4v0k/CTiGXHsA/yFr5XpI0rtFdgCrg2yeJsZCGrtde02mPDh9CiNdfmnxIMAo8VZU9HAchs/ym
IU754Q1x/L1kOGCYdzbEUG2YMHxwaUynKpaAWbrHZXYBClYRsxADBeuL3SV5ULYdzyxbEOOuBfXt
km+qvrZ6gVqS6Xv8EVWzJmbozmTTSmBMltO6jL0GbzM7ecdLQFILYwjTGBmEd9VYvQGzwmPYcq/C
hFFRd9iZeMfBoFkIklt6PJvYVcQMHVy6jfFyHAUhGhjdfKAjkZj3dkEN73aorWsDnPR/NrJ3ziVt
4d6KnHzUMksJugOIKnUzuPZHo8LmBQOA+8PPmPFDCucx2wayA41pSw4JcFp0/02tKeStZtDjsGUI
7z8KR0WMWkaHKxdmbOBF8TykvJ3OgKA8TZAFCckVA5BKHzMxQKjZqs7D6LpvU9/wRBVQwzgI5S6b
PnHdQ5uLDmAhYlW2YoO3v9sMCAvrdB69J20JrcFC3L5XCUjGjTDFuI0TOjpWIJNsoNJzYU6Io9aP
MGkHfItIxRn8Bl+s6ZXtP51mZA6RD4n1GVHLp9ZOZ1LYgQ6rQCALZBwbktpTiYfKPURjzdnEtRfq
z7IJryvGT1C3aOkOE7Qo5LqbpamJbo0jnEdR5tQh5kzwuDouedPCxQUr1yupf4EmB4iCLwaaVb5p
G1qPnd5WOw9439s0yyt2kDbyVRuSt8nA4q1GYVowYzMjUZxJCPK9bf00dlR/CG/NgBLDkGshPOOi
XkW9X+zcBKokZHSu5gzz13Mdyfsh9aGJKC/eFA6eVgYNOCTn8hAFHm1OJvXdh7S2LJSbEpNu1+Zb
HYQuW+6ImTz0mPJr4t14jIqfwSLtN55E53tKunTbjonDG1bp4KKHtr1JY2xz/I25flxsk+C864P4
yTJ2cYuSyufHS/E6ozShYztwvvd+l5q30PW75w5HNeDhxZvNZlBRZ69sUw/fRJGHn25MKB+ht4sL
xKpQUMfB7ebb8TtixwuBQMidpmKLZV5Mnt3B9iavtg+yEDj1Mia18cYezPSdULu8qZemeJoWFpVV
XYb1sCHHrCnhxtTAobLvZ3kYXIdub5PN5uTyIHLoxQ3MPYCdFscYYwbPJWjLNlY2+V3Bab6gyzEd
xdFjbLGNbJU81VljPVZmgWyjISQBmVx8mCTEnyY89+sqSGlf8Rr05VVeKsiOeTiy35sE7p2OVYAN
fWTaBkmckyAbZd7Apx9zd1PZTY7WA2cGHZ7ZX7exXMNHq93qxe6LYkeVSEbVTVaLM7DzeGRYcBWQ
IsTtNwTboIPsOcS/M02AYNXokFNRaRUcEW0loAtEk6xexeDkzxOe6V8SsOIBIWyuj1Dqy/eSm3HF
XKBNaWKrIrHjGuvdTybDSOVYZR5ghhP2OYhGjodBGRj4qFQxO5txCl0WBxcaA9tw1Ty0UMCx61Dg
DtIHhvVGUdcZrTu3FRepGX/RMN324860rnjWJariZOW/GZDNepUBiSDxZOuQdr/CSqODpyL7pHCf
3FXMPvAR91OAKaXwxYmpDw9cyJt/7FOvvXQEeplCZS4ikOtxzRvnmuEwfo3j5EcQOa0q/aU0zlPC
7ol95pbsPUCxZGpDrGZqqmMh5XI3xxkUTSwGPZevbeVMZFFdTL4VOA1pR3I1SXXf8QLcJxQggejq
a0CmDNgr3Dubtho7ske6zyjEWbhYLLAoYbpT3zhOAux4m+zLxi4fmH4WGKtbcPs2p0ZkRNOG/DPG
zW8q+mm3FpyJFQorh4s5VfdOQA0k4foDHGk6TDlfRl02XUrVildRFhIpkanYpmi7N1z58MMSqR5H
fCVbRj44Pcv5XsfWTJzJGxTYVIocQe6g806ALnEuWoHYMD9IztjfkLvbxCdd1eblHWC+4LRg1HTX
VRhg/mPx/u13et/4ovsGXJtdopEQcz9ilaqs0T/pWDrvEsf0L58NdK35gIY2r/gj7gDgpE5CCHP8
jZl1WZSjNUH+GpTHGHf1c9H24iCbELrgFBhoQ/gIzjlJptUYWPUBH/74Qto6+wwHseCxEIY04KDL
7tPJuAZxAEhGuStDbML7NoWrykoq501/5UgfExTCX5bdtzcGLjbDqzhgA0tnW3AaqE027fKR02SW
+sEDHWc+3Zl+M+wGb0KCJ+UJGGKATUQFrM1JYZNd90xIl4kHzMxnofInZ8o2nJG6E6Z0lp2eb+2j
V4zEN5RBhGIzzxYPxUg0xSMjwjWBZiIHtKysOogptR6gJRH7VJ89hMHftZfIcONKijY3fucHx2AM
5uAA+b7D8YUWyx7s5Oq3HwFiSFByzt3UTXcmnRdASSLmYDrYKW6xwqU4w42aBO6qWx36wXEe3V4w
vYh8wZIY+sCd0I8jWiDqDq95UmjjYawgEbpO83KUzNSkuBnaGohQP3J66v0Yfbay5v4naTG/3/9/
ffR/p97vfxrBsHv961j3S99T8PcvTWR87V8mMvsP4WLTQvNUCoXh6gj7SynVaJ4EqYVtaxg/fzeR
OfYfLv1+ktp1x3YC5fKX/aWTSv8P/odPY7fGf6auX/Vv6KRK/3O60cbGZpMOF0oTbXTFtUznH0xk
cWjq1sNysY9weOU4XNS0YByrLMpktPdF7lE+ADBAfKwzgdUVfz6hOqOYlLik9CaPyoegc+CrjVxp
whQTdly/DEu5KUcOkhpRZhPT6nVkARp/xMnQ4xsAM7NK+8hKKNsuOTyPvrccofT6GbiWRDyGue3s
Sg7i95KZ5ipHqT2kJSYKNAE64VI10CSXTQerrNvf7Nxm3euMyi3sMwHxHtu/Ez1z6Ah99hq/TjZc
2JpdIXHGseAn265P/XPq2ERPuXegq6TWPk6d4FdaKNAyXkN1jd2F7r4yg2ColCT3Wa0a+EpSc86b
YV66/bScqCPggByAS5SLpknDyaMqWcWy/cItxTeK2Ao/ysdIBpaOlW1NQg6eoDf4DxPy5UY1dXUZ
fbf+IYq8AUIibnBbffaBuAUhmq4yNz8sJr/h5nRePPMQkyRae+5wwfZ9izm63cyMrnbX7Yyms5Yd
NgWuWpFeu7q0ivq29ueJqRdth8+9x4WVedHIAmi7Ca3E6bllq4cSXKCVll7fkOYifB0XhhFSH7Ri
xI0qKwwClrk1+Lo+Cat7R4bc9WXp7AGQrrTUc+6CvAEh3B1mbpS3cxznIGV6J9oYv8/ECvk0Izw5
68PYNYCuuLm+jI4H5L6OPCC08zLiyrLsGwZM1rGSjfWzg9i3pqWBQztPGgo38Ki3KVdQSzjqEtqL
AcsoPhHUniL5lShoboKn8hDElS7J6MTlnrha+TkywrjXFdQWCDjpj7auPnrfaGh1i96js2aPReaO
l85o9cqAO2dbjMVNmTT6Js2HiEm2iskYzDchfS03o5jLXYsL4xCIKduH+GoetAXXhxF9UTGnZMZK
zK3jtBcOdz6w69t8drlq5WBK8SsU9o1Z2gqvnp3q156sj1xDgY2PFcr+E86h+ViwV1+kfXXXc1ga
vygin05hdmUgwxzYj9nSf05FON2EHDsPgRbOMwdJZCt/qiaYdGn7mXPNbLk1LV2zpg0dhFsgMuwB
4QSAegNdAlwNUCHa0yZSRuHk1xj9s5keEIt/pvTUdBmVKl6Rc9oJkjG/iiabNaZSQvX4C0aHeGEE
AN/pMNboVNLmkAh6XLBJuVwIZHKXMi/nfunmlwnC882oAnGZbai0K0mG8ylYKvvkZvhsVm5jIwUG
MroXvYlxidvUOuEg77C56+sZ0dbWGec85u/JJvLIP1qm93JxMKRc45xYov8He2eyHLeSZdtfeVbj
h2uAAw44BjWJvmMriqQ4gZGihL6Ho/v6txB5K1N5synLSVo9s5plmi5FkREB93P23mvrLW6YYgvj
KANN54wH75oA7ZYwqFpioYg41SVaoqJ91SHBt0uAVF2zpP4SKxVJIHZeObkXKyJ0al7jp0sQtTCr
4SbKs/xNImoiQeKNtFmKf62uKVa5BFqtJhcfTO/lPhhqH+Gmbr7Ioho38RKGjZdYLNdcPlvTEpYN
wmx4gNgyoo3IYYlPEqutgEFteKRuoQYdjCV665V9dIGqatLuTTC3o/vwHj9Ufh9LTz7XBntF6qzL
H4O9mBXmsRSHYIn6epMWgM+FfLaCmjyKRQXymbALV4mOuhG5RIahu9g/izSgrMEaqmdJM8DGqMbm
OV7ixuk1eZwtIWQ23+4uWYLJYokom0tYGYNoi37dJJDKW8LMZGBpn7wmnO0l7LyU3lzCPCZZskSh
aSFRWwu5n6hgYuF70f5rsYSn61box9pvgnv+b3CslpA1Wk6+z5fgdSeK+la4rb6l0Ln44B7f7xht
8jdBRcybr0gO6CXIjd4Rb8Yl3J1ieNnm18S3MjzijksM3LomwmWWRlB5iYlXvcPafomOE7jN76ua
OHlCrlw0o2InzXVxiZx7nGp5UL5V1zT6pL1HbmywgAiqq8gLn9iA9j+KFiSB25CW6pqhwKSkRW1t
3YlJdEWdLPn3xhmGnTGxuoFBalcXlvkda2BC842Gb8n0xSfSFMVB0jG+yrm9OvZrMzUnTM/GjVX2
NDoo6gTi8GY0sMvyqN5aU47ZAcnh4Fd5s+0aq1lbI5kc8s24QslOSDs7pTZmhhWvSU7eUxcKKAKB
nbRLsmMEnYyfxQpJRI/Mwsvq1fR9nsy69Oo1N+cRO60phy9NO7MqcIggi3qQu8LPMVgajcy3+Fv9
w8hFfZsruGHMRf5qSB69GWNNluv2npRT9VFpOz0ErLs/agV9f6z49RS855+YhW3esZVzw6Bhb6YS
+7HVFtMZ3W7f2fN8wDc574tBZK9AfD9TDq0sD96j0WsPQ55xVy6MQ8ftuIM3DH89ODIklGx+DPsR
ry99UElpfnGmvqUDCb7zXeQVE6w8JbW9kpEJWKMYrR2WbELWwjR+jkHjnixRNs98PiAZqEof7Bmn
dx7q8jPv8v6gROWdOlHN7w12qpUZFfdBajUYIKZ5G/Z58IUXIOd3Kmihq1mFvSsxdVunraNbKxwT
DPATyNV2tPYVOL37zC7MSxvHICp7s9/2UViZa9Po+2qHbaY9CLdDd/WJ+P/E22KvA8PAi5umTk0O
q6GYKVRDvEXPdp29W8QgPZ3CeIQxG8ZbKnX7QzGO2GyNtnCzveEX5SP3i7i4wbxhRKxksojYDX9v
dDRhFaoN1pZkuPMxAJ2gqWYPQWfHP3KeOBOyoTsQq4Nr0lKl9dXO82SbcN1dq9Synlqvz3ZAIWci
kalH8UcQxTssfpAfytjc2r4JOQvj1cHMY7HV3lA9tsNwBw1/VVQ4mcamPTblWG70SHcdU1BKXphp
ta3TcN20w/g5xOP4k+n4s40lOkHWv7vVQkWX2FPufCN0D3rW8BW9OF4X7Akunr0EmiqzP88OOMwy
QDD2luXWkHE8tSxfTnatnsQ85GfS6ukW6yCzF2EyiACQ6rOKTkGZyWIX4WU8Y/CnJQBNZR+Ug/Gl
S/NuP0jLXTuicG9cKASfyq7tHZ/RcF+QXuBl0PkTgR0sfrYK73EMjft27rudkeTW2o0o+AtZD11w
qEK5ScRCsXY68ryi90NUGY+SAK8Lj83o1R9WgratjCq4z1m2UulUQqXhEcU6LpG3ukQ8N7LA3oY1
InCAEzVeDwr5OIqJiW0hqpI6Tin9IC82eLQ/mdEuAf0acrsajGPul87Zw3NFQHekQ2Z0rS8BS5Vt
U5nyRhsCNCFxe3Cmg/XcNag+lcB6lLr9cIyzoLz3KLUiv+jOokFmMOJXGQO7rIe0Ymttd/BCY8zb
MSQQ5c3OMwcdSza3UUwHsSu2DqzzU2zl6uAFnebRQl8FS2l1g4Ej+9qnRb53u8LcYsoWhzmFO+fX
k0OANzDhe1TWxoHmxlEzkUjnNrDUQBXjpTW7B2m2IMwq85KSTdiqrHkxgnJTw2687SdYj/0Q0bZW
yq92kS3CYdNs4pKhpWI1hS5ljqdKwtJrgiKnf8WBLwWju8Nyn4O74o1BQDrvsuGRcKf7ZDozCcCw
C/gJ2J81QRv8N8W6wvlj0+gf57QlDPTLnAa1Z04GM44O46CzlWFLfCy9752I6wPqkwlMwGIwvta+
GJ+UZfmvcJmqOxFRZoB7uf6GNT/ZOj0XfHbUItxHeqqeRlpYd6Y0sMR5aczayjfu4abQB1SrGP8q
pAXav3xnibYGIn5FQzQMLjUF4H7RFfuq95ytU6RnpWLje0hBz8Y2xvLOIKN8IEXwjANtoUFWchvU
vvUqtPbOnQUMIlmaJTz+7WsCrPLWgbGwyySlvhuaPCkmiDzvjZt6uJeCOCNtOe9lL+91p7843FBQ
+grMYr6YAOxH0wMe+QvlmvMl7jFYyFRRWG9ajY/xo48id0e/AIZTM2zkJ9ZWcARY4LpxjddFRVuk
x/IFR3omNlWMsg9J0u0vQFHxUdfcdnHDCPehLNv+rs3mxNiNPA5u2LiJH1Kb8Sdh735TOQbL5y4S
j+WcTj51A5TJBC4lnRDx3bPTaeMgiRFt2mRGqBIKqz/RPnP80bfjK7WNNd5qGe9APmU7OdY0eoTM
Tm51JRfM8U0wSIXQymYOw42c55Vmx7lFOInv5rTghCaecQqYX+9jE0mLzEYfP/JB90mfj8NRlE5/
nE1u2JhpWBhGHVfBfBhGEDyYVqj0VYC4FfZjD8HWKC8ESJO7/nrlzq7Xb7xhxplTmEt5Ug3t4hEW
O0piKBEwhygiWcJN3r5e6uE6WycS4Nz02YaOPB+4/w+G6i7+MhOky3QA3oSKTtR+osUhjpw2QYCt
0MueADyVZ1BLzBouNzMeRssIYl+nEb0MJvkyokBYYVoJlsFlaHCq5+4A9jua/Hpr69oArr50l15H
HnUdf7CLF9Whq70RjLprncZG+tvJqdDampQ3ro9TiT2+5b1XBXEDX5FJFkWPOIr9aU/5Tku94jJv
zfX8pWocd5MZ1aMBc/6AvlNeaEYrHxHhWNASo14bAKqNFbL6fPJGCKl9xJDmNEHnInbqah0prmF4
Jzsfc4VpvYha4p5Rtn3vq8F7rnkNCGAtI2O6DI/pdY4kq5ASB+7YFDBkOnRqrAFGMnm61ynUXwbS
ik7Zfb0MqXoZV7XlhpeaCbZaRtl4GWrzZbzlH7kMuoy8zTL8ZssY7C4DsVpGY2mE6lvhgDBvk/TD
XQZovYzS8zJUg2NHXLpO2vMydEfL+O0vg/h0ncmBimI+XQb1fhnZu2V4H5cxHsM3E32zDPfFMubP
y8Cf8JAmicWf9ghBK33dDKTLkkAv6wK5LA4E3VmbX3Z1f4dtZS0t0L9ivf70QOVuKJatjSexIv76
QCW+EE7OOKk9uuaX+dV+rd+N1/pxuG0fgJsXd0b233RsO380JfIdLZMmb4tyaj75V+vgL4/wgX1B
DgM02CMIBNSxtjHeVieZbnH+UoTJxbA6E9eBnmGFafRhyZnEpoNxcbbkCDcfCOuOVMuUMEVzQdzO
gc2RRNWpZ+5nGRgvbVe5T7CMeHJDAIZXnToeSTasBc1hrMv6YudNesLFMB45mPm4sR1YuZ561OOs
9qz2Q2bnHNSeY9W7aclFsE+f32DrBMd2CLJjv4AdKc0wvubx0Fx0V6QPUd4TicmgrZ577ndfIvDB
77RAJemGzsBhA4GkeXZCe/k45iJ7+ecvo7P4Kf/qZSS75DuW67JFXcyXf3B6tpS3M+vVxn7qlAPe
MD52AkFIYjfawnXjd+Xb8t50OgPR04/hZcdawivwrG8ttNcCzJMXfk69Hk555kxnQ1ntkoTyX7nf
lc+2qi5Ic+1Wm3jJuQMPZLM6CoFyo0r5aCbUJ07elB7Mjt0BCmdieRs3NLxTq8Ki3HYT/yrbFz0X
5GAu3qGGgZLJOxeFbV7OIxJQHE3J9Ziar0eWcz2+SPCQKV3OtH/vSv9/IoDVdRaP8T/e1J9/sHD9
g5X5+iW/W5m932x2woCBTcXI6lm8h/5sZUY9JWENP1XYjv3Lit4Sv3kmXiPf8QgWuoDL/7yiV78J
7M9YmS3eRSS+IbL+Cyt64QKT/au3OFlyV1rSFCYLf9smNv7XTyqdGMx+VrqF3YCtuMRBoUsWV2sS
afpSJLhNgWyIs0sXJYOW3R1LPudUxOV+xWlhdC/OgO9jVQAbeXUrZFxkqaI8ZoHlgjJWKTXwNfbT
HXQkdWdGnauObACH+NLIuvzO5Vaf2wI37kmbLmZApg7dEyqkqpJwcOTyhEG3hOARVwnoN/xW0JCz
8BMqpsxhVijX3ig7YZnYAUdkE9aPY3Ee8MJ+JRmY0KeOteciZzM4s7NsNHhM032p50EQahDqqY2M
4Q7YJFuVfjHk0u8ennpL0UcapxFjvsq0fxJWOt9SpV6wLzAofFxB93f6k8DvYW4p+miMkztF4otZ
YHnapakfZwBZSbes0tDCUD1I06PIOY3GgJVBq+etjGYCZgBluey3EOCGOzIkXnsRrtO1GEcgZ6yr
kmcsexZrJO/MVEdXbpJXP+uBfB6DZQxoKp6aSzklpgQCC79x7dqLH84ZkgmjhGAbEqQiZunVjVkH
D6VbEPM+yEvQHVX6PQXTUh0nS2flZmpTvoEDLunVxCFylxoB+ebCc54w/vSHKQimW4x3/r0YemJZ
sZ8047ZtzfKrsJkMaTfMx2CPUJCeqOCjmANWx/gM0917wFPrfkeEtOOthj0BuVeP/GoUXY2Y5xI3
22rZipdax/oFGd+BmJg5FDkrKASa/IxXn4nzFl+cKKf7KVEsFODRWMZwdMYumtZBHmKzusqc8ip5
6kX9TBYdVC6KaHsVR/tFJ0UHRjKlEpbBPaXp65aFW4TnAXU15Dbzw7lKrsEs8TPgqESKbYPZPzq9
kUyb+irWsmiw+O9QcOurmJu7pp2uh9mnOsi9Cr7DVfydrkLwdBWF9VUg1otWXF9lY2xXLU/xeUxx
ki7Ccn0VmWlP1T/dq/SMflwEtJMsknReUXbHlgmlOriK1qZdBA/5omSLq6iNQZbP4HAVu0kkIHyH
Ag28ztz0U1+FcSynRKMDqZsNfl8cjCvGVcXV1u7yL74f0z6NVwhSGNB8gTEJM0fyXM3+beahhxW6
GTw6+ly/OpsCk5/2SHFPwJcPZmsmz4UY6OMtWFh5sTNfQr/NMLgh09ejCOp1nA4eFAea3KwHq4nL
52YAC9Yz7VuyHwDm23C8Tg6VpV/CKGHb3k79PglwGB7zZimEShN5Y2oVo7erwhz4BqBMVyYVHdWH
TcnURfRA9dbcsnN9YrOQTs/SUTVcmgkCZ7iyp9FNd72mZweTVp/gFs7Zzn4ERh09DrpwP9KMCoEN
Nhq6bwd4TvNdnGbWtLb4yOidLytoh3hMRkxa0DhtdXSh0M0UqOABuTEMI3nuJnTCVW13Ej/BiLMH
HFAktIcAMvGYXwVthHce9jHANqOu38uxOhft0gprppQ700uChd3G5qYhL0lkvHj1f2XlT6auNNjR
fKzuW476vVVV6e7fe27//xpV4nbucLT+48P98T15bztQLr9GlX7/qt/Pdw5k4Oj+L7CWPx3vrv+b
o6Ctu5zWEKOUw8n6e1IJdDqVMaSRfBdrEmc/f/RfCryNnk8MhyPf5gZgyn9JgVfu39xgBZcEEyWf
Rbvtqevx/8tYUJpcwwuja3dmTox3bwRjG9yIDB2ATGPpUk3OYmXVjn1L4XmScPrXLqDOTW6k+W3L
yibEfAqjW/TEwdng2xe39olPw4vkgPKGpsJ/Pkj6ihLNVHbhIbiDosXFNa29odtPjc1hw+6ZVXYo
jWHN0yi44Wmy7MSgIR4jvwVdpHWeV3sXm943Qslc7C17HMMtPjMAV2lJczjBxCC8YKd0P+y6pt/M
84f92PugGlNKH2tyKdu8mtO1T4Xetqp1+tiLqv6Op8V4n4oxy7+aWeB+5FR2sioKMdBOQiecRfQL
Rlw42vCzN73kJVOUKa1qU+D8h4KZqr3X5+OX1jQ11i3ZCKTkWn+jTi3AkDiN3yD1jMNqQM+7ZfsB
RCMvWKxykehmzhghMEdmnWHPGzcJ6wzTWwzEpG+WZg9wYNVd3lg1aW5L+98qyGrhu1mQO1/FpH5T
iOC1Din3bJpb17HkN9VZrA66IWK+d/zCOLWtvaDG817PGBH83j4r+I8wRApMZMfSKmCsdIV+0RqN
ZiW6ruUHSDOATxQ957s6KZIPu9PpZQZceJ/FjfMZWdb41deSTKeemCsgJtbFqcInWeKCGohDZWh7
eVtk+35WeHBzye2EKFhN7sHEnvkc6bB7rjF1oAjOPn0Q9eyUjywLknrLv2B87ocuuy+qOnpIrTZp
dsHU+YeI3MLeNsfwNWHTKRcKPfj4TVxo2oFII80vGptHc3KtwTJofxsNC0YMKM4D9LDkXbY9ZkGo
m6F9trwKkIVsgObDieuNFSFn86mte3qKcUJN1crCWNBzw2q7hYWNB3btT6p9ZgdEyFgzXH5D9VOX
JPb9lMtOE+ht3wV5xRt2YrPepu7grzjLCns/kGytUWgTu9pCHgvTDTHsfu9wcFy4egAjbAf1NU1a
ufIJEdBBWrT0c/p9Pt8HSWdnj2NIQafG6XIgEG7fA+vqzmNvRs0+awnYrCzUmG+4E9Kz59E1S4M6
VaNVZ3obq8gV6HJtd6c4gBu6NsfF1yuLYYsy437zw8RCAbRiC9O7NsJqU/XaBwxdiWzn1qIB3zZ2
ya4EI7AzS1PTqgQSaCJp0YWPDoU+8ImjxH8FXlG/JGamPlw8JWdv6ImUUZ2mViwNqGQt1YvuY5Vh
84UtNHWW8+7J2DXvQrQUd0tihxodH5r8XV3Mw4SzTjunpneofJ6xjST4TCr9KrnFfoApRunKvEll
e1RQykdEOmuUAQAB5FBcc6Humj0+usBNQT/V0GcpWIs9lkIRw1i/HrmnRBRYaqKGccoFgXQjavuE
pc/aiEqgi/vKCiJYOoqPORjkSa1S0yebVvGGfS8dI35PjcoIDsKPss+p1hZRxtC+FHzC55WHXv29
cd3y1vMquR9Nsm0RpKp4BZfT+d7oPLnDCeI6+HjduLlF6+vfDNxIVMY4oLnN0r9Q7RV+5R2VcGn0
eVcWzVzuOEymb6meMqDJivbTxqSGhutPKPbS6gp/S+vY96Rxxr0X4sCYogm2YzRCbtCJRWwk76ze
vZDCnL/wsJH5U+oTA1GJoW5FyBti53p1c2rDKn2NJzvQK/Iy3qIq58ZLbY76lkY18ydxk7kFjlXp
GcxFnbEU9sKLSQXoZ2fXRD/SOhbmngE2Vc/OaMAO1YyGBjECzC5LnyAfs4Extl13xWyLm8abKE8O
SvmkAsDQG2vQlGZrPikOrCOqTJMyOtsyfgs7Kz9QLi1WCKL6PRt1RTV876xFSw2iHCWNiDzO0Nuc
mvqsIZ25ci3RtsWKS2W4TzT0QKNxce+nBrJRP0/9kcYlefSyen4FfqKrLcQxjANwUQu4Ep0TfzFp
QaXMgXKM57p1cQqzsM648/k2DBlBB2fqzBWPo8G0PglHeXc0RNlvBmiIe0KM4FXrUT9n4ajie5DQ
VOKCYpcuWaGheKNtfDwgA41gbIcq/nS1S5tX3JRqa8y1T39anw3eU2jo/ufoxSLfyDyv32TjAKbu
2raJ1gGkm7VjkONbx2MgezKLXr6l6BFZT/YTPhs5B/e66WeT63cQ9hvVeTy1HMNyX4ilORzcaXAw
AXLsRA5jy/GD4Uvqe+OZmz74djJLT2VOz0NlqX5bBUriCur0t5Y13cJBL5ftspMDOFo+hwYjsVdc
JIaIO3LzjzrDmm+79UsZUkgUhCUtbgl16GUsg3Nsw1EhGuN8jlECrzLysQzIimhZX00bZ4rfUjyV
lHp4P+QYf9DRauytmHG0C8IcIDB5RK7R4ei8dGlc06te8SRegXsBCoPsMNhHx5WpvZ6Il1XHwQno
1AA+WmJpMojuEtqd7HodAkqAY9QsvogxUp+Y2Ol+ElZnPUeVMqCbml0sD0OaqfF25u3zGZBRpK28
56rjRBlwB5Dx5cXp8FnP6A6HNEyMraBrk/dK1p+pHVcbjw9Eu8nsODmWXWZuoyTxHlOqG4mJBNmG
cTL9niN9/VRx0H3LFG114zy1H0ZNcjidXSfeDOCciVaC1rv1SLfA+iQTu01JphDKBoHkXqakNIyv
ThSz6QuGPi7RxnVdoLLH1KDVinDjNucNwya+SqJpS6G5TV10g/2rig37trb6OUZzR5/cEp/Cxe1F
aXL0Z7v9oepAoHWAlFyaILNjnkORWvNE6L0dkTF1N6P5EkErGv9mmGklNzsBY6+zdPSRV619kk1j
gLKjGPyjEh1k7Q5+yZspvC7ZTFT4YK421MzTAiOyty+wQy4NiOybjmTgQA1OkrxUym/5xmqUIAmT
2h6M3pHm67yhRlSUCuM62/5nLlFzvErZkn1v66l51cSxT1kuFaEr2vmIFJIBuSVojRkgw21orMGJ
0fXW2lZypz0Lj4Ltyg5J1ojmjZV2jXvpwzgnB2KB/9U87HbDAHSWq4tXZxyrJt9PZPl8IzM+pmuk
UQUHOHMfBhxnz7a7uNwlZTlHPELeazLUOjmwe6of+gRm4YbSmGba6pi/8hKX3hTfNVSH3oA3b/Ta
BgD/LqFBPYgqdx+DFs7yKsCogfBNlqTiWSl4n/SSuTW1YTHu+jbZEMMgbd1FgL4NLqYPMpTDWQf8
etbEkCiS5DEun8lqswMOy2iq9ijYKezviADqS4is+0NgMIsf027icREOy+0ogQMMnlZ32TsXheCR
fdoUXhSeceIPNT5wPjb0sjKPxpghAfYQCuEBPXUbGs+65zQgF8y5bNLARGL3XOi+3/IRaH7AY7Me
ByTTdmNVfvYQzaPxVdSm/yz6Ue7xJ/g/NCmnrzCChrOS0vgGmJgQKm23ULnKRBOntbguOHUnnHVO
AGlP3TGxtSE31dEswukFKDAwD4CN2YvrmFXHxs2h9TPMzCSlbCOmcNKBG06khoUDZdJ4PZyjaWTc
YloQ781BcfsnI99bNbjECEZeK9xsR5GkhHQeLdEzJ4pq2pTsKIxPc+emZ8b1qQbCQ7sNxJGMyhjt
Z/7Pvujz722jFNxoFgxiS5dV+IwgE0XYNIaxsWihABjEhqKJnFMMa554qJFUyU7Ow4AybAEPMN7L
pvWobxOZKgHOZDI5RhQ5oS9TvVvNG/ahpXqtx8FSj5J4Srv3eadVWCVHfNmrJNDv5EJW7RS6yW7o
6C1lE+htQ4EBcz8WdL3QJS14Y85EkC8RSRfav20HEMNMsSCph9JTK2rFnkzOm/mUBlPwQKy9hrqN
KFOQpJj9UFwyhxjnHrVXZzi3Qr0Vpm269trOe8AU5KRkM8WrggRtfRPNJdcjmInaIW1T5XQdEJAI
TtJq++gOfVK7pAODYDgkiFibsZfFA5uV2rgoyZ3kacpYr+3xakh7145zFB9xvMbJaxxWTX6QTTBN
uypFUn3L58l89xGLSGZPVGu9pW4ICcAbQ8vjkgRjMuR1H8DEg41ruWY2Iw42aymrj5Y2ZfPNdvsW
HQ0fHiyEBWQYxHLyQcWX9XBIlYUhbMqtZgs3zTqUJFH3Hdq/5Brojl+iglDXcYrdxNxFTcUKiE52
CvNKBw/pmj6UskM+E5QiwscwNl04uNhNbD842diW9I5wOmcX6UEvOBW1nmqB05I4zIqTIYejhBO7
/TYuKE/chlN+Q8OxoGKrjiRrVXfoVAUxr5hoTaDejBZFmXvRM4eU2y5704JrjjkMl36wodNSEIHh
9msECD35sPgMg6PT3bQpXEzLq6gOFiW+dft7vBX+t4TLHdL61FXepuXHIdtGHfh8sEJFsjWCdU13
RiAR2WeYZjtPLEu8WTXGOc7Tb34CeHpVW1V4D4KSM9EJqjfDHn16Scz5PmnDx6SvTb1p4pT8C+yf
hQxl98k+HV3qNGgKr+HkwZLiHWUEP+eYu97RwrhjbFgxLMmVLJq+T2Fj20iLFszn1OzbU133+ou2
akpsYLhy/sspP/Z2bVCn6mSPOqRnY4PzOT2HI59Ybi0BlV+BmqSL4T3sP/D26ozbO5IOp1CDHXNi
FM4OcdvQjNP2U/jchks7a4WfRuJCCK27ybUzcYOC0Ycbvho7N8Ap09hQlONjJse/BR+lMcf9GBbe
Z82jP96OtWi/tpbDxJQmVfOeU1JxNNrMWGeuF1BHk7Wkv/LZor2BDqRsM+fSvqOex36s49LZI5Xk
x0RM5vxhW/w6YKQ1Z96X3RO/ef/gQFXg60vPKmGLtscKX9N7SJf2Mypw9zLVYZfssdSKU49DGl4C
KS3cA1b2jZ55DwZ/QzaPRgXLzDdDLytzU5Dtz259ralYmm2koZ3BD/ZM8Yt/Vu484cNPF2WpUPiY
NxXD/qZtArfedDImQ0WAzuwX8yx9fnRPutt/73bzf6AqKVzbImzzjxeX9/pTf49+NM30V5vLP33Z
nzaXSvy29G8B+DKlgJZk/5k/vRRCOngIJDkJuUiT/Ml/QZbc3zxH2LifLO4jSiyS+e+rS8v8TUFq
YipanjOSQftfUSb/6GdwuTApxzU9m9wQ/3NxWPyyuPzL4ttQ8ltAN0irwDaHIRaiDAGKEXQpCvC9
S1XY33/5Tf0d98bfoK//8K3/IIkKVPY0Ndsa2wlusDBqUwaa+VClwcdQc1X4599NLD/JryYDT9Ay
jg5sS9N1HCH4Zf/6kyZBz6YJ7WTXJ5S3hHXAcmJB6I5KpBglqlczTJI9r3S9zTJN2NPr2Sviodz0
rn7ty4JC8zl8pn3kHgXiRibj2taZ5GIdvNTLjT6tmbBiEjmWjdfgn//rrb/zz0eLpgjJY/1IqOxq
TPnlheIG2XpuDwCGeH55gAxCIKDsDEQ2boVbo5vhnFYTbSCpPdI2nsRfnEDeibE2Nz0NhytT168M
P+E6UeY3wykuke3sRZl+hN6ymsnxXNQAZMaB/1bkiCqFwqAWDmrvlhF7Z8XtK6yF+WQUJhyPIGsO
NPZsph7E4wyrCRQwhSi9jB4dmRzCafhoU7lKgZawLtyMAeaJME4fmIIeKyA8Tv1JbBkf47h6G2PM
4t7kTpvOzr2bkmkCu2CVHn2l9VFEgJdbCCIbqfhhRpoenMay91TKhU9uaj4URgYD0Oc723WfXeBn
TO9J3nl7IuQ876FCngXNn1xoC9Nb0dO0BGh0fDc13rBy0KOop0/DHZ1AI+da4J8cYwguSqUzt9ik
vR/6wDnM7GFPXVuqN5s5ax0WcXmnYI+yTqxohYRU8jbiY93KIRIflZz7H5Xu6KO3zoOIhtvBBA7F
BY+UGazPcifZ/p8Kzbcw3RkJt7B2RuFVn3GcfMYs8o5ks/21wLe/c1zrwWB5D5knYl8AzFJFp9rx
v4a9K0BI1mvZ4g2ySLWuqySIMdgHmNXztr6xFEx2XT5h2C3+ZEFBYfoHRbJ/VDyUREDh6eHwlhTk
HP+QOfRDYvYVNdtbnWUFJXY0UBXrqu6idI3YgcjAo+spjsV4AbNpvEWB5LJfqZqpJa7LC8nIr6Po
uV4H2Ai0Vj9Gutu/2KmZ7WE1tmvXb83HyC7TF0oj9I03BubP62fqf8GBT1P14z//4/0zjwkntV0T
f+9+PZ1szCy8Wv/4UHt6z+Ps/9y+f+q/82W/H2q0EiOdwVv1pVoSrn851NzfhAX+iLcG88pf1SpY
9m+Ob/pIAMRhMX3Ivxxq6jeOQR5rPJmx8REp+JfsNn881DzfFliBbJjSPo4bseRlf3lWku5T2h2p
d2VWuafaDZXMqN9yB4hcw1qEpNzJYaQ56BbSyi+/qb93qP1N1agyKbWVlD9T7ID66C4m8F++OWqJ
mQzcHbdWZswHvKIgqxf3RDO2VIoRdGcRn1CDxRS215UZXzpueN+ZH8DIVGOUg/R12mHlz/N420ue
xjAq5Jm19YjeENMj3HChjZvWv7EpTNnohi75QwAdaDoEZkUIovIe2CXJ9KZiC7auXffJZl2/9kLB
X+hhUCS6M1h3TmllJiSR9oZ9DPxpapnWNP/OuwysUreSWWvfes5sPFlmzUBe5fb8AJpK0IjZGk8k
AbBhADS4G2ziax4XnxvMzuhAhjF9TWIOqtqDs2eRoKdY0tV77sny7LP43ktyDcfZQepdj41hsO+B
p5AeHK8W1EOCqt00RqyHo0EyyAaYb9TVHgdXsA9jFjMUOlMSy55FvSlQPjbaXyUeuSbBL2pznzZE
4Hlwf+3pMPVJe+nCxmDlWEf5Q26H/Q94Pya2WAbRFa75YsKzWfClmFSG1yEMsSGzGMm/FHb7ggdZ
bns4uzBvurMqnLNf4D+GGUjRWqPifVIbby6uQkwTzoiZGL8N0JxWcxmgES8+uwmqD2fHON5qFA9e
LKo+iVDm+wzL1V5gzVkKcVR5KVDDj1E2spbvo+EphPZHeHvgwdqwUm1bZNdZ83K3Vmq+w0OB7VhU
bbD2vXzcpwYwdLohLkjG4S6tmurGNtjEcH0sVpxIcOqMVh0sUNqgipQPTqnT5FjjIapQFXPiKMkQ
VLvKyHj5m3ze+bpyjqFH2LMwhL/rCZFt3E63L0BE1Mtyb7upkor3dCjPyqrtVbu8z2kWytasmpwb
e2r8px6WMjcL3W0GSAhb26R4QeJnQ1yqI2jlCIFP1FVCRJH/j70z240cSbP0q8wLMEEa91vfN7mW
kBRS3hCSQuJq3Iw0Lk/fH1XLZGX1dKFuGt3AJBKJuEiFy5102r+c8x23zX8EsSLgW7vo6EiDDEHU
bvKqsfqVYnjwexb0NmpXLxD4gHuzxO6gdMq3xSLTeOfMxLau7EEgapLkpGHc9e33kuRyPCyYq1Z+
1hX7aTliBjvyP+dYtD/8QYUAApRAzracUdlyWgGodB7tHAYAEZlj41+dJA/Z/oy6apktu9Gwswyj
2aMmXJTbZhqTpJ03cXXs8nh4r6cRYanOhLhkWPus3wOCGvczOvp1CJIH0vTsZe9qbLHVIo3ZNHFf
PKpUuIeyao6qZDweFMPXvIyQZDsOO8yY9hebCGoDdNyHKXbTmwau+3FuwaBaUc3iOG5sfQW1j2jI
TekT+9HqntDShx9ZZEdHYmJZWrv0tSXGLUDZSrqH3GyyZgOuVN0gWSWiyC7bn3ZUUP32g3U1q9l9
wxSB+Hyo0i/hWdZ2QJj3UMIl+VENofUmQezcET/QE/0Z8RGOgXpiOFntCw0ck2Qw+ZJkbvMMl8N+
8uEWHBPFMremL402GJqw0vc4mPa1UgSXMHwHGgomw2o/WEyV8Tmx21ihHyoCAiSIYoQDyE++tHME
vntKvqLI9vyDg3Bn3loJic4HMRizs+rSbNpWHvIfovCQETGmCUjGQCy3jk1kYey3Jm+lLINCcMzI
CuROG6dVCZaNB5IfpiRtpzyNiepEnZbkFVtTommncoMAD++k3/jhpatxRM72ZDFWcvLFBWCI4Bg1
gfU7mPuQNdGsj1ieop/KRr64yQw9GIu9h2yCKNJ8bTTQmzcGQaz9sGsN53hyB8h5ZecfI0ZlEaOL
fL63sKqyybShFEUxlEnyP+pr1yZKnHBDhxhfpldIb6XAu8QHU+rC+FH2dv3ZRKzk1Fwl28EXUMjM
Hhspss2pazYeHtQXbn7YS3JG3bZmih/aBLR1FN79Qk5YNQOMoLX0G1SSPZ0Bq4qhtl7HWgMqosjD
fJmY5ZJu03SvRjkoZ+vntfMTYZ75gjsnBeU0iw9QERAVnJkE825ud2YRq9uBtfEvhc71ajZjmO1J
UEB4anlzNK8JiK/2U8wwcs3/lgInb9gPxbVvP4Kk9Zi1k74rV5XTNUxrW34Bmc854plkZoU2WBmQ
xzjPpLGCRF3XPDORnq+SeSLUrMonBJVR7PYkn6GzHXfBN2BVMto1VmI5d2geq2eOHuJIELX6/boa
df2UL7TWfOG2cskAii0sVwc3/qVZ+K4pC99wZS7UV42dB1BAYmMTBntZ3jFnIlvb4etQL9RYa+HH
qojZ9DaUvn2bae1dmT+1azqr8gLDiIk8G4WzDBt49TlrjBViI9JJSe8LyT1Z+LWGtaBsaShQ0TqQ
kJYvukGR0JFeExN59iubJPdtP6W4dqo8VF/t9L1TWsC5ZjcaO0ZQVELhQtaVjnY2uNC7eyOv9nbn
jXfJAI53zof42VoQvdUi4SSzBs1HnQgG+wvMN1mwviqJk1vlL6xfsWB/iwUArBcUcPJNBRZgEUdi
8zxzRmJqmyvbcdubYE4uE1HnzOE5kPGW7R2zgjgMSOFRLxBiDZYNNa7T5FfxDSlOC/vqfJOLB99I
H8YOXiBbLvMM92Q7L6hjXTFWXODH6GytNTXZLl3AyBSwHyhK3Q1zudt8gSfLBaPsZDWvxw96Ox1J
PMHVAHA59wT6zzrZObU9LFv5MrgjZhpRsacsG3wZMxpQ7V5dnascpDOn3MB4kpuKOohC6Esu+Gfm
CJCgMdLND57IPFZrNpEbbG74hehkJZ2zyCFcpapvP9mlQ/txgrT76L8ZQPKbB6Rb0EA+gqpL/s0L
agBIwg765ggVTOnxYAAtHI64L2v+6nimWsu/dbtsSM5q6uZ+rb+FvX7sch7Wi963W5S/Q2OCrvuW
Ay+lirfqvmXCKOqddJst6uF50RHjcBqeLdgceLN1mp/iwK4XHj7V17ZdlMikQCqc7N8CZUAj4V2j
6vmam60+tIuS+Xv8aQqRodtE5zx+S57Hb/lzHnhjfSRhxwE3KD0m6HpRXq4XccESw5e3n+G3lFp/
y6rtRWHt/kVsrUb2UeW3CNscK5wrRpio7RRX1SVZ9Nrw7VFWI8RBxs11QdCBFBT1nPUt9U714KpL
+y0BJ88IOTiWNaThcOv0vHViY4puY8TT5Sb7lpLX37Ly7FtinlMQuzt3UZ7rbxF6D1rZ3GZaCH0K
vYboblhfFB2Q/E+99ouAssccqYA9Ugcs3LdkPmcg5kK6osd6EcX7iemxPAOherKc1j7LRT4/fyvp
9SKqR/amIe17CJkAcQ3NwKYJMeMmQCNFyVojap3LwnhD4pqOm8gAXYNchjJqO4gSTb+gc9A7eJ8o
rrgm6P4TpOU/i0Jnz+1U6JS2fPEIuN0QH4uqBRnTNsanaWUR26fFU2ByqhynkckzYVeYDtAboX1m
B9D95GrXN9gWs4L1ClYFcOm0IKoQ2LUR/IVu1F1kleFucL+dDrz1LTEbYY9iyBmvNRkUycZPoGCi
MgdovKnDxn3sTIHE6F/0Y9afjRd0maFpeQzE6FRxbf1pToGaq+uL1Om2kWUWCAbi9zItf7AVebFD
+UO4JQernzAoV+nvKtPz/X/dDy5DzD9OHZeX90wzcKjumACbfxpy5pESEpf24kIm5c2Y6/LCh1+c
/+tX+e5o//wyC8LfRsrKv+Gfmk58jVoMs4N4Ll4yzXRfx2sf5k9wcJIZNmauaylWIiyTXyXHk9iI
YTHqWYhiXqxxco+TUfYXj/SMhxxm+83ykQE5N8UVAsv0grqyRl3OWm/dcy52d2wdq+j/q6P/Ekv5
L+YxgMqIgOQw+sM1/6esy8fP4q2M38o/OaD+/pN/HctYv7EU8Jjle/x9LH+ZfPwdUyZshscMbKwF
X7bM6/62awh/o2JAuQzLEcSZGTCo/9uuwf2NkickBxNTlW263r83lgmXL9sfb1PPdW3LEwH2yTCw
we3942wkzUnAs7MhpgTpHjzWyQcJTRRMMFr+0JDDZxaA4ja8MATOKKe1PxZqpxPPPnBS2DvmwoAE
NPdlBgtqcO8V69edNUclgcsoUJICMQp+acKpg9g/MsslS4sF6a9WRNUOLmYGRgIQ+LuCIKhuMtOx
SHNcopnoOZPnri7VTVO1NHq9wOO5akntO/v4Ko/pMADRp9sF+ZtloBfp9TBR9Y4B8LEcPuAstzzi
gjMlpX7xhNRrt6oFrHFQpzNnnE/wtYfLv+ERQFZC6wD6UlX2VErARuuSfCIUH8UYttjaA6Ncl4g/
bjEMQ0XJHKsGYm+E0ByiIC3RQfruUwna6zU0g3mCU5x2xzrMokfkVSPqYzPPIbw2XnKd8pagzN4Y
gbx0iZ3edpwAz23ppvk2b1MAqEw/VnqYrhb63QPt4PBRmVKyJy54XqlCqVvs2QBHIORoKPuW+xyZ
g33pbNt4THLffDGqkikaux59nBo9wM1fyDR2DLNyIjJ0HXvj8osXNmoBfvc+YSRRBWwPwJJdzCJl
YMNlLt+9vnaPCrYLcsLUFPySQYhk0qahzM3MukVSR/FNKs5EKERGrFdg2OwUiH3fC+ovRDIWUKAE
JhJpYKfKVyZUEGFk7DASzLGpgQUq1tZqJJ7+Ig24++u0n4e3OGmy04DH5oYbqicUGgK9sfekht5V
AHUi0XmjRwUPHko92pDWO/iGTJ9rVXUbxDXNGZt38WAYvkQtMza3EBHifSUrMqe7wb5NwpyA6AAC
q9dL88wVjY7CUKDs5tz8vZnn+ZQ4cXRXwRK5mTJu1LYa/PcuL8edaY/qmFdEgEMefmzIqR7CtkKp
2Cd30PqhdpIf9oTEMtrFfeC8pVY/nWEHOChvWlSoVDkkk6qfpkniM/znleVTHHGZnlWoEbyXuH9p
3EI3/SHH4dCO2V0tWEIn7smrd7E/U3aURAH148LEwSBzcMuurtfUduDzgKykj3wP/BtlIacCc+WV
BzqM7FSgF3hReC8fEZlV+aay2cyB2oZGvapHW5K13i5JDI3ZHLD/uFeTj49JZ4dKnPlUCtTErlGT
V57zXGaBc3VlgImpXTSyk6yAwfpD+mXqot61QJk7hg+RekdeS/XBLiGEhmtRMncpDwqEzLgWuU+m
u8RJk3saC2+z0EdQms6wXeqxiememV09jEEAFX2YGMIywdavdZphNkid4TSZpXtF8U5DNth65m8C
N1zo3noIReMfgrkBdQ1AVz8G4SieeukPB28Yp/ewSOXj1EEmAgiUOe/c3+kXbApCzQM2ImhVJpG8
WVHhMDnDdoGyM/H924xl1XYypUAalEm72eVV1uyHuEGTvTgp9nWfl7coCu1HjXEEgq8rfuRS2ZfW
QG2+4kPx7gA1WnIjvAaoeIvkc9+bfXw7D5l1j1DRI3877S5dUsuPjFuYqxrZ4plJXXcpcmVTMM1E
wQMMOlvMYK5lKdG6Fe1ExiLDWPPsRbV1oFGNz66lswuBGjl9k+sSi9EalvVogHhQW98rjC3fX//q
5528D9rYfHDESKBnbZErfKIa9p/iQpoId+up/RhI61tjSFRr34TrsMa+ugYYecoQIvGdzxDHoW/X
KLmNKt8DgwYzly8rMRtmFznG5dXM2s4gicIlvsuG352EnXUYA0uCKIaP4fLF3SpTpvuW/6ysYS5/
KLjsqIBTJi1peKszgF0Q0oOP3A7TmyGO8p1Fagij906fY0+Kg9+55ns+EyyrtUv8Vhl1yLJc/0x3
zzUUsXeJwgb3PJyINc+i8kxWJRkSldsPW1/Kd0sV1bawjPZgO6X3E9TIzgv6n5g06z1ffdDZIKqT
RkB6ynL9y6nSz0zV/tZTxrROINKtdcXkHDbQKTWcZu/2rnMEdnwrDMffIGw17kmkQNI2x+UxNqLT
Ak5Z5DSjie/PmF6mehmLRhDu73HB2pCtYgMGmSM29BWPMNDGncRKvKuS+qUwyfYssIKC/Unfl1FW
caId9okFxQa0GWKHuR5juHHXkbvyYGknuxm1UTNgqbtrKwR8Ivf3fqwPTA/qValQSjI26LE3jRZd
k7hYTjcjZcZcOq+8lvhGmMUVcie/z87CBo+9oueYSKBwF7JzYvLHvnLkvrGzE+B7iJqROzXTZk4o
wSEIdmhhmBjWjOmLNzkVqA3ZQbzagKFCVJtTepNNnYb1ZDXYNW2jeWg6IgvnZghoDB0C3nw99mdJ
DrFEzN3GGzXNMM96w/6UXazTLUe8m2+duksoZowYF/HQp3hOasU5kApVjUQNErtBFmzmfZQV6ZMA
HwbsjgnRrGWBjhmyKCbHflqjKLupKmzbE1sBHlVT9mgrs4EZFnYDTP9oGJ+jKPkVcru/zi7ZT0N3
4yZwPnPVZCTPRM0DKKYUQYAr7e9NE29qcTpmsbhnxDm/GnFD3A/Zx6fMbkl5I40NwOfQTWs7bAfS
UXP3XcG2+R2BUrOKLdAUQQjhVUrD38G+a58qX0PEx0RcMPM5Icvq71g3x8+5i6VMYk77QupSAENz
6h05yGwegoLsnkPBAuYwlFg7V5rNBKxShFmgv5zyjjNg2PdFrq9IDueToCB7TrEanMh4GE8N65EN
JjTzWEuXSKXady8MpCsQMSINjglhtCuXseIH2BXzQK6d2tgo9HdKNojApOXugdTsgcA9kbkJ+BFt
qe8Ozbq2241Q7sY3CSYI4Lpgz5CAq4b203YG6rmKWxEJHOJK2mAexBvZDXKD9HKDhPPegBR2qqrB
Oeb15B5SOINvLs8zuOyUFK6SKMswz+7qLq04YQROauSp9x55CZc4YqGPhDu6KZlVrojEErsa9h8J
ji1QC1tcY92fhZi+LEuRRas5pkYGiJ77qy8gBUFLJUyWUusa5pWzK2PwHh3Kgr0x07CrgVMFDrd+
7KK2e5ocVHRoK7B5W+PVjFGA+WBuN1izMzYZI2b/Iba3eUR6IwydcEdo7JisbXt85Yf0BXL1/N4G
M0a0zMx2ThKXF3zm9oK5ASrueH0JaLtO/V2d5OhSYIcdytRJTj7cpfsaG9cqYsF5RtWY3wrXL664
3KJ7SMYBQZhlfgGnk4tVQtTjHd9QppWM39oLfYi8L2Phfs541HDVReWtPQrr6vbCO/Vt4X6GSRTe
eH1IbsWQpD/stmngYnrg6olcSl8NS3Y3PDaLY8MccwOB5gPvRXjwwSxsYifrr51jBa84XLptCRuO
4TMHPXWRndU39dTgLCEGPYXAECuFCaKeeHqg7YlnWDwFrdMhbH3vaLj+9BBlmZpJfu9PGKOiTQmo
7wRbeHoegJzejjJ5qdAS3plRnaOrDpqD7dcpwQn2HuBvzvQqa3Z+6llblj0MnROrurZ+xklXR/G2
pm7alkDY0Dp7oIRl7v40aWX4mAN52/Q88Kgfq5eEtdHvhFTnJ6iQ3MCtcvA9oRoFT9L3EE/SOLmP
BQsg2XuIhut5/IhI7F57KedeFAheeWJcpHzO8dH34zMkySev0/HPwIioMvHesynWr/DxjnOc71mz
1kdLFm9sxfQdJyqkQ5uSd2O6vUIFamxMk7RM2izwqPXwkaZDj0eqlicIEhO3tdZH27UssEoomYXK
0fVIvDNDEqxDE8dm3RQZXqJfoBXDX3FQ28cM6n1ACWsymCrajwlD4rkgCYnM97TId2JAaB3Jwdyy
k652eN/4+EBm3BpuwP4tyds75OHlOvGq+t3khrn2uaVRb3YDWRiZv6L1oZxoQriUuKhuJFnQ6zFO
px9RBAAC833xRq78zFthtS/LOfmgGRNHjZFhgyLWWWnk2k+GMQ8PuZ7xFcBotV4JyTJ+l0y+dk1q
1gc2T982x4Jgk3mUND1dYN21WGGhIJDkFeDBxQgS5rugnpi7hwOrOzo5na5rxfVy8Ru94LIduLNQ
MVcsXthb9Wx7Ubs3HCmVC1++96o1HsGvkIJfd+FlLAlIi+puPeqSxGFcFZSn5in3WnMrffkJ6OJA
cNljwBR67Vk6vcNuyQalKKeDCvx4Nzltg4K36o6s77vXxqz026zRY4fESzyDoguBY1TRh0HNVJBG
VTKAbt1wz+Vx2HRo/8aei/qC/E6++kHUUxu57rEyKWnxORmcgkAc0EuIFFguASftqrQM1itlySO+
SWW4F3aCSG2AsUypXwW7qM0CkMOT5zDkdYlgLSL/99AzPKCVZpA/15RIW0z94RXEd/HSAFLbTwni
KE/Y45tH7i5nR15ayOsnk2dZOd+D1dSn3J1H1FaKDYCLiYIoJF9sI/iDx5lJxUOIhfAtnqJ077VD
/VJzvvGIV/bRnxy59fKB/QbScdwsUJy2fWeZG7gM1X3ndsRg4U5sPxGCaTR03uCvlHbUjQdkcotP
z65WGC+DV2QXC79WfKXE4Z2wQSCeRy9s38EaM+Ff2ukzDw7E8qbqk01tuP3N6M/i1EZCwKqd5EsP
O+8Dxx7OX77u5HwU1TVqtXsFyoC3bF6osEj6BuBjhF3c5UDdbymus3qBKU6HNhM8ahoO0Ye4Qmyy
ShO3ONaeDPY4wNsfWU0Nu6KEI1wYneImpItBdGexLChK9eSZwBWrxaUD6WRxYiCTiNoIVX446+w4
lIjWXAV3nRCh+tRAiHnBeqMfQ6rQ+14MnCZzZj9LMaanUFsZ+sSesyga5qs7u/BGkWTGF5Bb1k2p
dLNKLBgbbla4R7PWyC8gu4lqXWWe+6YdI6nxAtvmG0j4vGF4MI8/CUP3mbUwk2bw0Dlms43Dqj8b
s7K2dsXyfYXiZN5NrDNvOMfrV2Ay9bP2G1CctUNjEHRqNQWiusWRHpB1nvunoHXZdPWaVZMh5JUN
KiVW1ilAhH6W6heg0N7GNbPkNnJGsW8Btvr4HHPvdYZKStFAhndXB8XZyF2qzjTzqxXxTc3Wb6IM
pb4Xc2mDN0DYPMHg3M8MrXbmRA/O+2DjxSpHExbsRfCb0VwauSL7iNmDJblKFvErKGpw5tuF2Zwq
4t31Ftqr92449BcjuTwLOc/DVgujWnbMrOoIBg7DXt415a2BySKNsuImdaAMumIs1+7o4H/+Hmj+
t+nx/gfqx/0QwIxgJfH/Ftvtq38Y6f79J/4y0PUdxOO4kUl3QFHnhx4T078OdO3fmPHSZFl/YVv8
UTzO1BYWBnphnyRuLHFMlv820HV+Q0PMCNi0gcSHhNb8O+Lxf1Jw84uZjHNZbkDcsk2mzX+Uugmf
DaBbDMM2i8HKjvjgdhjtxZqYN+5fmY3/gqD6z+Pj5fV4QRc5PZ/Hn8bHGC/gARTmsJ0d1Fvsmr5Y
FhPQNaAi/sM1+E9kfML+896ID90NTDh7ocPc3DX/JBfvPRT7dpIMW9SOOehwl9ijJk4AoAtR3+TY
f2/62c72BQzVTcxz8pdXUAupcsyZXjmsywmKtU7mRIYrKYGE0mCjjNufhEgiO04Dz716SyJTb2I5
nAbYf2tlLWlN2XdyEy5gKLSDXX0aUW8zk8ytRxkwf9iRuETyU+e05l1aCOJr1BIN1WW+8wmRjtHG
d2pUoIr+q2dw+xlj8trkyKHAKBfzXdiwP1h1DVjWRtM3532n7zO6kzPCLVMfGofJ0ipPQn6V3mdl
yMZgsWQmDY+slIkoSWl47p2VERv+vp6ZM65kkWEghHcQY4FzWvbktCjtl8yM9uQr7+jH3A+W7sXW
wNFcTt7jMoCuN4yvotMcG/MZARQpumNxGRMBcxvsAGrx+gV7C9GJJj2sQxZa6fqXaezx/4VI8pq6
Jb4gNIggSopkjb4FoK1Jzn1hhawXDQ/yeprTo1NK5CdQni8psviVHJ18M+HfWXm+EZAl5V87GJzU
9UA88UmtbWvsti7kQZTJ0x4kwIJSWilhPDA33cAWVWjIx2Qf+K6DzDo8Cry+GAVsXr5tERVa8VcJ
z2Ll9hl/WMR3EJ8PqoASqnF0M+VQZKY6vLjwJOr8wLwfeouAjKrlq8MSKBb5jSxx7Qsvfh8ibnWm
RcHGKY19Opj3Vd5ic+UTzW32lpGT/ABWEmOdFb/cPrpYuX9sWL6uC1D8LIqXJgl9o1D2fWTnIyw0
61fmyR1S64Z+oAMFkn2ZAgJcHrUvHFJfOgqu+Au+2H1fGHacwBiAodRovHTS/Ihbb2+4TPomLGgR
TjzbuCQFTS/llqafDth6NFHTxERGO4MJSy5St03nXlOjeilx6a4H24FtOxRnMxw/GftnGwCK3g45
gGIbE4zE0SJx1d0QbpFP5DjaIDqkITSy3gGwMCXx1Y7G9yRSP8dYeFtXUK4RepByABqPkR3j3vZN
HFJkclUGIknhw13LIwzyXnxmmldRvomX3Ax5AxG+y4iXKwYwVa6zz8D4rJDA+sTR0P3XlV5LpHKY
u4RxZOSvN61yhzUXFmrmxDCp4sg1ioJkWMkXNW/E/NgZCpm78h8Hk3da+vKiS66DY9bv6Oar7X/v
ufm/lSplO+Ce/vBY/6edKdrNt/b/3LVvvz5V8g9S9r/85F93phyJpiVM9p6cKBiu/u8R6/9mhjYO
rBAr1uK5En/fmYKWwoezHH1/c2H9/YgV9m9AqEx+krWphTFY/DtH7D8hw0PhWg5oKQ9bibBsfoU/
HrFd2YVe27t6X2dd+GPo2+mWNG6Px1SYtu9GOOfnwQybev2HD+o/Of/QwPz5sLVgbaHqxN7BG/e+
xfp/fOVeeTmGcXKiPaePdmlru/WbFCQck6ptEYbU11ZO+i6W3ZcCLfC8HZ2K1WbgA7BfR/lgenuz
qC3ScVq7eI2wtrKmsTBJOxaYdfjNmG5NVUek6kpkcodBLBAlCDB8/6yB8IJVXQXTuz00K7ub2pIe
0PZfJQyRt6kS4bM0M5ls4Ufp+wkcCqdJx6oiZQecMnOIAEFrS/QvxDGmO8ic0DqkPDtplbJG2XHg
4iSdy3cU3Ouks/UG3HW1UVH1oYvWuqh2yO6Zbfs/0es2ezsysksra4vym2lctSazIHoyNMm+W86v
6kg/MIL9mz7pwPM9kJYddjMBxpbcCCS3d0HS+zs9ypmnQQXu3yqf05Ql8UBoC+8WXRE4g+Vce5hk
Q3lNUhzKpKrnWWg7t2U9bIIR2AZlTLyJB066oW3ghddewZIR9SRE0Iy5r3hDwo0eOHRQAjNPSIpi
SaLcl1GxgyGmeTBzlrOr2nsktK+VSwKvSiomPJEaboe2by6IsbrjzEmGxUv1u67CvVXh1FozKUf9
ERPs0A2pv83BXG/UyN6jc2NcWqayyFa13aODPWJlaEF2S9v3Jxbt6d7GFbWesQKse7cUh5wF5i6q
Y4mGNQeI5hbRpkWjuZ+H1thqTPMYxq24OJbEU/+qLR0TOMpQyTc840q7Uh4tJgEP01yofFM6xBHE
qqdpDYhWZtyamTYJW0Ei4w2TfCfcIDpDP8uxo96gBeXVmrKF654ms/8ac6bcwImw3snmk78Y/rCz
Zm/h2tQ8Q08PnF9MsniJzG5NUpFESFYtOrvYdIyTtOv6lMyyItLac/iss5Zqz5y7ZN627pDOaxUm
jFeJTPc8OiqvupOFxmZtYocCsUDUzkaw5Ls6aglzHi27uBRKWnuyWQqJrj8JfkjXaBvyPhxz04B9
FtQmFgpIQqGDG7Ml13ilmknfC/CHOydOJs7ruKbPZ7fqv6ouYGIcAXa6Nr5NgnUD2OphGgLzuGgF
SqZGsUR3VoljbmEBgNEUxAe0ps5j1bZMcANECxMf5oJwsydngJfg1cWtLSv9HII+IrQq9KHceKOw
z7HhtMM2cNlTnqahsz6rpkYpb0vrmVql6fedtJwvZh9RuHNsMRENpRr8dKt5co2HgPXIzgsbtLbg
Gplzu6K1kUaAUVvZRZY89gJGGdMw49zWJl4A/rHXbpz6Dz3rhoHfT6pdMRs02dMvL87flUwurCb3
tWk4u36CdCK1KA46Ce1bzyFSjmL3knY5qSWsCC5htxQb1mJIYQa5gU5PYl3dXEtvVndNZv5C9uwR
5ttKmPVFfDCxj96Uvs/0MeYd+ZNkZy799C6JjG4/Yrk4sxMT2w6Q7PvstSS1YjG/wsuNyWmYlgAw
lY9fUgIVp0gT6TlMAirbLAtAn80lxp5VO7nWu8+m9lSIvjgTvnE7YvlAQ6Gszt5YVqm8z6aaLDyQ
fjWR1E5ULd9L44Xc2G0J2WgN/8V9ypPJJwVe9/chGjLGJilCCVYi+gRe87O2G54fIAYcZIAA90JE
vzcazq3r5Ky9wtGIt4OMGYl3ibwzTJKp1q7d22uzGqIH7IW5/aiNuQVdOuVMCWOUwJ0h+6sa8Fht
EzhAqzHtpltiSpL11FWCsFB79LmzYPrytIjfA7w6G6N0g4MdwKGDqmGuC8b79ENCPAUF5Cos8GgC
aDPXeA2AHA35FWumWrOgPfSFIPpYuieYBP5NLbzkRAv3xemUXgF81PuibWKqOO4UdcSCOa7rCN7X
tp1nSA+piq1yY5D79Yt4aPh7cd6aF588KfQItLRqmywxRGy3NSyZRD+kU5z/7FLkloVvB59mYvV7
hnQjHAm+MHsXSag+1DUb/63WOrgioJfPPteJNDerPTCuLH/1CJnu1NhE71NBrM0P1Uges91cJh2x
6LhlEEl4bbapqQ5op9nUbrH2zNi1ZhsMpPleY3rYuVLNNKGWPvvkJo5t+WJA85LrZFSktaKCt/0N
Wn7bYlcOjJ+KNghQPjRp9zigaV5WwJlz9ZUPcHCiLF4VemjupqCkW0AaRJ5Yu1G1NO6KzomuowFY
IKekTgNnZwJRgIy3sN6aGARSfJTQIbZD4LTnDJiP4bZ6RVke8xaSm1Cbvxp//Jh4vqN98ikVTDEd
0zlM1sbYQBfE2EWHCV1CiOLCNAw6ft8SQKaZREUx+a1zEnORk9E5Z278HNuYNJpu4AaIBh7PwGZW
A945CnZjTh4AuWIDydIdbt5tygBw15GsdklGXJOF0Vkr0/DTXzQQzMZ73d0UKqDLMCyxqsYxZ3oJ
ByRWUbuvfVYZXKFhSy1o06WXNG3j/BQVqInIQq+3NC74vpoyuqkCTYicqp8GNzEew6psD13o4qqf
ic/JvLbbV15g7XkCBWeyAUFv5q23Bfydb1woMQcMYw4u+PCONT9fXymc25HrzsoDPopo9ejsjdwj
4m30430bIPOy7RZ1umI0d6ZcULiDl4uaMGDfQfVSd15ah9sM6xdQrzIaXsGYFg9+N5t0X0X+pUaX
TRZHztHS4fAzqwtv04uxYmnomhVQSxAdm9g3oy8TkvbBc6cAXU0h6g3HbLQ3dOCydk6t5C42Qk7O
PNbmibE/xmuR2W+h1TZELorxlpURachGXYYpnzebvDiUKOO1zuQpJhPuRxxa7tkMtPUI7Sj6LABC
a3bFgdyjGUlzHkxWdMw60z3FfNS0d2MWbokkSFF+jColGQYv+r5i+r+XWEKfcS6HK7gMBCojM6C5
F+DMmW0wWii80K+4CKW8Q8pvPEKezQ5poqZzNmbklpmTfnHcTp7ZsJUG/eeipCtLEkJVz36vI6YS
p3diz495Nk2fPe00X1P0Lw8taNAHAixrhs0pWR2UtoQeUtrvsihXzwE++WuUlOUpQY68nyCbMZBH
ewaBpPXil9RpnI2UZnF2R2N81IN0DrpM9b0Buplq0ovubFUFN5CUGAGVgf9iQBFjLtVUL3S79KcW
YRBdfG2DzMOoyWhl2xiu9rjPHEnlnqCr4YlnrfCfpxeIEDPqwbZlk4RAdTVE6bj2GzqLVc9Kr2CU
4nEzEWIor1HoJ/uwgIIgdLmsBCcUnJ0xH7FGLZbv0nqC4qPzFWmImHWiwSPY3QDycMcRwfnWwxmY
eIDhXZEKXyods0JNV4Y7zy4xHHrOspJzMhLAw7cs/Q/2zmM5diy91q+ikWaowAb2hgnNMpGeSZP0
nCDIw0N47/H0+kCVWlWnperbE8W9EXdS3WV4SGYmtvnXWt8qxUaDBs86wxDGAN2whXMafnJoSTea
hba+DmYAADjTpnyXqaE+lFXfvPLQzhfNbThtqjHfJTXfxNF0YxMvJRoqo7XPIgV6W4y1cT00ej++
F6YxVnfE9qr0nlLGwPZaFAj6MjsueGsMMjHM+7we/bU0ergydtcyurGcXtupsogvmRyCh7EU0deM
nL1DkwL5Ng8y2HVoNHflZIjXrnDlQzcOBupYbbgv3Ry48yaOcKIHmRZ+joMVH+nCMd8rabQQFaoo
4u0orfGic0D9WZu4j4KhQEXJorG6TLVgrZgJDXFgawSrmmorBnoj1b6rujE7ogWZ/p74tnxUlm7V
D/TDWi1g+UqaG0qojHyzAAM2QQaLDPNTLNaOCnDiu1kAEBHj2BQdSsGH0OtwD8Wc2xvKCrPJolwt
4emVU+wIr2A/PBUidgHwm1UJCM4OsYpq+FkqraSIjb8YE4yvMmAm1Zmv6TyEu1y45VPpGt07SLKM
KsqyutRK3kUaIEEcv17ZOM6pnQJMSXwOYTtY+ntsh8NbkLvxwYpU9BTPvfYiykI5Gxru5KsVTeOR
kRF4D9cplnJR6y7A1Rys6O7z9zJON9UEUoITdXhFkGTYV9QD7DtewvfeDnpS2Jp1K8Oy3uJ42Qmw
PTeRHU/H1jLEYqiPL7nU5BkmefdtO9HFuioRWEegFOXKToGwFfVcs+LY/jkInbcuCD9BV453eCCW
0VNVZ6zWRgPz3erdr84p7XXYZdRFMebzejART7Xjds+A+oNNquXtc5wG9MGNlnmGFFEco1Rmd9g+
vgIZ6mujbN1LxXH2lgRLxekqKn9KknbsoIOxzxmUP8yItYxXdX0j5nZ4SgQtzY2WhNeNr+LbYq7N
zVRXTb7JRNlejb4ckImC8mAFWXjXMwDwzDIiLk44uLztuJN+VJMhGXvl7XaaYfY1TlHf9AilB/wC
z50+RsWCU5k4HmRmtxkLKJTo/caWIfNM1jHFgDp2+jpJTc5AbWy89GFhYKFjigFC332J0LvefMwN
OyB7zYFttb8Q8JneIs5i13kbzJu58dtzRwL5vuWUh08s1eV2hiF7hP9dnpm6yce+Yb23y6J7i6I6
3/hzG71PJIfVClYwQl2OIo2uHeM0nni6InYVL0QxX80ue4ozqH6NPQxLA8a/uQzjc272/lMK7+Oo
CPI8aQWfqya0Mm6CFMQ65ZR4WWiKW9QdCrzsfvC0nlzvOJXGOdSy/EsOI0EeuIAGaNa4vdYz9rzV
lPvmpxMk3LC6OqtPetCQN5sBke41PmjokSnFZqu2TQBLV0kbeIUmy+d2LCuqed1R3CeKBji7Npr3
WAuZrdCgjV9pdKv8hVSt/z60OgBLN2B9OTXQjG9nVr+n+RtxGX/jLuGVy3obJ/Brg3bgfqW6yPzo
rZwyZSOb0Uzt4h1eQImSrdvPhcWQRmVtcRVwUoP/yNrBDxQTkMuBuUaUyV1cjdVbWDWkT9U3N7Vo
+vOc9O17l3X9SSw0z8Zw/E1TROl+6kxYnwv1E6uBWBXL2L+29WiL8067UPyqiL7p/kowkGWJLyiI
LPJPaDzWeA3qL1R7zcKmrKBnTatuCMQTQWqooyWFTF+9Lp0tWMppM8XER1c+thBoxHgxnxPukF4A
Z27f2BHgVX75gDPBN9nUCBuZoa/2aAt6H74abiQe7DjnAxSJmZ9Ba4rLVDjNyCAoyJ9kVn0139zU
yp7y9xk23lfBGfQQKo1lCDnZo1Kj8FSv4SyHv5oEDLZEkaCwTNB3FeQbtub10LbmelgArhzGnvC2
Fcepbu51f6DanUrZUxADfGWEjJfATRUaR3GVdKXPKd25tFEjb4h7Z1d6IEmEmt8k2dFPDqrNYaxg
Mz1E48THQWPod5yzuis8sqrLNpXhLyYX7NopKoTb8KShyYzd5JyjYAo9hh71Tri+/hHy8fkoSVLN
GMOLjK9Pq5MV6urcc4PaWqnZXuLJvp3mUOzYmzHD+BoGq1aYOLM1NexSzYWayFDqRhn6zTITetUt
H056Vg7C9BKNyjpOdljEddarc0j+lWlXo+hacvHJkz/i4kliYJbM3+bWM8cwfdIpO7ZoiqutO44G
qVwn1KXfUBqPrD7QOdvK0FrHeCc8c5HaHX/iuUx9F4IdUcot/dZoXhECzEnWzBLXsjOAOgUUazR1
2bzGk6mfIcbib7bC79KOXt2ZUVedQT6B4gb/dBsK3TzrpQYPndiJfeqWSl7wNfHRAFd/giJeniIZ
OcRecK3ng8Ukz8h5TjFetTcM1xpUJ5M+ZgrqoA5WvTYNSJxlvAnk9MPF1uCBO6YyPTD0Tw0T1qHH
TXdvsTKhZHVEI6tyxvwzO8k2iLtgWyt9vsHvF+1C9I9qJeLMOY9JW97N2kj5alfp/CvNzPdWMcw4
uVL7WKoyfrRUxSo4Fg0VhyYtLiXDK7HioSa6rXTjyQonidNL7zlzEWsxGzaztgCXbBP3NRPIXbWh
PTotjfDxRPqExmMYCXoZjpt4TMc72zfwuk/UxrWpVR61Qgf3oOXVGy07nacFReQ1WUzTDeXoXNdx
nWTVTU9GeVsnQJhpbWEj5W/VoZXANNFJh62Zsp16eRiX03qCb7eRZsgzXvSMGyxn8nddUtWIWKnR
X4vUbZ7gDosnUGcBFu0pDldMroi79lYcbewUeitx96h8oKEv07eRakasxZjj8i0dfXpxounLYCRb
FtjYM4YfoJKTQHvOY9kcHR0gMSYuhgMIinF/wbdcRzjqrOg+tGdqGlJXY9iLj1fRrFZF3VdsZ/Nu
7gbrLTFm6+KMbiG2NvHOahPHhDi2yixYt+KK4hn6ii0DYjP5qkvjSI7IA44uCDeOWz530ow/ek2f
ZsDriE+HceH/HWdG/Q8UxuQvlekPOy3Oq5sRaQ0pV1XNHUBFDNkG7qPbcmAQZ/YSd2HSvioRAZRx
ALNRRuq+aYUZbgFckAI1bZNaHSN7ipslcp+Te9l2VmiQgaLBXZvaA6/CjG2uHK+tqAFuqrDl3bdt
P3q6P80PjC/V0akM+9acQLd78UBJWwAelQ5B8D2fTA0sBWbLwC+n10gH2jhqkuqFod4zQ67mdR0U
4ws6OhsEI9Tp3GbS3nThXVTaXecFueU+JHhHrwJqIGRi1cipELTPvsFOsCe5UuIQJwP7Qba1KdYh
wjIBFCow+hVTZ0XrPEbYFdiH1PUie0LfBk5mAIMrKLeFBFHEW7YR4zaVbntnTsb8zOB8uNNwxcKc
ELjUYczs2qY0H02iOjdEiOUmcrRB3xYRnacNjNmbpksn7uWDY721ZRLiu7XSEy13/W2tGUnFCFKE
8lQ5I6qLECl/DSEDXk8Rpyz0Sa1/mfDxMP7ncL0N1RgDu43GG2JkpKhsmbgEpngh7grq2zUwCkbw
6YsQrkEkhbgP/AUqENHmfR9H+NxGzecCTfWfYjttFAguMBPrMTPVdV2I5gLkRL8Yg5nfTJrK8V1A
8nqdwbFfW3OMRNpXjnXWGw1sJ217cb6P2ko8WqFrnDBWwofJMEGGq6Zj/kmSg+h9PGn+jyjJ5vfS
5eHZ4Obl7tnr1UJcnsMcUoXJNW6u+/SZT1vfr/M0Yidg6jneNLrp/xi0dlngeIgUYdZn2zaNgyna
+Uwtu33EPafvgiprTqztbECNq382sqtDzy3Y+bBmaI8W5UZ3wKKo4cWMeyWHlpJVM+y+mk7i8+Nj
W60Gx63oB2hH9OrYz7w67TzuEGm8bq023+dyto+Kddvr7SK9l+ArjpqBaE2NbPeZx5VZrmeQr7sy
1fN9LCkT9cCjVO+ipOFgA2yxuHBFYvpNAvEx6U3nDv5AShrfptbSqPlLzTrUBH31ArqffA0xE+SO
yG60Y5tgiOl4De+hcLQ/2IEyZ4XHxH3QZmHS0pnVRrQpmvCWVFJzIRmvUA9YW/KV7CRII71tbzPT
Tk+l4IuED7QHsot9a4050wR9yrq3mbHasiH3xtnpYNj5NrcSalWG9EJAPYnXoRsbJVbZYr4DQco7
wuGGJoPIukPcyg+pLsJLY2ChMZJRrfu+4qohi3pT1yJczeHg32T9ZB35suCGp1v7GGFZr/nbl9Dv
sXBEBehUd3auO3ueb6cx+6wENcNJh+swLGDdx+50tkh93EeDOezogyQ3Gbr3E2TpDZ6hxRbL6PLQ
NjpMC3MY4R1g738wB34v17J5eKaFY53yXJNeaoZtz/UVhaZjwqHh8T+0HNvf7LCwbn1dF3gnzbG+
SA703ARSRQzUoexmRSteeYx6ZWYrgF4NJNexpmvO+VHUCY2eZduom5Ba3PNgFfJuZJzxlsPnBJQI
pbzluot8E3Z8mgY92LOqEguMcgduDTMFTObGV5n71KyQ0QBdIIpGi9aM3bEgJ2qYsrXiiHDqMNk8
m1AQOXS6HFlw1KwTYQwgcVFbSIOK8gk9tT1kvL5kjMBJjmHteLqtmxsHVkix0028LXkYjIhWbZu9
WaZPMtafu01qTc4XlJNm6f4jA8d2/6oDM6ix/aaOtoYADALBVxxk7Rjdypw7bjCGCIdTQ7nEzsgq
IAaoOYx7S/VeKplL8kytdvBpul9JZiQRgJ5kPrejYpFz7aoEm9aE9ypH8wHzNTxE9ig/sV2MHxHH
1gdaIfAEWYRlWf/9Jcbuxk6xmqk0easS9MuFTgYymDWPG17GHQ8DOotx3zk2OkzSmmw0SRueB03X
P1JTOdlmKH2SdvXExjXlrnXwYX6f+KW0mY96Pa5D7D6HSRFtgekD+wlPSCm9MjDyEhh4Oj1XTmKg
24TuFrsYe35OOeMGXnvhrwvf0DBs2dF8prSO1bsdjOSIWa85BmNDl6BKJvsH7QcRszwdxY8wSsFu
ZUSlT67NndR1mUUhBWutiRE4DtnFVuT9ljIkqzOrK3cc+TZJIgOgDEVBrx2dRo9pX6OjGBR943ka
i1Xra9qBIXtGXKxuln8w8NAR2YiMRzRbM4VaYoAGy3KlPnGg59clCuodmxdnl5TtcuWTvW0OrZ6J
xIPjNb4wbzY2dRJrD8Fyu8ocaHJd4I7tWqIPbobvBrYo1c+O2xufiSTK0zLu22p+Qv+GxEDrbxUu
gjUGoOw0ZzoNz3k1XkMIAdouliF5hu8JmcbYUAIqeLJ6PGXxcCc1JqPgpbhdNy8dh/Dj5OeAWCjl
2rR0H3kD5q2folTxueM4cW0sq3Mww0u1bT2/0vrSwIHP/wMoTSBZdI3+ooPWuG4Awp0JURubotVJ
J+Akh64Bsugl7Mr5ru77/KpIsN43odA20vCzQyps/Uda9uDfS6e+yroC2+9cxfW6jIbIo/Ro/gG/
OtzDGbEP1NFAYO+oHhmKLlD/n6nwf8ZU4CnFrfo/22737/X0K03hP77md+Ot/RsUDVCOFGAtbqGl
O+534638TVomTA/Bt6B6GlTlf5IUcAU5LnRNNgyWFGnaeGp+N94a9m9gGfSlT1ZgDeLf/BN1ssQ6
sP38EaQgIEuawlV8Fx2B/VdbEMt5aCQJFd5xT++6rUO632ZznhF8ieOXAFTfKxktDBTfLSPugide
LNsbPalg9PSGe4jLur2HvMwhq7dj96mgt/zFGHL7Gn1APkYwWM8DhInDlHGnoEHBvO6WdhMqKoO9
RdRVR78jYbKuRCtpQJ6ZZzVV115j0DUeJLZ35l3L6IsGN5qJHCt9MNDQPGcZkcEgEbdsRonXLQO0
dhml8bAE+FgYr2XLoK3WHP+JS2N8juNsGy3jOEdzOQBmlbuJlmFdvIztLDAyLJjsFGZsUsSWOmTw
uNVwJ7GK4NqNTAhdDXNJOSapZ9JXt0Ff5pjQApmCN9Ved8KBToYa7pD0WlEjoF/JZZKI+Vc7jst0
kUWnv2b4L7f9MnfsW709A5JhgL9MJStDNocgJT1gL+PKFPn2QOpGBy1MECTp1LVPaO3aYuVgQN+5
r6IGfDlreX8MbEMic1TJTbpMRNXiAWnrcgJwyLwUfQzjA8m0bZEWnDfDmowysY4N4T51rIGzPPpJ
+ZWTyFde3tZ0KoywZl510HtPZLeGFxIvzYPrd/5PMXNEpW1mxgOEfTjL1xOiVHSw9A7PRGSG+msG
H4QjAjfvcuXM9vgWT9UgtzSNRLe50/tXjGXHk6txja/LwaFVaJ6dyCsYdHgTSU655jOiOWuNaHyx
otMqv3L6LvsS06j2Pl4sklvIU/u6KfIrM5Nw8EZV3acT74usMh0fs/01jXF+x35WHEFWmOdkmYBn
yyx8XKbiKBbdM9fw6Kkgcus1lXYhVF+eYqbnX9rIfokpjKKUuKu6YhWDH7sDQvUZMo1Xy1ge9Zzb
xWj7dJ2byuuGXIHFiAshMHQsc33bLplkLcN+DpXCi+ZmOsKLsG+y0kUjSx7HkK6Z1bAIBv0iHdSL
iDBxFdgHZNCv6kViYFC+AULtw8duXDpRFykCnHNxMyzyxGRZRFuZW76GZm05m2QRMuxF0gjKNDnk
yTC8ZYvgMRDRXIUM3LxikUMGs2q8yB28xFJ30SgqrumIJ26X9u8xKdknNZohB19ElnKRW+ZuybRT
PrYMVVGTzjIzI0Z55iLTNKQNOMHK4AReAwizXZc39EI1txENNM+ks3DiQrDq9kYFQYM4PlWoHGuo
HMK8Qg+wFJdAy4j8JKwON4apxn07hgU/r54hcPSGGJ4smmuOXVFMnj1rxdm32wppMjZuotlpzmXe
iU0Lm/vY9HYtGHrFCv8ulolzQucLUKYU/xDnAvHTsab2J2aO6mwIe6y9IaugvCmjTzc9ONbKy5uG
IxkTteExqsO82gnL0dN1rvDveZQquJhtYoseJzNWp8p0q9Dr8l6duSF2myI19W3nV6yDhY267JWS
uPni76VlEBt7tJ3xiV+T06vmVc1S/GoDQ6VKa7QgQiYKWuqKkD0nOlhKqiU5ipfyWKNzXWGwWmTZ
xbSA5ae7G7U+/6RF1xrXPgHXN0lqSK3AuIavY+Eg/LMg0ntLTNVGR8XvY79OuSSgyJTOeQS6DIKi
EsNLRTFLfgTvRz570IrpwFBB5ZirHBN2hxtpH4xGMOG3qrRfYHlkwOxTp77Vy845m8W0LNqDj26K
AQxGl9ZCGukMpJAdcFWSnAxdtFcrHPGpJQUSILbNZhzPlmVn+h6kd1mvTQ5H19x/q3Azjq050nQj
GDo12hDXC2YVS9VgqOI+spYS68GZGVlPfg2jo17O311nWeGJe5LR3pehrp3ses62XVa29cbuwmBi
1pVN93qQYOOURtK9RgAr1DqLBuYOQzfAq0uaCetop1mYjiCG43JLiVQHpqmocE6JXkxxah0EMdgF
BhyNXzX1Hs9dXTQ7JvdTujYkRjXO1lV6iRJAnd3gNufUlV/VpNXvKnIvchx1LhIqgCU3poW1pX6P
243qxrfJ6duU62FvvclOp0Q7yJLpoFsB3UcRw+hdIHr74ifO7NwGywyciHUGAT2x62GLysQvgFba
7pLUbaFoQr8f1uh78aOGL2qhSARPkEJQ2ztIfh4Td+4Qg1UPP4XDrmK6A4dqC81gQ0RFnbWkb+wV
qeaGMjsaoA6EKnnuUYmdl1KlFgQSKpSGzEYXyAjMkQIIZUEuFhTpDolbPAItDs9JhiuRETxXj01u
5fGLsnt+Znh28BNkI3NvniG0In25zbFI0+oZOGUmD4tQWq59O6Mf0vwufkL5Nq+SnDcOkJAA6aQ3
/ICoxelnhW0WkANtU9ewZHli2qVHinFHd2INFe+6aKdnotLOIc2X2infnuMl6YobbQBKxMyyGLtX
0gDzHdgOZvhh4g47WyntFaTZeDImR39EomTTWwqv/Ch3n0hua496SR0W1/aA2wDGZg/bb3Y2U/qo
6KfklWXRbW/i72ItNw7bp76X1G3NkVm8AccsD1jHMawwyzHvqVNxehSLRPvIq6WsywEyo69GF78q
XlqHo4LbUe0Vfbd8aZhcaPxql+xvHBWUmMZGpmPQq7v7guqgn3bIIPtZDD4FQfU02JfYjMNgaw9T
s677eO5WbVIkt264tI21381jMqCEzG+5LToxUYThu56M6A9GWu4YIp7TD96rMcYm45RPDIbYBXoy
7BJs34XbFnhheKAZxWeV4AFJyry40+yEaYZRafpTGTPUXkNPtUnpzxbFMmT6gz2ON3rVIInTsZbQ
7kMbGc6DG71KIj6etrGAB5PQf6GWiVo7MC2MilNeVWp9yiekfOsO77DrpWXE+w6+tbkVS9XbPC4R
IyB6zaVDHbkMjo+6jM3G2Fr10hM3BFTGReFkXcUk7ioKE0rWCJAf9l6L6QwVVOxhiadGcBPPesuJ
dmmea+I6vsH8SB9d4OTG+yzs4kmrlq46YTX6tVWPvCK4oHA96yOvUCnLaC/GwHlPgI7+MMBYMAtz
4/bJFeOA0TZEDLOlHfzg9pnurbRznyI9KnbhjJ240VrjGrtkfE6npWAP4vIMYydWe3baElfSdw9f
FuuTvSvixiUFPTqnUbbA2Wdj6e6L8CC9DWnCHZcorfmVlm72E7iJeVS+FnzMrTFN0Jtn98oYzesQ
UsIBDzTb/PdN6H8tiPn/aqBEKBanv7o0Ht+zrPuXf33Pyn/7l9N7QylK/cdYye9f//sFkgYfqLaS
E4GAOsl04m8XSPM3boIK67lu8T9LBvNvF0j1m4BTKWi/sJfo4ZJw/P0CaVIjZOM1QdKR0BWZ2Pwz
N0gIIX+6QeKdknxQdTJqfw6UwMMMRNfhGc2A+q7wXA6CUxu+EZye/XWJUlJsXN9Hoxcagc5VR3Jx
w25fnaax9w9FEFTbKbRJL+Zj6OnTaCMCd+OeyWlGDQ11outSC2hr7RjIe36D0jj4ZrOqinY6ZAsz
KOUxeh7dtNnZLRtYU+nhnpWouhHYIJ+Ra1gr7SLcZWKgJRk8zIlxkHsA6WByHcoz6AthfcyiXi4d
idG749YW5leuM3Qjlm5PVRqHe4ee7V1C/nnbT326KsqBMy0e0fi+qPLWXJF6ca5mzE0Mr4ux/Qns
HjmfQa7x0OZaccHjH00nusyi00RJ5lVpQE72ncKHIyA/ZTzPCIsWUzBuJ1CSme4Oa98o5a4ILf9H
Ct+czVIapyru6RhqchA8SR9v4DSbe+En6kil8vTQUQ+rnxp8puaa1CJkKi5k+rI+Zeqc1xTkYFvs
SLEN/klhN//Aj90zDi01IoCawIrJOJWmlPonaMTk2WaK/UxLQrfXZWm8ULYz2mtdhZwWM5PtPmVX
WqOQ1z86s6P/rgPWuENiT3TE9UYdBg2dlUx5pD1oGgio8yxtn6/raFqcxDzvU+75AWu6Vp8QsMt3
rSRiuYK67661DJxKpNMp4c8xf0pUhkBIO7NuNxzPQcPMprFhLxHezBDZC5f/kvA08YQg6owLomb2
VQ28Cx62//IpibixY3IBCfvYmAMMU7z7HMFnq7HFOoVRiNcqcYKbDPbrwc2q8FahA64FzbVYPMpi
wMir1Tiuqy6cbv3AJ5taczWT/JHGbc2P+N7FI7cQRYLGo1VdIZlpcI9ybSi2FKdy/M35LodQahO0
c+F/TaXFz0TJhOLqIUJXWws+KuGGtjXjYluN/+7qXYLW6eMQVKMwNnMWqdijyxwmtVmJ/IoUFAQe
u6jvClzOdLK5OAe3HTHmtcG14hLRRvfF+AL4iI+zeMI8UIKSFHgowDe03aqkSg5HvpN23T7G2vjp
K216n8MZ/yXfVmEREuaX7nLmXoWBKiqEtIw+EWzquOfNiMTVquzTtj9nfe6YXprgCAfVZBR4t3ol
967KGMMaGrIEBLkZWo2EFgeNLl7461XYQS/nNqHuzcjG0QunDwJ3SxUSJktQEOAnsXj9ZN5aHNDm
AGy22cyYvKJ3bzkH+uooJlq1V8jw7iUdxx+G3ssD/c7qBxiOdK/raXuBtFlejUtz9SwqecuL4sq1
cMrxiRrs4J3uFRiBaLqHciKBVBsdgktqte6NnbjGPZQvCPDmHGLXzoae92nkOgnGbh4w4Ux1BOvH
cqmoHmo8zSR0gnvXKBmx9KX7k/gy8+yx1dj17Sj8iLBLfgR+3NPj7k9LX+cAH2UR3iaV3cYYrdsV
FSPU7klIz29ajWS5am0zg9Q368UVqojOnbUI3vhDsn0c6vptEwtOs9KllTkpNwCgLMhWRL4c/O4M
t5z0qp1M9ebIwKaIq0MutRvQRuuW6fymRAIju1SCJxGJ4DLXG0oduPwV5JGg03iOvbxrrW34V8B6
xz0Cu0OAIdPLzVg6/hXRkZTKD03HfFzVdlMul239HQXDfbSWigMO6+6lmNM7TM/DOkDTWvXSybdK
c8CzjqorHyzVu6esTMd1IGX0A0Sl5GI0Txu97/SdKTn/9bEZbVQTOWvw0MneiCCxp4pEvQJk6fGo
15tiWdNzOBZe1RKnsoJRvlIRgE8wCmW9UwNHo2RKo2uNde+c6ZbA0aLVXqj83sOe3lyoKpW3OHVA
L9WFQ803Ro+dNYTy1upk8iAaEvDCzt2QyV7Sbzr4uAgLY7wn7B7tuxxHUg78+1i6OMkkWmVBaTOh
DK8csvgcKNovN8Ic5g/s7c0+po73gmEXjsnY3lFI7KYeqyVzOq50xiv7tosLNGnSlVKTdTfrHK37
BkrXunL17Ag5ZMpvKCUZn+KxCL/iOAkuHO/8B6NkPMnTMbgfwdDEGMxqeS04Z78PcOqfCbfRVaHP
0JGiKdtLaHn2ygWSs80tCuNIZA72XTaa9lVaz/TQmPNw1deaZOoY2gbEe+GTCiPXMuvBwEUmwl4X
zuahJXnD+FS0lIdqcXpRdpNtImpZxQrfI7Aaxczo2rD7+V1juIA3gxEl6bWkwJWHvnYVRiTPAeJw
u+f4fjU7Wf8KkyDe6pLuSy4Oate7GUa3ZTxWrqibTaBDyPxYwVS/xlgPKGkGSfDTpGCPEy3LL/d6
JCvAtsTIO6f54c8OHqI5N7YEU7Tj7Mzdz8xhScaS0N+Dkwyw30pSlyZke3r9guTdiFz8D7lrBDdB
wkhqPZFP31ZKmWvS6+ahQ/dmN8AocrIHIU59pg+eq+ndrjRjQEGyYKXT+JpDJILkqqj88TZ2QmtH
bCI+NpZT8WpCe/IHzJAZ2wlGlcnfI9M1l0HV85bZtf3QxG5/G/aDSQHQxH5NAfvJIf8V6iI/NL0m
OQwQW1zZsWVfueyrH/+7x/j/C3kq38iSvzqhX70nTfj+Ofz8Wf7pZI56yin7b0wVQVCWjAeppwVv
/V/SjvEbsg6nckrtHNP9Fn3+E5ItfrP1hYRt2mwupBH4434/mTu/Gda3HsOJnYG9pbv/zMn8l/4w
a4mN2wLVUSygE10sN5I/5q4VcYmwNnMJ5DE7ulmzYytPr4KsfgNQyiZj64yA6eiMa4p36IAGCqY/
hUjLV0XTQ+mPX7uy5m47TzuSat2+rdrbmM2Xkg6xjOs1Yo9lIwGrpi8tmJCVDlNsUNRe99MR7C2n
no58Od6YtTHEN394N/6bXPmfiTHfvxy5YKF0UPU2d5lffrkYRmtL2lSCe4s9AfU78b/yurzVLfsf
JNh//U5yEejIUrlY07iA/UrED7Ra2H2WSa8RnEVJkAF2uCJ56Iky8P76lzJ/VeMsuayyyISWuaiF
C1v9j28Z++uQ4S7RvNzqf9h+BT00y5/bCS9o7YqD3xM7Sa0+8fTKKj2775o1tMJ+ZQdVyPhtoCKs
o+Issl/5rx4A7Z5hqs2eUvVLoA0nCILvgJqkKoFIWcVHjQESiiWXM9RxylQC1joVDVvf1DkBdM3B
pGF53fbJuJF0R3j0pLxb/fxaVdGbWdmclBJd/YOXWyzv3B8VSX55x4WZg/yJcRGV88+vAS3UYT+Z
musVjrMLY5iKGWnIMmy3JXcmt3gpM4tNpF8bYUpagSmi7LPPlO35r9+Mv6tCsKQt4CSYiLcSnP3S
3/unNyMcsVYFikNqy+IqqooDkma/0C7GFirSH2mXnGTMCSNNT3SrPRRqglke2ztOsukqc407s4Ny
NkYe8tSOE9j7HAdv2SQAyKvLP/hhf6UM2VTDsAgR8ViUZhaXP/+wsK0dLUE62ej6TGYd3QtYzIPs
9ftKs87c1B6arjiQr9nPo7WLKv0J/Y10ljRXIdfveo69XlCeg78a0GwI3tB6GMparv765/y7d5ef
k/oMgxA7j5Iyv/XoP5QaqoAqkyiyNY/uivvSAVrJuQRS2jDiCe6YVzeCpq4B0dNinJ3U8xs19vcU
EW06JrZ//cP8isT45Wdxltf0Dz+LbpUixe/te37OHLnUV4krCNSbyJvGrvmH3+57TfrjJ3v5fsj9
1J3yTtmG/ssHCtY1U/zUdj2zpa6mC8pi5bRUBGQIdZO8h1NgbB2o5FhDwTBWSwAcizQchPDNnkwT
ndpvNsGQpZxI8he/w23UuNssbh5myJUn+m3TdccscOur6M5FdQPm5K40c77ivCj3scXNFfIEKOze
gClcUMQWdCf6Lzkm5irbSFldpZUWbEF64tbG8r1vHSIPheK6TOQtXhk1nNfWnG//+o348xLL+Gh5
YXDJWexVwpbse396IzDFA0NteSMYdIDkCrbQ0sfYIfR4/utvZPz9Y8KsjJEYZ0i+kal+2TYUDA4j
93mmzdhGNkp+5krQSOaUpBldk9RaEz7H40Cr8Hxou+ny7+ydyY7cSJqtX6XQewqkcQZu98LpA909
POZJ2hARihDnyTjz6fujUpmliNQNVV305gK9KVROok80mp3/nO/gx/0cOPmy+Q6+yIBxntm8gLNf
FWrqywyJp5Wnscx2H79O4+8/zbev8524BkgIbbyqUyJH1tmkDdsmtRmfJvljwAMaEFTP2KHqaUVU
oEBnY3GSpJQ9p8LXOTOUx4ivnDNpUZiq1brPZrQ/yUbmJDCGFPa+QwdmbRkHYALpPVMwSBZ1e96X
UIuNqgOb2jIzVlCh+KlxYUvtEVrmicEtucKVMkz4qOFpbkrRdpx7yoexTZ6CqBLcR8P0ZTK7e5j4
FrUGUf8tRybg4BzKbdDV4RE/xbxNCVt8/Jn9/UfEbsc02PXwmEb7fHc3p63LdkMv3HVoBuctbBSz
7b1Yt3dBJbYfX0r71bXYc9i6KcDfmdq75/SYYJts9JI+B/KBh66bH+a40o8Vtab31J4ZZLiZURfT
qQm/hXY8eKXeVCsBtm01tLSCzBOxS4bI8hIX3m9e3Fs9drmZbEaT3LWIvtxN77d9WdJruemkNAXm
2WFi+GMqx7m++80n8H6nwlUcFWYpDBbN1sRiUPp57ZQiDbveykKkGsgd4yIOQGJb49fczXEEJavp
rqGFVU9Zbd4lw3RlUgSAVGZ4tlF0m3oG317LuMDrMl4iAkVnROnTlSRo+psNxa9eqeUYPBT5WaDj
vltcWk7FBKNA1zlWyaoSo+OCIDGjiqgWEhFBHHurqsHRAbD98YfETv7NTsYGRi/Qbmmo5qnMofDt
Z9RD453LsAzWeWXfB4PNEsMpzy3XeiGumZITbqx/c0ntV9e0NCFo/OIJS5/Z22u6+aQadmpiRKqD
XS4Wy2xcjYfKANsnYrb2efc1Svu7OjIIR1tPcMUjL1CeKX+molIpy3NA5uRIdMg4thcntx9/JMbf
FmDCkezv2ODacGXYub99fbScaKUqWmXdON0aMWIXmAGsR24XjA4wUdI5Oxr8iIZRfEtM2Buz9YW8
IYUAVvBZ1jOuWMsgO9B/S6Jom4/qNuzx1StpfDlQhFtF1N+YGM/dqvxq8bzFBRBuezSXfck/nisq
OJhI1tA/mjXWU/owzOZ1ytXbjuyv1ix4/mLbS4pgw2Ag0CzT33xD9vKUf7MLcARISJ2eUpN7h1nv
20+giOOW00Zkr/Gr3IrcvEKWgCiOGbui8s9jjC83pNRO1UgXAH0eXlaCwJcT2PY2bK5bOVwbkmCQ
Sk8oVVqGNwpY562NrY1ZsF2TAc5ddFpNl2dh01JyQVcnKhlBroH4FZkw5q4kdJFQnhyTuhsrdG56
HTuZiE8aUWmyTXuJn61P8KUMZL5pK5hfCCBVAB3qc9nF654Xqqk5brPxbEwS+gUR78caUm7brhVd
D1cUlO7a1jrhddrVnEE2owtkFsfAvDUK9PtRrzcl/Bcg3Ljj23xcT1o6biMoLPoI4ph/dMDm/3WQ
4UWZPdozXr329eMf498esrRlkVmHzamRqTPerwydVQSFjY1nrQuvnn3T9inApoKY7MAfX/r/9CB0
91qeP+Wvzf95o5j819u/bP746/C1XDh1b/4CDA/sm6vuVU7Xr0R+2j+tocu/+a/+w3/8S75YPC0f
jzgvXmIElJ+1kx//yQ9Yno35ddkKY2j4UyH5wxbraJ8MRD2D+jm6vVRjGV3+0E6E+ARBFfHEspdG
LY7lf2knmg2qVmgoLi68OR6A/5Z2wo347i7FW8XcDncu+gLO3GXo+vPzLe6t2jFKbOcVbaSKBxAI
HBrTJ5UgKSXHiN3uFnBdsHFzk5YfkeUAM60i2/KwqY9pkmi4EtUcM5ceuxWNPmG3EqK1qYjgSSB3
oqDCdNTiCPm1RKwMW4xhXhEP8kAAuX6cYzPjdiuzPQZ6WpvShLha3rebHn+NDxSzuIgZzLarOmx7
dw3gl37GPBUYJYA3wdUWhpTFXjiZcYw5Jbtg9oxmAwJWOWGtIpeoUttF3y1IpleoeTJfOYPmPtMK
6Xh4hJxTaSbxAVMmQSuqccszx9Sth0aFT7fR1IiIRQpPCK5ULAHOC70DPZAUyT1Ml8/DrManWMa3
AVQkXLR5j5fRkk9kJaOjIeroGuepdWPNRnZS40Ts6HhpNipDklU8UVnTT8pSSasiK8tsG5bFvHH5
6DYgNED81OTw1CIarmWxBFJc5+SUY3YU4cLyaNIXEVIMDro+vg4cM9lT4JRt8B9NX8a5tABczFTD
zKpSZF4MmTCjOVLXD2SNaNUhCYZRo+mImK7KzHSOCm1O1YoPDUcr5B48TNU4sH3ImXXeaeGsXlpT
A869zzJ37xSxaJaqlPoi1UegZA5Y9KcS3kS9H3rQ4FaIEI95lZRS6eQlJ93aISaYSwayx4HTKB30
lEWDxLWp3EA5D+H39CHDJ6ulkY+cIII3fTc4J6G6LfA3p47J+lBUvmWzzxN+SJPzEGrJedwryRfY
AWILkA/ibaJgqixBxhG+c527ivzQxmyd8Yxkan/RanbGV+n2zbQyRodBlBhkf+NoZQToNtbFQ2cO
1n1ZaXLwqkFqVy7GzwtLIL0Q+qBIoqOWwwdXPCD4df300KrI0LUZJ1dNHOkbegVCMqjxNIVnA2+p
33YZmSGTgybBMojh14QJHb+1U9W30nCpDMrzDPrjsiJXdnnKRNbyqL8RMkaoHHrGDNF9OdQY0NKp
P+9aPmOtsZPPo113l2Yp6c0zICU4srho6QbSp4lsUzfOV2md6SdojXxkTHU9SSj4RAZez3cZEzju
anKpu0FKJFKYPYzkKynkvOlcoo+08ozm2mC88krx1+dWz+QZobziNNTuiPF8SJJVMtu13zW5QZXB
WB6KuXFg3AotuEgaRk6rAhzwkQy+ZDY6aDHzMzW2r4o4a+41/FSUK0QZRWiuJh/BixT5WpMVO2Pb
KS3AZUE37gdHNN2+qAEyMyXTnemLQQGVftM4jMMasyhfsqXvIYS0aFnVmcNvn7ivVnex9gDoYBz3
UUJaAV9zTwy61I1U/apbQeCeQTxIEwabesxXQeUzDkkbyx72+xhEm9ZPdxQraWuza3GZidGAu1jG
9Y44DtG9uQVUvIX4ApONJVpNN7bZZQ9xPNLN40rF9Fjs77vaHc40vW0oBFWLu0yaJp5HAf2e2fGo
vtg2Cho4yOzE/DSls1EJtn2bQPQqplm/KCkZfYampn3OJJsQW7amP3IXscJW4dYhQ3w7xEJrGOzT
cTNihazLl7Bvy6vZsILXRGkmP7XZz8hhBF4vVP5gja54SCn6vMCmQt1sbqF3GY5n2I0Tei0O7vF6
amq757CC9WzLnmE29iExgTU8H7aJMaZDyw/EyKkr7xBoTrQxVmIPx5chqCkoLVlpaTjfJrSIgz+M
sGphoAOJxDbYAIMszCIEedy46Wk0S4XHS0jLoRbRADZ3HCdFtbSZu0uhmVvyVWbhBXTH7ExCtMIn
P44c1o2QkkgePKt8aCqYdckMCdq1ht00jvkpJHp0Z8bAlFuCuUQlDVF96YhrWZ5MuSWo8Blx/9td
vdAXFWfeou8yNM2zyk78lIQmrMI4n76qRo3m2aeT+xzVCvnFKsFLuwLMBt9vAu0JEtReHBpqPmEy
M2LToEkgotiwsWmj2ID4tqNjYOlRvLY6Ql08wcoivrBLVWIspZpjn7BN3w8VZvhTZhBq0k2Lu6BR
8mPJCNcH+giQC4oedWkly6Q6RO01/S/ttsmk+lS387XR2zDYAvq8btQxNQCZKqSJkcOkjf0Dakuz
EnNqPclwUrN1Wo3Wg8SN6xIvq2CmpO3cR5uutmYLq97CqFDLpPVAsE+vZK3UOwadw03rhi2NhP3U
Ak8AAU1jEIK0IoxrramNBzz7+ZEF2zg0Jk0WZkL31zBMpxkm5uiRcR+gAKZns0tfVcsNC6g0m1/y
rMQb2umLYZVCEODucZQ3S98OuedVXedyAiVBo/IOWqn+jY3T1G0rxcmnKz1UoztgYv3yp9M3Cu7A
Cne4TvU7aGSsd0hOLU0Z5XLCkHndXih2lwULYtV9qDKXggei09DAqbLQfeCgfcDJMMCAaEXs11ZY
WFJz3aQNXzRd5El+0eDLbDdO32SfqWZSL2QCO3TF5ADShuyngj2EO1a4VLLuc50X+UUnZmVdhgHc
wTA0m5tmNmieZrQmPLMDn7Ih+spCo+bRkuUUNeAIvMwXvOv6EER4f32rUocRKkfXvDZZpOrrPBxC
h+oh17D9cgJlRtmqbkeegz7VeJEasWCDaFAaLE75cLJHtaI9r2itpcpRq140Dqypx/mrPDQRnlzP
GOqvDsKAX5HX+NoZ/RwDIw+IpLYCXLnHk2mmUKlO2DkkavjZRNg6g3bePyhxBjVLnZrk1GvlnTNw
8MGkFockehDtj7lskk2S90lHoLZ4YepAxGiAlT6DotnLOuU77zurOx/TykXaU6nQCMp0ZE1JEF8z
C0zfFit0fZnE88wtH5DwX2VYfCU29xpve0e0F1WD8842BGZObieHFJamYN03CiaQo2I44V2H/+aV
04POLU0DX7kpu6XuPp4LfnpLnHw9Ex6qWZU7Mhh1Y1ierekWiHiR0CrUdcF9X8sCB3Mkd9Jqxaqq
swrf1gRVaYp2bEj9VE0tIOwJpAtjYgoI+x9/fToymNAdWB70ShrYQ2yWwDhPmwfcvJTghe3o8dxn
PUn5VS598YHfhjT+lKSQbmtaSbysJTaPU3LEuW1lmddItX4OZQ4Jbo4i/euYl2AciX2k5fyZaeZr
H+PLVjCZ+U0gegIiE330K2NyzJXblRaUxQDRZJUC8d1NNLNPmA+l+qgZPI0eorpU8tU86ual3lvO
fo7xAm90iWXdD9sq06gX5FDMQlukz1VoMqmaWSDWKKrEhS0nUnqP5H/lSx4XXsszYD/GGJNLNx7u
sW/UtANlYtg1lOZ0gJeOvbAjBUAAuH8fmqIzrmRR4EkiSkEmlSYluTJrXrRup/kz8yv5KNAASLD3
qfIqDQUzG/oDf/boyCtWIFV4napX5AXSsiG4MbjA+rQQNKatu5dpUsgbRHlMD4GVZtVqmMCnWLEN
v7apkkJbs0GbPjvOWH2Fu8fdYbdFDe1e1dkYxkVUPrlW19zi0NTPmCWJy3zUmjtHh3u80Suql6kC
siaes+FEWj9W3J0hytHn1zOg3kRq92LgZo/9co7dI5rRQusp7WoZSg8O5o1JL/p10lDDKVTKa7Ms
N8KV0tjhIxN0CzvGQLIhA36BO6zU29Zjy6Y9uU7THTQQfAQP8xJUnrNswfo2ZD+Qg0Fgc6Az5mFP
2GAamZqzKWDMvar7qQLSCJ7K3UWFkVODMSRPyTDYp8xREx3BiDJVPjM4M70D4bBvtQiHV1wEwRrc
wX1DdPrIzUqCLR4Ur6907aCRGFk5egqN06Syk1WVCmYbWy0wEDcwMGgmegSDcArv6CKmo8ylVG0l
6W98HkGlncnKdMXKjskaMoSQ2rPewVIZ1SgkJpfS+jdxboTJVKHFj0eAURRdzWmycfUIunIyF5cA
YxLB6DK0PLfJWFiADe4HpgGeySL55GaqvSqdzvxCo+T8PGY1A6bKmcLTBErjuRIlaY0xC2864tmP
5JJV0Agh5z+bZ8h5X1WAYCCugxW1bNHCO3VM7PYEoHCZxVIeBbfFhpYxgFP0+pH3m7yiuJko8qKy
j/d9hYvB8Uqjgp3e2a59nMIiy71ubLP7JtIjf4RewYTSyubIw+kfvVh6xWaxDJxNbdr5rpD6HJKt
LKJj2LrdpaUF0R7iL9hUs89uWC/qs1DnbbAzYtjTQzAmos4Dd5qn/lYM2MX4QgOOX5/thNV2dI3w
pi7n30jm72cG2ERUdASUJjR6iP7v5hOVaQ52tjB2a4gwPPtt5vZjacGgnnRaJTNKqV/+PX0L/R8T
CCqjqyLVW4uQ8rOG4eh8lXrVzjvCb8kVfs/2HHwVttlCsw8xk8idtlivP77oewF6eZs6AH3HxXMl
tKUy6OeLilgr58BOx90QhTDI3aG9RElF86a06raaZUcEd7L2zTDUf8h5/9Mi2yn+SjSr/Na+ldW+
S2VfS5qB6TBs/+v/IylOVx0TafP/HlG/idM0zn+W4n78Jz+kOOeTK4ibG0wplhTBMsv5IcU5nxYX
E5NqZjzf//6fQpzzSRP8DZdmMs00eVb8JcSRT1/KjhD1GOQyHaNO6k8V8oetBwGTYAf65Y+//kfR
5Qt9pG3+8z+Wzoyf1HK8AgYanMnYBscAQ1vznVoeECguhkII3+AkeJgliFi4XicDh/zBHum+o06o
WhuL4X2owvEuHtLwUGgFxwq1jdaai8c5F73zNYkabR20lX1Nmd24L5WqPWFMj34j77/9+f/99b77
+WOhttrYmeizjrPBn4zlgET4nWFgsFYrlSEgBs4Tz+XgNyNj9OrffFTvZsaVZeSVrPTJj0MoxjMT
2XNOds52rsdyk3RKueboAfBPQ+tLhXkx9nIE+OTm4Prc0EsqU9LyXJhLSCBflQuoCKnzQriCVoaK
T8/Sx4tMD8JTwGjci+2Ss4IsVL/Bbl4RSZBZfJcmqomLG2grDoLM6R9TOOjzmgR4fVlGOQknYoWM
G6jeSxeaV5pB0MkqkR8oyixPnMHikySh8TnqhnatKVV5FtPnuJnyud4ihGzUAvB3pJLpC3eoMwoD
6gja66Cpd8ZQjnvKhWEDgnEjWBvG28TuvibSbRiDlJR4kBdTebYryXYuF5B2WBOfhH6+K0UC4Da4
6KbhqgZpwAK1HjLl0WgK99hmsKWnxH1oZgGs161Ysw2VklVLnCVzeMpz6hsr9kdrZ4IFCviSoooq
W/WO/dTm/QyUlRGOcJMDkD22Mv10wQPc3Daw0TYdjhNPifT2UAH9YUQeiHWAU7nklLQdpcrWsbzl
yHgI5ilYw0NZ91hVhBLSTVgfeNiZZFXVGvKmMQKOWVL4s+gJhjnGRgzs/IpxoYpOarnhjRFmi+nl
MKWlfhlCGW6skMjf4tydfGJKFEi5+oG7BuRCdwwmF36dI3qKecdbRNr+aszHFs+doa4qq9syR6p8
FUA5DxJkEMlpXrp8J1EJqsTtMIv0Ok0UbmRszBRJvHGsAJnUUndgKoO9QWLAowAx2tQlZwTmkSY5
dCzn/QgSWxlr3L0cXIDveX2UA9OSxAwiwM1xy695NHVli7sQEJHD01xPu+kIlZP2ixiUl9rnz4Zd
3LaQbSTdOLu6hngZObc8K9eN1ZFPzPgszQFmEjKwb+lUuqc1dU2FjeCaCQeZpavWgxusut41fTrM
bRh9wc4y70F4p57UJ4dNHT55nXb2tUJowguyZI2XTq5q20l2dTZca4WqHhU45itrGIf1mKEFlVXL
NoeSmxs0JGU92fZuHIwbzNCA9p2R0/4UcSLpknPLGbHqYL1e05/Sem2iMihTxE4ZMLULBVCMhfFb
0All5i4g+HRf58517GBYq6fxth1jNMPYa9vovCef6ZfmvB4Qssbmfs7qC7tGKbPV7jqKKucOfkS8
xVGwKdSO4CKnUyuUJ3hT6ykvbtEuN2J0t3WUf8V4vGln5v2Eg3uvFk3kNbpxDrI62sE1XcVJfRUP
7gHvJC0T4SEJCnHKrVoRq4A62m0IrWgp9yybZ3ZMJp97od6MDdKGyMS10qh4kGJMYIXbj197GAgI
/pLwKGlF9ynK2FGrvK09tmec2CStJ0TnDsGnrrItIX9MktFSWY0y68sqZgySklfG1xKuJdXHV04g
AuoJSAIsRg4/QxRdIkxyjfRxh5guPFa/4TipQ3crXYfFglABJxlFZVejNRxD7HhagThRzwAJqHu3
7uR1TW3X5dDplR+XkI2CIeFfTGhKoZU08iiFV8/IfVxQx3uQQp82ppXeTkXSHlKQEfwEjfsO2ClI
DAoNsikkdC2KBqgHHlxROx1G9iBat0YGYJFOoVWS4mtfqJz70B6RIhSp7pQwhjqpAvJ0y8Z8zAuF
Cu2Z9Y4TST47iV8MTsLJz5p9OWBiUrTymx0WPvSwdmdajEGVPk39xo0/64o0NkYcXNmATzyNIpIt
aYZhlfZLAY6SaPuc8+H5LH/nZGSz8f6BT7GkoP5O1xDp7HfbZE0x4B+ljebDy4MRlVt+nhAejCPz
+NMe6Fdbi7dWhO+P6jdXere1wC1ZREwpdL8POyIbgQvchLo1qDOwgVPr2RKISaNJKsJdVt7KZhf7
8UvQlyniP70Af7wEcsP4NBYjuWu/c0M4ZTEkRTNrPquVXaGPC8XDd8vYIrPttSLxSQJZgVA9V62f
FqASIOADx+hd9agmQX1ke03ovCkfafWWV+lAj18aycXaQtDr3LRnwgSaGq+TnpoZSrQLX4xjQ1nJ
xCJYqAdZq45vVxQNWjZD9xaAZS7zK16HwkgyY77717bzFx/5r77bn9/uuwNJYmSkw1JT89HRgmvC
fLo3TeT0SGHM3seXenva+vHJ2suUmP9hyLz885+8ndqgBHmbjpofd/Y32GD1ajKNL0hPxVqa1ePH
F/ub1Z5vkNPOP6+2OA1+upoSB3k/lonwzbi/nDtTf9DzqNsnQ/iixbRL1lbaXna0S5LcEbPfKhTT
iJQxpUP0/eQmJPD4JinfaHeZVY/bpOnaBX6HTDpSmxWTDV/AfMDF28Rci6ksLjlOobqn8EqyEdyx
oKAEOoVC7yWbknrZnhjsUz5+n28NE98/VHb8yEE2fmje7ruheJqDRlF4jvhWbYJssSj3zXWRsnWz
lEsmjmiNXU27+MdX1X5xo7657Ls9tYCoLxma6r5imMtEz3yxUzDig4TVEUtVORTTeA71T16iA5Ub
e0CW/394CSxKhD+AODn4Et5+wWAnxwZWnubrMTjJhkdibDbQ5ywk8tZUVlllXZgOsPFEt76w6tfb
j1/AL37O7s/Xf3fnLEQRopuh4bdZ90Vv4pGu0UA/5LXFD1sJzz6+2nJSeLcs8U5VQKOqJrDiv3u3
0cB0si0d1Tf1JjnTBtKZMbT8zcdX+cVq8OYq795To6t6n5ml4ecMaFcDb3DVIAq3OdGGf/9Ky1tR
hWNyWv3bYlC5XTHPlurPAfCFwdEeKG7ZL5y9j6/zy1/qzxd6tw5w/ujaIJMGT5PKfo0HMCDCNnZu
5wBzAVB/k4Z0CwIeYXtcLxtlUbXVbzzOvzgyG6pqC25RVbguZ/e3v9UgGofajgPd7+yk8mcG+bfM
0rQ9g1jdr/TxrqzcdB32IT2BRNqXMuLas+sMW3GuPNFllDLeUBbaf9MUxzTMHyyKFy+1WNwnkgKp
jz8z/e8/NgRn7AJAJpZXjHHn7dqp9WmQUyHhY5E5FpNJRi8CKE5qVPUsZT6NrjVuqk5lpo4rI4Sm
zciD7UjMlGRtmgUJagKLa0mZH9vUYJOUGoZLzjSNAuCWQ8S3qhrCvVovSV7dOGp2D1Auh1DfT47l
VUrcbqq5ZG9Fkdeqz16xSWqraahzsjW9cdY0zfX3t/y/QtXtVL3+5388veQ0X8UNltGv7c+qE44t
fpdLgOqvTcPfqlZvZVx1kn3FHy60/Qua0F//2R96lSs+0Y9FUg6NibX4OxzxD73K1T6RCEPJooJj
sSX/BMQQxifTJFGEJOqwHdAFa9qfREWB/uUuUT26WVVGe/+WYmW8t445BAwsDOiYGQhwob2+u/+q
IlUUhJ+ORYCDSZcyH1MGx897dHXNHR8dC5hbj8vDM5sUJkLZvo5CPJDgeeRXqV4HNa4Msx5e2im2
Vyl6yaYdLYD2iqasxrYublJoz0e7p4aOYlPU+Z5ALVzQK6tS0vWAB4zaFsAB1Dee21VKT0w8RZup
NB+ZRNVbi1xDaaivhK4vtQkGeRYy1qQQxwAzrbwYoX6OrwXOY6nUX2jcI9dr9XDZkG2ZWOsBVw37
L3GT+Qq2MInhHJYQSKgV42bKuwIw58JUNmo9wdfWk4IGNls/tjRvHyqFgHpUQH3GMGCQ+1Gz6T5w
w1s1Tp+GSFKl3NI02kNCOuGBMuH8jxBuS7xtUTd1q0QY3TUMNhTt1DirLG3kaEf4bw6mku50V2H4
ocWtu7Jx8QyrxNS6b1rnnjdTaG00qdtXmC5Uz60icMVNupsaM/fYVhcnOyErrIxN8KzXoeJbBhhv
oOUVc4ea4+AAYBUVvTqoWWg9t9b0RY7UzemoUvih+sYTbsb/K/TqubNc5RRYuNfcoQJg3g4JoArT
oLkE8ZsYzSslarDz0dcupJq42wGWyKpLNLHSVAjU9KQYG2iaHaPFWh7qfBTXTjO/MGiJMTuN9cVA
8uwR/NojuZXIG9KJnZ+bqKu8gThZpx3LN2PVeVJSyrazb3CfU98u3S9um6Vrq+dfn9tsiraDZuMn
zNUDEyJ+AEwXfbWS4NTs7DYm/2W3TUILAUtpHo4EyMCurVNbpBt0qxALVZhdox05nsbw0ZtTVwfM
u+QFK+PO1pNgY4eKeeqS+oHfq/s6qgXqHVDx81kQgchbbJN91dxiMbgFmr+xSiZc6tzQyESxeg/+
edfA6sJRQZS/GFU/aZtrzawIdreEvRmbNVuQuO29GmKTwXR+jc3pljK3y0JX+M1yv6MaGTg4eows
K7dnqsfZJwxOiS5qucs51O+LII6ZmE8kRw1rrDaaqSjrSKYZeACRbUqDlDvbvmpr8Ru8CNumP3AC
i33S4MA1o4jlzG12Mw/xjvMYroNM6kccWMl1kxjOTlSUVnHYudfCZrzJKSM5DGy8fK0lR9oa1p0G
ZnKXxn1+nyXUjvNVcbo2p55RedLS2dspuN7Lahlni5qG0SY8zNPApi/oiTetNFOKdRcAbakk7Xol
OTZrnN1zqnjGq3AkalbRUr8ZkSW8trEOhDr0C1UGdJkF5ryy3AHFT4OiNlVOd6Emcw6Gxpq/MpOF
uT+TYRns0mf2iQGtmrWrgEPzmuBviCY1lgz5XA6tTWB7vRXSUdcudBWrcmJfRMuDOc9gV0xg/Nfu
oHQPU+NadwCKbb+mSeOBuWPgKaqdbM1eTXbYWaN9YtewcmwzvnPjirFdWYOHx7IprjM8HOduLuEN
uVnyYBXiQY1kuy2tiXZFRIyKIEnV9uK1rzR6NQeL7qS4aTBF9RY7nZHiM8bxK9ttqueYUexrrzf5
hc0s7oBuNfgYcDOPfZvpKXaWbrU5fHCMrDpXpHMMlFysbWvV4q3w3ALGaD7p5eIxgYEdCO7cWE/W
+eL/qvrIPhpZnlwOc1CdBVqbXEQ4MrxS7c46K+53udHWD0hsGIKhFZ23NUmQaJLqGn8e/qilNgZU
W3LXAxTbZsM0XwfRfDWaWAGFw0i+nAYq1ZLuiueQsu/KoN6yhw+fZZnPvpbBzB5rdTPrtDiVomgv
yhSYi+PMMbkTQheFiM9GJ0oxghrllZmoi8MTPhAxZ4UIOJQHfXSC9TRDV+G3S+xYMRWihEptrr83
aqkylWej0lIlmjMjCHL4O72tswrH5qumwb90rUzz8Ntf5dL6Ggtn8oIEPofhMjXGf6NvABgNi9Ax
b/oOyE4epMaaUsl71Sh5Ki6vQeDI3IRoiF7ZuuLB6bmbge9bG8xD7glisYBzA2UG4pweDs8KJlg0
sWKQt6JyvplYcPKhY/XVfAfJbkMi9QKnpLsa+1RX1jAYBkIkUbftnVRZmUqCgUyrTkxwk/uKWdSm
FuawcefoHh76zlSoBYWkJak5VtzPHCWwx7nVSznyg7Ka7LavU9tLaClaF5l6PvcgRlziwjztkjv2
SWLfKYrryeWbxsMTbHVMvbiDWXpIrb0UYn6mueFLD2iFDxW5cJNhA8FtiOvHTIv4QHjuMo5qeXLA
biD3i6tYsxBPgp7JOXXTawe61krOwH2MxNb9pk/lbaiD1ZubEIwJ6H1fH8snVWEVsnJyWiLYWK35
PFGijQL+kgMw4SRLLTnN2y//u939HrT4V7a7ZAQ/2u6un17k0z+eipd/nD+FT/If/lP/msV/2/1+
/1N+QCf0T5Ql4bJduGsgIpiv/pjW2uxjvwMK2BFTSCgcNp5/zmtVtszkJtiemZr5nSvw5+ZX/aQu
KRgSF4I4jIq09W48+9G49q1MwYbMha+A3wA+uQYpQX0n3gLSRqEPsoBZLHdjMu6wuG61RqzT0dj9
9Dn9QkvU3opRy3tnc61p6G6YzwiUvbtWmDMbrNARNzxu4WnT75fXPjHZbVGaW1Awn3PYBO3w4Opb
xZ4vQhhKXqQ/Ztx5Ih6PI+VZPET837yqt6LGj1elCwPPIi+PUP7b02xAz6Fr5XWwqaKJwoB6n1kL
fI7e1qV2eWbKZSu5Z0lr69AU5ob9egqMfBWE1c6k3UBUVx+/IPH9M/+nmPP9FTkC1Y54Bt+Jyenm
zfmapEKluGpIS97cRTuR4FwuTOOaHE1wMUbMmSpTyS6qrO/karTmQ1wWOeXRJrvtFJ4W5TmgqArz
itUhO+ooGUc4TRR2Fdtq7CTPlOELZcwZ55CesJlVFieLARCS0Ygre2KcDCiQZhRlozeUTUbuailt
xV6zriPTownvpMK7cKtkCy95nWTGyU27bRfFB0u5HkR5PeP3E6EB2htLv4M7j1w7U0oS2BgELQq5
ahr/LOHH7DVq+Tjlyl5B0Jj7Z6U4UmgGXHfQDwsLXRh+6t73Xf8A3Ik2yomxVTXae6MlndntHbSQ
jNZlQHM0y2awt0JM4weYtOc0NnrERqg2nTa5HRxMmrVTgzFLkJ1N5nADAe2AJ4YRib7EF3Av5e22
Tpxpu4zShbDXwuJ4geW3M+Spj6wtUM7RBmJvcM1sYMfeg3UrV435QHrykOQmltR0r2UkWcD2aXG/
RY73ErMEew5JK2v4eLiMS1dIPVyX0rzi+2QKhOrTMiibh35tmyMEPrnW6ufIvqAi7qyY21UMRmtQ
QB2rLqlQ7sze2ZAr95T4Jh1KX5HnU2VvaWx66tnCG8Yz7oH/Zu/MeuPGsi39V+5TPzUFTofkQQMN
dMyhGBSaLNkvhCxZnOeZv74/SnKm7HRmZcK4KOOihHypkhVSMMhzzt57rW99qqrHlAhuz0FH6MmL
isavHE5EYm4c5n+JY6+CBIAXPqKjKkUOFN/95NFNOgwcMhCVRxdKHrLjjn1Wzz1uLb125Qn8d/bo
GQUID8T7CVy+nAA1UNJfMGH6l/roIS8EDmfNDDE9NFOq96TtspmV2lqj31r4nRjUe83HrmWe2JDj
vUatRxYV2QHeB7C6KaM0g8xHN+Uwq0caNh5XNMk1u3Cz0iAALmoCrUCHdZNfB2h4/yCwWm7AITSU
HkXrHfw2D/ZGY1yIsrIuyxEac60nbw3e//SE/vUmye1vsJH8eU9o2hpj9sjvtsW3n3trCokzferP
Izqi9Qk5htnEW1MISio7nCmnCRsIo2l483VbtOj8CLr50CdexEr0Jr/uiwBU2cw46rHbMu/Q7X+y
L+qSV3rXUscrDweKGREyKwnSF2Hct6vw6FTQCYcw2Q4Bs9/UfgALIHkYy+TomwOZCHFD9oKS0JyN
gPOAI18Xah8/9MQAH0Kn0mZ95axDQcqPn3eUuFTl8OVvPTMBgwxOvmdGagfzIZo6AmZ72ZbocDrd
AHOfN/F15UfKPJRluXF882M4dSwq6zBUrAgEry99YjZmdeteNlDarTSZAj6QTVPFk1TgOqsSrz/t
YbGH/mk92Ehy1i3R5VWmE9jsyPGArpZdo6thAsUkirUMvxvF6VaYvdA8haiQTAejb9wQQ1AwOp71
mk0idIkdQKK48U1aLvKJfZKw6oSoG205VPpVkBBGX0L/1Jtg3mT6M0GC/bniu4yES2Aqa7IsrgOu
7QWTYk4BxPeuezu4RV0zxXTtG8HFlHVu7MOBtxwY0dFM63WhQHIG+H8wBAQlR80SCPYknunDeHQ/
VKw5s6ogTsgvmnNT8+PjAMPRIlw1LgiuMlEzJWYx15z0ucYeQLkTrjTMQL0zmZTCm0J6Wz+nYizJ
Y0etk8+YHHoLZQw3ytBcKrpolx5OotsmGMUW0TPtbb1fkEG1HPKGS2MX3gbOo39N5NoVho7PE6Ca
KteMV30/ONheEvNCGCWeADEib8b7NB8A0K6d2nQpkxyx1ZlZ3xhJdmVEhUkOEf5QgBA+KPzYhf1d
VXW+riFgXvQWajRxizwTckNopaeuVLA6tO3BU80LP0SREll3Xjwc4xDCSN1wkgs7rOVltSU9lI6N
d9d5XblDxzWIAW53Ux3Lsn6O0msVWwCloTQ2ws7j+UDnbllrS2Lt5uoUWF9IQ5m7/cgZBGP50Kp7
hpwcGuB7Oo6zyoph21fqrZt80GPCu3I/URa9Nf3ucFuoyqyMc/VWx2g6Z+/GgO7P9GqV+ikmDcys
68JFQSK0B5N84R2y/Oc4lIdJa4tdDmFEcTJqZ96m4QLo7lVJ0OzHtlT5mSALlia5mNfSSldouwte
d7Ah0ielcjH6eAE0tLSrQGpEkBuOeMzNotnVZRTU82oQ1inGR3JO0tmwC83SYUcpfHRNKfYLdI4Y
UstmG5OCcRcaHkE01G7B3tfRtPmhhwTPLr2bysY3w60KgitTh49DxGAeDV128i3ywmwiPT9RRxLn
ZwYjavYoou2SWjsfr8EO74jF3tZ1q1rTPErPsQfRaiY3pFf3N06eNOehmie3WImqFcHfpTcrc1k+
1PSUFgWms6PZSXFAmpnvOR10l1qTGkehjc15rZbaRy2MG3p7Wb/qOevuCgK3t6UvxcVYZv4XiJ3s
nFUylE850OQOWjxXnUzS4BDmWP/EBFCNXXBbc3Rd6glvgXrVGW1x1Fxd2ydR5t/Se5CHQopyz61i
7w2cgnvOCjVcmjIgmQKexhpRYHykPvCYieOJDzEDpf/iMG+8tOp/PzszKJAME4BUsXAzOqDO+HbV
jug0Qm4Zva3jeTFM6zJrt2HVVkeURSmNN9RYucZIcdC1ZsGcFHEV1I+l6BVvadbNrdVWygquOuxc
O0SUWcOQWwgvUFeEWeJOMgPvIyhWuExB5omTlarhrlaTo+1aJvE6cjzR46amd534MHgxH1SBxcsl
Y63kqL/Bf4UfR6vEzB/ETVmCqm+wH16gbkPn0w2Ne5N3HZJFKQaCTit7JNPbT3lh/L0+vTvLzod1
OvpuM68CYmLWxIn74bJ1zeyjovmYizkBYdMdtfQWU5XzkVjh8yrGFg984qqxlXUa1EQAGdYiZ3Q3
L2qbyZBKagWn8b1iMLAeEq3mrzKu8r7e+3l57Za2M88ztWYGIs4VxFzzkTbsEgJtNDOUZpzbXTgg
OUp22MPanVtmexuGCZvlIFZAUFcdPut52BAdgBcrmxWd5T36rejO05acIcWbRKE2zrlsCJkHSC1e
wa8Or/IRNEbeeMmxGTt7Ld2EW2mkyY0bHOhhlwt7PzRhtQ+EIg+NwE3nq56+9wKrOIJUUa8y+AMn
P4IyAz61rXd81v0e5m5w6NRaHmjJcL/Tb6qeUFW15oyy3v+Coy+d96Xbr8rpSRmmZ8aZnh59eo4I
kcPKCgzl3HdB8UdK2l/mRUB8qJqyP/sVKHX69AABy+qhGBKoZBz6q1U0PcFyepYRb/U3KO7Tm3Z6
0oXG7pO3RkeHinUgmFaEYeysXW7CRGqLdLoPCufamdaQYFpNxmldGacVxpzWGjGtOvW0/pDm493A
ZS03ZDar28jRgn3qWSxZfV0mdyUA1S0gW7nNiTzfQclD6wbb5CGM9WFHxCDTEiuyT4RHsjBK/vWO
A4j1SBPaX/ehVa84WVsn/rVyARfKIoZyINk2QGgzH5j2pHPVLTFAVaPkhAKbjbftyAjPlS7ssFsx
4+7DBamOVjKHW1IOm8T0k/aY2iEIA1EIHPR0e8eFLnshN2SSuuFkx/byO4aUiKAx/uXEHqaEH24y
r2y9vU7ZQNeUhEfQeDWpU0tiPYaOxy6QOPsApZszx/cHjzSgvvCWyShG9msBU2BemlNjLU/DbO0U
tXFh4GA7OF4viOuxtVUsDXRXIYFHFaK5CJQxTpp1YflxvEQmibPNZQQF/z1nBAV9Ygo4Qws0K+3R
V5ZNEnMCoi2MrNFm2bwf4xhLNsW5xtoyhKHkFtMKbV8atX4VEcFe5GlBQjZZOgS5dVjtwH/Xerqp
kKmgiq5v63ZvjVBYPFc94ObIDyYpMBRmijvnjOoj7Q7cuWpjY9PQAc9y6WFEzHKEtqbN4K4NP+Xk
payGsHvUUqI0nNKYO5IgY1ctumNW84xaVfk5sD/DlJPng874yrIHnTYB24CRFSbhsuqaJNRLehFX
Yca0oo+dk+Z2LlJk2yIJp1Rx4Zr2rrZ6axNnboKxyjjHi3mVRQ17XqAZe4X9f6mO+SMMOWX6jIDP
DLmBhao7sZ3fjloePAuz87dEbLUz/I7jLmRUMes7hkek4AyLUCuGZ5lp3IONl+UGpsJaDRGWBvZ/
Ewnmf5xJhSH+VK8h7vjzOu/wxfMp9IaHHxR6/OBv038bAxlFmTZpJl/wMG9uFQkChhk/UCUGyq/f
+b3QozE5oeFsZv80KGnb/V7oqbrKqsisnmEGBrN/VOi9gDZ/PzJQ6E3QXwMVwsQck1A5vj0yMM6o
HcHduyllSW4qmmpr8v+NwDbJmPCfwHPH59zPfb6lY9dcm9rgoMLvYMqvPOkatwXO6i3+ZIvFBGF6
z3SG0AaMwrhF1yDDjVtZ2cYBJZN6kSiKqE+GSBkG2L10GqgCZig3hLU60VodnCLfq5A/tkMFFFAI
z/eWhNpzviTFTp21SlzPm0bDKac1xc5pbBwSENdn4ETlUlOR8hWpc6WOJZJ8Qz0OQ9bOZJST+BxV
bflYxEXewe+uEpiSpuft1bCSJJcRDbQXfoUyvjOn+BwCfdfmGCcbuylxc+uBvnGF00PqG40NKWLM
C81CMogferK9Y4DnnW/IGyeTzhrLXnfInVjOwyFpCawyVPy30OPIzEnpJ1qMgWibfmgzp2uu3KzP
ydeusiuNPYtOVw7mHGck4qO9zgrE/DXt2suiJTkC1jbz3X0R1GEHALltDZaE2IvgoRc9IDDNZQ/0
FIZmswH7Px04bYCPEhMDoF2OmpDDRek5VnqpmYQIcogo3HJDZm3pUv052rht1NoKz7FYS6L3QleD
Gk/63LgyWj++b7G3o0RPylpn1ki5wzhZNyPKJz0aiByo2mblWlW7tomLfVIz7CXzJE8kdsdG+yDc
TpYLkOXeigSgZyn7XaNgsUGyrO9hAmCQJFlto9CDvbctfD6+6p66PrVm7Cw1wK0+oRQqO3whRXDJ
yYsTqRrj+ondsJ8VQsWSbKbVk5G02Op1xQ/WAUZ4bRFnKlnNzHhv2IMnWrvNAHaRBLVzHWvKsO9c
ChKTBMVJIIT5MuLsS18Orj3D6XXkkS2g2kwyp0TDpRo45xzj5JID/3jjpoG2aotMnFsM92d+qKyD
VFMvPMTvmJer68EMA6K8reqCXBh3hSzRw2pkUG6YuJSjGao6O5kVRFeSPs/Ibk9fx1nwWiUGhjjZ
l4WJ/1MLzeCGu7XZZfSK4KjpDFQJ2Q7C7eBFXU6GV7OgAWHNYhRpW6/togvpuO3Hms/WRbvn4pnw
9B51y9CR6zYblY4QcvICISTYH/ogSC6LAUdRR0YIZq/xQxK2wRNujW5ZOnZ+nTQeiTV+E3Ldw2Ft
YUL6aEvECLEyNoe8Hr5kTUNMcz7oyRLyAMpvJQwJsLKV6D5XOuu6y4ClcUKO7E/5UGugkwhm3nZx
i0i/7+Hq6cxYLUVvlqItmpValMV6lHY3L3sRzxPNYK4Mw3Jull68iaVyDmnAYoVJ+oMl1ObeVSvG
tZUXnzxpFOeTE/y8GHx5MTVrH8yudetXje9/2p9/r/35l5K4w0M6aeJ+sCnyY2+bonmG3EMFVmbi
lXwfMoxYbsKlEbQpTGKgvjFxijPUaQjyNJOdlMkgLdOvm6JxNrHPBK8IXEUa9Gf/wVQQM+n33U9L
8GtsGrRCqJpwpu7oO328KKo0V9RIbsIySDaYm3BxBvKc9Aljltee7gEJ628iJwRrgiZ4TqZEf5tg
+79OteAOW1lxUApnvPJccvls6I9XVWteakT4zqIRAKlGjiPOhkxFX8XAe+aX7geY3smhjpRtVbqA
XRqn2cVRdaWk0TQo6f3PQqEVJICWsYPExDIgwJth9IvCWYWHaEZPh2KSLu24yBHA3UisClBsa5fh
ypAfOMrjnRbFgBYEuxvLv4uGJY8IkkulKTaykv017U7/PsjzLxExvfbCq42ixJ4Wfgr08HOHi3YT
mOYxhIgLIgeEcwcydIGTqlqk5vA8iaUWZpMWxx76FnpWN7mCEQCuKhKboWFR7bDkz8tAUEKXnUZ1
F2Ab84N78oitGSwkemwvqVJV1RWzThhbVStBtAFERGoFGLPUqYErbhGyteokv1K78KkTlYmZzXXn
hg90Es5jR4+0Uj8lGqz9WeWm7Rp4tMdhH598C42lNjrlum3s+JJtVVmTXuqmi9x01Uss704+Q0SF
2BHXeavOtQlkOdc7SjsqjMjAADo1boKphwNASVnVhQn2RDBuQmgUM9eLc99TSDeHsp73cR2SqKQj
lTL7KnJ3Y+iyMfsEOu/arGruap3Ur21VWJW/lkPQnhe1KOAMyLGwFi1RKgA3JoPUPOR0wr6BkfHR
KoweR1+ftqREcbSamXYxsd6TpGZnUgZ5AksWWbOkAJA/J2pdUEV0owS4qYXBPbqq8jDWtYl6LAs9
GHSaS+PUSxPwUB2AlrJGWh3kZY32KG0v8JJU2uUQ1U42l2FFoCfE1thediYHjpks6SddwSly/Y09
AUpZeFUDQxsdqHFB5a4fFaVLn7M8SHZ2CS9nWQ/YfteUjBWfOZLR87qK6PB0Wim6udVJ0i1pYEWq
RcHbsYGJaEnwdLJoORTRorBpVRlHQIz3cWWf+hA1TxyADamCcuPX9I5FqR7inFYvfr2rdupG5+Z1
k1rLQTOHYzB1d5NoktsU+9BzF0aUbS3/YDHNow2D0jz3xnldZnxkeicWdTIQ0a1GxikYDOULtzOg
fybhrXrS64Dkg965VNWCrOqOoy9L1EomyDB5q8/GeJnUpLI5/Iym5feJooOXU9VtbgGT6kpkezMf
frBehRY9XaSsQRxdy5xd21KqE/G/i2oA+VF0oJha4Xibl/Z5Y/g3CWeydQRjm/rQ8DaFzTHQspIB
eKoSzrQkq+YDceZIDzPlwQSBhcFz3ac4V0eDwKY2J9MydVQm0JmxsE1oPAxbjGzhamk2IQ6tT3Lw
rqFEBovA0Zt158Y5j0y4iszYWWiGPZ3DXfuRdG26BNqw1Jy+4sTKYcxwna2fxu62FfY1S9/BCwmb
NopBP48CZ1UngkStOF6Zg26tC4mwES3fGr3EUzylY5Eu/IXc2AsDshZWRNNamZVzo6AZ/gKSI/rc
jN7zu6LtB8oMEMffLPdT2xSpAXUYchLbse3vbW1pPlmFA01uSOtUZ34S6ljoYqRrHoyxCx80XTDn
rCNyZM5RdVCzPrgnVIiKpG9b1AMJuUusk0TNcl7NmBSHhGrJpddH5cB9GcD2KrWIWgSC+/AhK1Pt
sR1cnmet7CiVmDXYUGEwFViLAd3mBCUv2/NII3Js7Xtg/7alJlgs0tzd0Txp25V4WU2Ul5WleFll
qmnBwe3sI7GrB1unf8RM3QeqSTtTNZUVErrwCgM6k5m4UG34TQXL1NSL1F3I/nrt4Zq2mn3sVqtO
qsaqwYDBRK3dq6bf7YSa7vQw8ncIqqFC6czPI136iyTx5FxPpQUKyrgap+5pyHK2ByAweZh11HVt
LeiVBfjmendNI1rHvGrXXzTshLd0sfB5w37hXq1gbq2rSGv6ddhmsplbYzCsK+Y/oNfUkBR4iY6I
tl+uhdF1MFQantcCLUAcdrSURQ+mV1rlHIEGjADppR/8qSXNHJ4GP11qEmhDaC2aeWoIXKPKdb30
I4sC8L3CHlcE0GQLO6N45AMtwos2b5wnrxbNMkjDyzLOdMArOAkyLwm1AyOy6EinkI5L/dp9Ie4t
2Cco/Xc+HbSL1EmUtY2i95HDuLLWqF1ProKRN7M975GcSZ7WPiga4POsXq3T6heM+tVLUK7xgmT2
z2bsYrTsCaaqSDTA/52Up5gW/CwQ+jpOsmFNA+2c3Y74vkZpadIWVA99WSzp6GL6wvNFnw4207DP
a3EPuwZfihbexdh5SBCEMJ55En2K45MbnWs3iawzcqX7TWmi44OutCZo+8lToflbhfJYII33Z6mp
Aa2uzw2bdD8t3Me6tqsS984FxOwU/jZru89o/Sg75BHoP8O+phGrfmyeEr/XiPE2vlDEoohscnOh
2Wq5wj/ubDKtfhBOVZ37k0CjsiL/aZCyO4dhVV0mmT5sqwoBcJgHDlVL5KzbtnrksIgiRxhPrcnw
E5SUNUfo7SwSLQhIOlE+jn7irSEJaEcgUAd4mMMc172+TKncF4ZNVqeBiYacRHSeLfFVDKUaBKfQ
/4EvnEdmx/jPYSIYW6ssr+rDmOO5hsIzrG2TBAaU7sRwuf0B0Gqw1ROdEYI2WBw+NOuImlm7jARJ
v7ASl4ZsA1IBUex6tN6JJUhtBEMS5hlkhNj8Urlxu9QbLX+OWvBwbN/ZymzGDGEPTDYDIshSD4RH
in2ETb/rCR+LG3342Au7rdBQD/qdPTQ1cXUlUO1ABPUHguXA3aZBGD77bkB4ZeJ6PmMIr7ZmQsce
uFZKEseXWVEmCIbZo8tpt45eNu78ZRO3XjZ0w469YOO8bPTty6Y/vhwAcm9K9+5fDgag3TkkWNN5
gZnJG5j+P9XW36q2TLQXf96EXDwkD+mLInMRNH+suaYffhNiTnJLcE7kiLyCcyh6XhuRtnpGA/Kd
RpNy52sjUj3jO7QdUAbqIHQkL/e15kKjaRn0KAXCRm0KlvgnNZekeHsvODEF2ETSgDT+MzWQW/yi
9yVXXioFVDDNXHJGfW5s62iXYp1b8iZ0aQ6pwDjiAdFIi/si8PRLhmMfGfcAav3kE5U70xRvh+z8
A+Hca6ApKw1DeLgfw/K8Jpu9t2PmBu3B79QPhW6so2mzG8U6HEssJGTCoxyL851Wzq3GWVkdP1uk
+xiGtVnE28gyLq1SHIVlrLvCvDRd7Qh3Ure8z73nr4ZcLjniXTtKfj327hJW6Nz0WUoTdRbXn8f4
ephYwsm4FhOMFUqonTtb5np7LTePqdl/yIl4z+v0RDNjCW+BxZ2TMao+ZhA3hJg4uB/Mm8ryoCCE
F4kLH9T2ZYL4rpwcoi1YmPiy9uyNkYNaDkT7qS7ljeqU96HJJUMXsTZca1so0ZJ67VGpkbQgWjHp
97y7835wknqxar5rJr9+iIQro/LlPtO/r5uHpAStoRLwR57IwqN7l9jJ3uuKCzEMF3apVDPfx+Qz
2kuFNCAoM69tmT/FL/0hh2YS9BLxoSKoQllFL+Dbu4hJMU1YPXCXrExjjhCOYNFVrzKDawchsCnp
pFBG1rpxx1NYjB/aNDD2SJCVbWKhorFnXwajLlcjgtc5ynsYpJqbLN1s3PcxQPNiEi44lHcqBpNk
RCBqijhZrNOOiRN+K6h9XbzsDMnWHls0+FyxcaWxK3q0Lz4t7CWEysehc6FxgHZu8I2OFQoBnr07
o9B3GM0OToittPCL84wE4FdD/D9aSP/eqOZP/9X0u37Djv0abP9XHTc4fR24F50hVrl39+0fLJs/
1rD/1/9D1P6ni+kPf8XbuorAHXgjMz+TZhHp2b8p+V7WVQyewmZwznznvb2TddUkGp2QdJU/e4pO
fLeuQoBAPabxdqaX/Ef2Ts34XuH9urCqCLosk0Hz9yiAAitL6IGuJ6z5thmyg7wBtrryDfowxJLO
nWnFWKnVlXGLAYdDN06eqggQyN65oJMCV5k7rTlXo+STJHs28pl1AmpWVrZTrlsSlN0q2frO56E3
SXjC4tkEd033ScelrAylhd7q2oBS2ekDJV25MpRz/C4TBWLjWjetfvSeKBaRPRFRGCFrPWRlM3et
Z2ws84hKCMMKx0lw/Cj1sK4e2yRdDLAqY39YJxa9L5LI572JJ0tZY4YpV5gVIU018bH3P6USz1ja
fVZliq1FvUyKEXyrB8ZLGEO+BL8+N9PHOr6wgG1CTYpquu0V4JyO4QajbJ5SWz9pYXjtxePWMMqV
OuhQHZJzuhPx3Er2Rk9Hvsrzi6oheaUg7hnnzNIK1VOsAVfOwVsrRvZFUHDM08L8qDIk4GNaEoy4
zLDVhm5HfRutBpy3JV610CoJpq4ORlCfastAY2Q8RrZ16jP+1m4YxCzXdHr2w22mjCs9ochkgEYk
gEmYvcU0wWp5Vc8PTl6SN4hJqmpmOsGxQIQd9v/Kuf+HdLzX5Rb3PsC9KRXtu+Fh1KpVH2SKJNA1
uS2BXM1NszqRpr3xO2spdGYvsW2d11G6jvMLkfRroZm7OsHWxQGTwrnCCgnIfWsFMVMDFRp7tyrD
CISVa5yIxmU+IK4NUwAMDqtFYQRQq3dqY67LPN1pA9u8s0yHfJYH46Ugd8KxGVpo8ljzEeZD8GzC
+xHRR4XLPOXPIV9deWHEZAw0Jxts0U2TrmrvSBTvPZbcUtnko3oqRblqDfM0qHJvmd6hx8sr+2Sd
+PVNSMXALcmAAq3lJ+KgIeg357C3jzA/CPrO6OfaE6hPcldGpPMQe7Z3cOwW8VqhiygS53MCvSyO
1Y3XTfoY+FHUXeMeBN7ScdyHIRerDD9twgtSuwcV4KPhnOXiTtc9uq83egnmyjU3FMA3af9pDEW/
QwyaoQ3RbNDWBq5IRnZKaCz9XGNiwy3SWSYiO7kpjPJJ7fkb22S48JBcUQZnAtGp0ewKuq65NX56
t7r+4FSgf6clfnHZIEqbeAnYPeTLpv2umz5mqgPNHdSBlUVfPIyVLpfPLbVPRenjeyjPNbsERxUd
x6a98KoSDk1/DALaI7QEaLDayCxlCFY3p60qL3w9Ye2qrypHog6ro1NIZlsu0n9xd5sv6M/3pxkG
ChjoaNkJ3gLu/e8cOxXt6LzVcBUUdgl7T0fJgVp5FNm8b5Cxlpgd3Nh31ggRaRpaGyVhkSq05gH3
TJ+n68Inz9tWRoEepxvnOTLIHdHWjHcDJss0mXQLqW7QXrOwro24PwVhc50r2u1okIlU6k+ewP5m
VjPXcOpFhnt05gb0DEFYZ8ueAE36Sfqz2vg4guta2aPmovkCeolJYHflt+2pY4iQW643C6wUY4DL
VM6Sn2h2aODn2htLiy/a2ARXJfJnIIP+Uhj5TVcrz9I34rkTWM+WghbbCu/pbawJTolXQnvO42Dt
M/mWKX+BV2xLvHwj9OPaFx/o8K+hFuFoLz939KIGCvYs6ZYIwj21Q0brkwEl7tJcn2G+BjnQI4qr
D6oSnKqa3SNXddyOdOK0NJr5TXPHOfi2UHXWcfN+jIpbL+jBsqcwCuHLjUpNLB28Ig/2C6ABQtY3
KrkCaR0+ump+TejueaMbC4vQsBISkRU6Jy9Vt8iCTp3pLPTYuU40vZ01ibVoVLkkrGceeIKQcHXF
R79XNY5zbccuE9wRlLNpSXXBzT0XA13Afe2OSwS0q1qSemWTuVrdh+P1dP6n07nwm53Mo22Yunc4
McL1YNNGZKy+KtJk7UTj0u/SZIYA6jny/al7eKJPtyjK8GOB1xuaSQj9CoXXfDTMYkZWdn0XJvZl
hnSMMMOC3HeUnDJvT4EIkTaA51X058BJtq4i70zyjV0le+KwusobMO+cRfcpjyGd6+xUF8TSj2IV
Zox3O+sq8kJybrCDjnhWilFgBeXI7Cr1QmbNqgq7hQtBmZ3pPtQ7nJn9JmlwRmH1xApWJ7eGn957
ldj3pfEhZlCAvf1ejMVNnzQ1aRPNtnDt51E3dm7jW8uuwukaa95u6HE6060cFggTCL0xxz0xfTN4
4RckzZRrm3gEk8YmXMjyKjOGh6hgah019b0ao/ginSubBxh7SrO+bUfnvLUhiRlqsFSibaSLD5aN
QbTWemQX4Y1WWfeN3uzUvv+cYDpn0hQviLDZKB0MZVU9gYMAWuV+SNBaOSVzKlNeWY1CFMXHkUBR
kNNz6frHqg0u4SgsB+52M8yfxwDiIVes7+V1Pxh3egEMph5p2RZXBNW1kfMsR/VTj1CPKfwKvMNj
iI8JokuLtUhcwXFLaP+CMTSVY+kcc+0ojIu0uWIKfyrpZDYG9AADWoA+q0PnliS4OYD8eTbWJNEY
9PL7hR5+iQKUsZ1DF/XeljedIJqoR9EZPyPiWWj6x8a7tr1kbTkA183LibvuVRixGp3bRYEreNUT
vDfzx73q4pwYzBkTrk3AmL60V8JMlhFqV8mUDnCU1j1impontnFfN87MGniuI/3ekdDUuzljNdWD
58haeVe4ejRvEFd4weeumvgHz30Isi2Xn3tAmyvZVp8xHW8gcW6iQHtqO2IrGukDfCWscqCbNxOy
AyBWYDzOnG2IhID8BwkPwEs+BJCklr0+mE9KSYaLoziLjAb/qkMxJ8r0xvcKezGG2o2MlI/ZMNxl
0fgCXBjdGs862uy5AbFhSyxGvExjh3BHK20WbZc+Zs24dkYb8hndtSSgp+xwnCKL5loxacWWar7s
poiJsHuoLY7DWrm1Ohd9bk3dadmfk7Y9l53/xRmaG5lidyiArYUhQsys4miClpeoVBsru64QfNnW
N6S5cLRLlhzU9yj6niMV95y2pll3bppkd2flAa0Hq6958AuBsqleO1SMC9M1GIuaA+6aTiiLDhHt
ohalMq9MWS/jSBlm/9sfXT2mRSyXsNlPkT6hN5zmJlCT+3L0kIFkfsTd4F4ZvnbOtQmWLhl89IQp
UzObUY+dYv5XaRQzgLSuX04H/6gkvckS/vueb/0Tlebbb/9hjNxv/uDpuy8c55ts+X0Q3d/6R18l
Bj9+ob+XS/eqM5yil79p8b38XS/BeH/1MvEDoMvmCYaRQT2pSwMfNdbo6YsKGJ229/Zt2zqbLF2a
Tf338sURjd/37jL92YX46/f4x9S+P77OX72Bd9Ak2n4OprbvlSX/9ELo2hm8NIh3FBc/uBCOfsZg
hvhXlSr933IFWDrSeso79DAmf9Ovnaqrv3MTfPcKv98ExA0iiuGtTcfs6Yv3+P4mkFPDFjU6as+X
r9dr/QvdBDZjRX2Cjv6dy/Adtuuby2BJbgK6K9++f+0MTwyaI7zLr1//plvgu7/83UPwIjo2qTN+
7gI4ZwC9IHpZP14M7DMNhithv4QLT1+vZtZf6D4wpP7TNwFiMXpdtG6RmU1f3y6IDt9G8kyX7d+1
Dvz5TYCA7SdvAE2cETsqQH+qr5/wdw+CPJMWHGAhYdpMX68Lzy90A6AJ/OmNwGIxBHMruQqvX98s
BugMHbYBLtCksufrl7sG2tuO+LM3g26cMQ1hMXTe3ilNune7Ak+CsEwNx/nbdfr1jgYMcn52STQ0
nPOMg5hi/mg5sO0JUkP6C0PQl69fb0lkIsAH93P7woQP4CJAovzRRXBU7gSLE8TXG+UXfCT0Cavz
UxdBQ3qsqaZumj++E6wzjY2DbeNXXRemWdPfPCl+t8e8OyJZZ4iaOWs5b/XAdxsEcmom8BCZQCJN
X8yUuOi/0AbBLGtCVvzcnaCembA00PvxSu9WRIolk1hoFsW349Ovd0SYhPE/+e7ZFuDHUhHin3z5
+vaAZDtnAJklAo+3Q+IvtxigEtFfl+lXecBvVfg/KJs1eYYBAS4vB4EfXQQWA9WR4LFezwiTDe/X
eg4oZdSfXQzoHTgmqSUSZsw3z4E44xFwVGR0r2//l7sFOLRYrx/JT9wCGplhFjviNJ1/vwo4rAL2
ZLV8fdJ+ocUPMJr2s2+bx9+ZSgDV/vZDd+wzaXNXAYR+/frlbnk+LMB/7M8/uQBq9hkr3+Sh/e6D
l2cMKacO0ttT/3rs+oU+/6+Vwc+eB3nwOferPERvDZE/XAjufoPC4Z/fCn/jav3WYp2TgPX00oEN
vlQvi/drW/Ff/oOvvck/vsB7GjtttW/+4aS5fH3p18bL9L//7zcnpZeDzrtvfj34vPyetx9/e4N/
/NXf/K6v7+rr/7kJvpQP5SMoxZeG89ufeXxIaOGiP/Jha57Kh6cvlf9NZ/ClI/D7H/QHZP1vx6C/
fP2qevgmVPG1yP7Zl50F/kP5/q99bd787MtuHsrhIX14/8JImxw2/J9+5SB5eMS3/8Mr/Vpq/uyv
OH9Ikua//tdDkv+f/8/ate0kEAPRX+EXDIm+mSgmRgElBuPzQBv3gotpuzH49Z6224VKF8jOvu7l
dDpt59JOZ0ZT0qhDF3EIzoXdbuC2MiVV4QijjJkELxYSnY2NeWqrJXkcV9XAW9xc4BmVOiPxI+V3
hH4DkzY8SEZFXzTH5ySyXXoNeZOZS/6ryEF+INTyBWVIhxjMRS3qdSaV2kXg12MbY8ulelFXBa0C
jqPa241c4DcqSJuMooOMxkHlYndXge1OZnzRJFnSV75B/mJRH3KksSW5VL8bg7TICSE+9hs4XPwP
qc3oXlbIMBlR701CLvqcIMwhsExc0aRxtbjoj3UBdHNId3viw8beRqvS4qIOcGiqv0SBVm4vWLzk
6+0Ko/ukbXZPHcDtesKOERJcDyDU71RddasnVJa5clGWXHbN89+tis0BQNvL9QNo2NM1cZirNx29
fTgWriOIuA7P+g/+mUSuzJ6czpPABT+Tm4gJ/yBRtzYw2JkH7dEld2p2xuA3oRID6MMJNJbIkb8+
NrN9FwaYN5MsI2NyfdTCPsiByyWnZ6i0HYmGoWlhAFvqGaqgEx/7xdweLCWk6Od/G3/v3HPxZyTA
n0CnE9I45oK3i4JbiIPAtQtkOA+v+8uItDzqc5vk5JJM+ZvtjvyxFxoCc1K/xS62/WK9kaRu/wAA
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NULL"/><Relationship Id="rId1" Type="http://schemas.openxmlformats.org/officeDocument/2006/relationships/customXml" Target="../ink/ink1.xml"/><Relationship Id="rId6" Type="http://schemas.openxmlformats.org/officeDocument/2006/relationships/image" Target="NULL"/><Relationship Id="rId5" Type="http://schemas.openxmlformats.org/officeDocument/2006/relationships/customXml" Target="../ink/ink4.xml"/><Relationship Id="rId4" Type="http://schemas.openxmlformats.org/officeDocument/2006/relationships/customXml" Target="../ink/ink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9.xml"/><Relationship Id="rId7" Type="http://schemas.openxmlformats.org/officeDocument/2006/relationships/chart" Target="../charts/chart11.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4.xml"/><Relationship Id="rId5" Type="http://schemas.microsoft.com/office/2014/relationships/chartEx" Target="../charts/chartEx3.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8</xdr:col>
      <xdr:colOff>616980</xdr:colOff>
      <xdr:row>680</xdr:row>
      <xdr:rowOff>0</xdr:rowOff>
    </xdr:from>
    <xdr:to>
      <xdr:col>8</xdr:col>
      <xdr:colOff>635700</xdr:colOff>
      <xdr:row>680</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48D1703-EF2E-4F44-A07D-DBFE45117744}"/>
                </a:ext>
              </a:extLst>
            </xdr14:cNvPr>
            <xdr14:cNvContentPartPr/>
          </xdr14:nvContentPartPr>
          <xdr14:nvPr macro=""/>
          <xdr14:xfrm>
            <a:off x="11003040" y="65737800"/>
            <a:ext cx="18720" cy="360"/>
          </xdr14:xfrm>
        </xdr:contentPart>
      </mc:Choice>
      <mc:Fallback xmlns="">
        <xdr:pic>
          <xdr:nvPicPr>
            <xdr:cNvPr id="2" name="Ink 1">
              <a:extLst>
                <a:ext uri="{FF2B5EF4-FFF2-40B4-BE49-F238E27FC236}">
                  <a16:creationId xmlns:a16="http://schemas.microsoft.com/office/drawing/2014/main" id="{D9E7F7C3-B0AA-94AA-1784-6C060F9CCC6C}"/>
                </a:ext>
              </a:extLst>
            </xdr:cNvPr>
            <xdr:cNvPicPr/>
          </xdr:nvPicPr>
          <xdr:blipFill>
            <a:blip xmlns:r="http://schemas.openxmlformats.org/officeDocument/2006/relationships" r:embed="rId2"/>
            <a:stretch>
              <a:fillRect/>
            </a:stretch>
          </xdr:blipFill>
          <xdr:spPr>
            <a:xfrm>
              <a:off x="10996920" y="65731680"/>
              <a:ext cx="30960" cy="12600"/>
            </a:xfrm>
            <a:prstGeom prst="rect">
              <a:avLst/>
            </a:prstGeom>
          </xdr:spPr>
        </xdr:pic>
      </mc:Fallback>
    </mc:AlternateContent>
    <xdr:clientData/>
  </xdr:twoCellAnchor>
  <xdr:oneCellAnchor>
    <xdr:from>
      <xdr:col>8</xdr:col>
      <xdr:colOff>616980</xdr:colOff>
      <xdr:row>827</xdr:row>
      <xdr:rowOff>0</xdr:rowOff>
    </xdr:from>
    <xdr:ext cx="18720" cy="3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3BEE7CFB-F211-4CB6-8BB5-59B32808403A}"/>
                </a:ext>
              </a:extLst>
            </xdr14:cNvPr>
            <xdr14:cNvContentPartPr/>
          </xdr14:nvContentPartPr>
          <xdr14:nvPr macro=""/>
          <xdr14:xfrm>
            <a:off x="11003040" y="65737800"/>
            <a:ext cx="18720" cy="360"/>
          </xdr14:xfrm>
        </xdr:contentPart>
      </mc:Choice>
      <mc:Fallback xmlns="">
        <xdr:pic>
          <xdr:nvPicPr>
            <xdr:cNvPr id="2" name="Ink 1">
              <a:extLst>
                <a:ext uri="{FF2B5EF4-FFF2-40B4-BE49-F238E27FC236}">
                  <a16:creationId xmlns:a16="http://schemas.microsoft.com/office/drawing/2014/main" id="{D9E7F7C3-B0AA-94AA-1784-6C060F9CCC6C}"/>
                </a:ext>
              </a:extLst>
            </xdr:cNvPr>
            <xdr:cNvPicPr/>
          </xdr:nvPicPr>
          <xdr:blipFill>
            <a:blip xmlns:r="http://schemas.openxmlformats.org/officeDocument/2006/relationships" r:embed="rId2"/>
            <a:stretch>
              <a:fillRect/>
            </a:stretch>
          </xdr:blipFill>
          <xdr:spPr>
            <a:xfrm>
              <a:off x="10996920" y="65731680"/>
              <a:ext cx="30960" cy="12600"/>
            </a:xfrm>
            <a:prstGeom prst="rect">
              <a:avLst/>
            </a:prstGeom>
          </xdr:spPr>
        </xdr:pic>
      </mc:Fallback>
    </mc:AlternateContent>
    <xdr:clientData/>
  </xdr:oneCellAnchor>
  <xdr:oneCellAnchor>
    <xdr:from>
      <xdr:col>8</xdr:col>
      <xdr:colOff>616980</xdr:colOff>
      <xdr:row>993</xdr:row>
      <xdr:rowOff>0</xdr:rowOff>
    </xdr:from>
    <xdr:ext cx="18720" cy="3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a16="http://schemas.microsoft.com/office/drawing/2014/main" id="{F8B52214-9749-4D87-A1DF-E2B7FC8EF936}"/>
                </a:ext>
              </a:extLst>
            </xdr14:cNvPr>
            <xdr14:cNvContentPartPr/>
          </xdr14:nvContentPartPr>
          <xdr14:nvPr macro=""/>
          <xdr14:xfrm>
            <a:off x="11003040" y="65737800"/>
            <a:ext cx="18720" cy="360"/>
          </xdr14:xfrm>
        </xdr:contentPart>
      </mc:Choice>
      <mc:Fallback xmlns="">
        <xdr:pic>
          <xdr:nvPicPr>
            <xdr:cNvPr id="2" name="Ink 1">
              <a:extLst>
                <a:ext uri="{FF2B5EF4-FFF2-40B4-BE49-F238E27FC236}">
                  <a16:creationId xmlns:a16="http://schemas.microsoft.com/office/drawing/2014/main" id="{D9E7F7C3-B0AA-94AA-1784-6C060F9CCC6C}"/>
                </a:ext>
              </a:extLst>
            </xdr:cNvPr>
            <xdr:cNvPicPr/>
          </xdr:nvPicPr>
          <xdr:blipFill>
            <a:blip xmlns:r="http://schemas.openxmlformats.org/officeDocument/2006/relationships" r:embed="rId2"/>
            <a:stretch>
              <a:fillRect/>
            </a:stretch>
          </xdr:blipFill>
          <xdr:spPr>
            <a:xfrm>
              <a:off x="10996920" y="65731680"/>
              <a:ext cx="30960" cy="12600"/>
            </a:xfrm>
            <a:prstGeom prst="rect">
              <a:avLst/>
            </a:prstGeom>
          </xdr:spPr>
        </xdr:pic>
      </mc:Fallback>
    </mc:AlternateContent>
    <xdr:clientData/>
  </xdr:oneCellAnchor>
  <xdr:twoCellAnchor editAs="oneCell">
    <xdr:from>
      <xdr:col>0</xdr:col>
      <xdr:colOff>895320</xdr:colOff>
      <xdr:row>0</xdr:row>
      <xdr:rowOff>120600</xdr:rowOff>
    </xdr:from>
    <xdr:to>
      <xdr:col>0</xdr:col>
      <xdr:colOff>895680</xdr:colOff>
      <xdr:row>0</xdr:row>
      <xdr:rowOff>120960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 name="Ink 4">
              <a:extLst>
                <a:ext uri="{FF2B5EF4-FFF2-40B4-BE49-F238E27FC236}">
                  <a16:creationId xmlns:a16="http://schemas.microsoft.com/office/drawing/2014/main" id="{5CDD30C6-0730-405C-8FE1-05256DEE8C4A}"/>
                </a:ext>
              </a:extLst>
            </xdr14:cNvPr>
            <xdr14:cNvContentPartPr/>
          </xdr14:nvContentPartPr>
          <xdr14:nvPr macro=""/>
          <xdr14:xfrm>
            <a:off x="895320" y="120600"/>
            <a:ext cx="360" cy="360"/>
          </xdr14:xfrm>
        </xdr:contentPart>
      </mc:Choice>
      <mc:Fallback xmlns="">
        <xdr:pic>
          <xdr:nvPicPr>
            <xdr:cNvPr id="5" name="Ink 4">
              <a:extLst>
                <a:ext uri="{FF2B5EF4-FFF2-40B4-BE49-F238E27FC236}">
                  <a16:creationId xmlns:a16="http://schemas.microsoft.com/office/drawing/2014/main" id="{77FFE4CA-6049-5394-6F66-992D8FC59BA0}"/>
                </a:ext>
              </a:extLst>
            </xdr:cNvPr>
            <xdr:cNvPicPr/>
          </xdr:nvPicPr>
          <xdr:blipFill>
            <a:blip xmlns:r="http://schemas.openxmlformats.org/officeDocument/2006/relationships" r:embed="rId6"/>
            <a:stretch>
              <a:fillRect/>
            </a:stretch>
          </xdr:blipFill>
          <xdr:spPr>
            <a:xfrm>
              <a:off x="889200" y="114480"/>
              <a:ext cx="12600" cy="126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852278</xdr:colOff>
      <xdr:row>2</xdr:row>
      <xdr:rowOff>0</xdr:rowOff>
    </xdr:from>
    <xdr:to>
      <xdr:col>4</xdr:col>
      <xdr:colOff>490887</xdr:colOff>
      <xdr:row>13</xdr:row>
      <xdr:rowOff>61538</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62FB6C4E-9884-CD30-CBB8-E2073FB7302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99611" y="670952"/>
              <a:ext cx="1824549" cy="2093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500062</xdr:colOff>
      <xdr:row>18</xdr:row>
      <xdr:rowOff>60614</xdr:rowOff>
    </xdr:from>
    <xdr:to>
      <xdr:col>3</xdr:col>
      <xdr:colOff>635000</xdr:colOff>
      <xdr:row>28</xdr:row>
      <xdr:rowOff>15875</xdr:rowOff>
    </xdr:to>
    <xdr:graphicFrame macro="">
      <xdr:nvGraphicFramePr>
        <xdr:cNvPr id="3" name="Chart 2">
          <a:extLst>
            <a:ext uri="{FF2B5EF4-FFF2-40B4-BE49-F238E27FC236}">
              <a16:creationId xmlns:a16="http://schemas.microsoft.com/office/drawing/2014/main" id="{CA3E9295-B6E1-24C3-2580-F0EFFED70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372339</xdr:colOff>
      <xdr:row>18</xdr:row>
      <xdr:rowOff>97119</xdr:rowOff>
    </xdr:from>
    <xdr:to>
      <xdr:col>8</xdr:col>
      <xdr:colOff>577272</xdr:colOff>
      <xdr:row>27</xdr:row>
      <xdr:rowOff>156882</xdr:rowOff>
    </xdr:to>
    <xdr:graphicFrame macro="">
      <xdr:nvGraphicFramePr>
        <xdr:cNvPr id="4" name="Chart 3">
          <a:extLst>
            <a:ext uri="{FF2B5EF4-FFF2-40B4-BE49-F238E27FC236}">
              <a16:creationId xmlns:a16="http://schemas.microsoft.com/office/drawing/2014/main" id="{B84F4D0F-211A-4EFF-B435-B7794BA32A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412750</xdr:colOff>
      <xdr:row>18</xdr:row>
      <xdr:rowOff>89065</xdr:rowOff>
    </xdr:from>
    <xdr:to>
      <xdr:col>14</xdr:col>
      <xdr:colOff>193039</xdr:colOff>
      <xdr:row>28</xdr:row>
      <xdr:rowOff>1</xdr:rowOff>
    </xdr:to>
    <xdr:graphicFrame macro="">
      <xdr:nvGraphicFramePr>
        <xdr:cNvPr id="5" name="Chart 4">
          <a:extLst>
            <a:ext uri="{FF2B5EF4-FFF2-40B4-BE49-F238E27FC236}">
              <a16:creationId xmlns:a16="http://schemas.microsoft.com/office/drawing/2014/main" id="{FCB68284-29A2-78F7-EE2B-41B86E91D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87313</xdr:colOff>
      <xdr:row>22</xdr:row>
      <xdr:rowOff>56579</xdr:rowOff>
    </xdr:from>
    <xdr:to>
      <xdr:col>1</xdr:col>
      <xdr:colOff>21545</xdr:colOff>
      <xdr:row>23</xdr:row>
      <xdr:rowOff>171105</xdr:rowOff>
    </xdr:to>
    <xdr:sp macro="" textlink="$B$12">
      <xdr:nvSpPr>
        <xdr:cNvPr id="7" name="Rectangle 6">
          <a:extLst>
            <a:ext uri="{FF2B5EF4-FFF2-40B4-BE49-F238E27FC236}">
              <a16:creationId xmlns:a16="http://schemas.microsoft.com/office/drawing/2014/main" id="{750B0755-F910-1153-DFD6-7231A1B80F0B}"/>
            </a:ext>
          </a:extLst>
        </xdr:cNvPr>
        <xdr:cNvSpPr/>
      </xdr:nvSpPr>
      <xdr:spPr>
        <a:xfrm>
          <a:off x="87313" y="4803204"/>
          <a:ext cx="831170" cy="29708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14D30F78-7F70-4CF7-B5C1-A3779C7C0CCD}" type="TxLink">
            <a:rPr lang="en-US" sz="1100" b="1" i="1" u="none" strike="noStrike">
              <a:solidFill>
                <a:srgbClr val="000000"/>
              </a:solidFill>
              <a:latin typeface="Calibri"/>
              <a:ea typeface="Calibri"/>
              <a:cs typeface="Calibri"/>
            </a:rPr>
            <a:pPr algn="l"/>
            <a:t>51009211</a:t>
          </a:fld>
          <a:endParaRPr lang="en-US" sz="1100" b="1" i="1"/>
        </a:p>
      </xdr:txBody>
    </xdr:sp>
    <xdr:clientData/>
  </xdr:twoCellAnchor>
  <xdr:twoCellAnchor>
    <xdr:from>
      <xdr:col>4</xdr:col>
      <xdr:colOff>1135906</xdr:colOff>
      <xdr:row>22</xdr:row>
      <xdr:rowOff>53775</xdr:rowOff>
    </xdr:from>
    <xdr:to>
      <xdr:col>5</xdr:col>
      <xdr:colOff>625638</xdr:colOff>
      <xdr:row>23</xdr:row>
      <xdr:rowOff>170467</xdr:rowOff>
    </xdr:to>
    <xdr:sp macro="" textlink="$G$12">
      <xdr:nvSpPr>
        <xdr:cNvPr id="8" name="Rectangle 7">
          <a:extLst>
            <a:ext uri="{FF2B5EF4-FFF2-40B4-BE49-F238E27FC236}">
              <a16:creationId xmlns:a16="http://schemas.microsoft.com/office/drawing/2014/main" id="{21E8AE92-3BCB-F873-A1C8-00FFF817F68E}"/>
            </a:ext>
          </a:extLst>
        </xdr:cNvPr>
        <xdr:cNvSpPr/>
      </xdr:nvSpPr>
      <xdr:spPr>
        <a:xfrm>
          <a:off x="5253785" y="4856684"/>
          <a:ext cx="821308" cy="30141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C5717ABA-E413-4D37-B79B-DB207A9CD585}" type="TxLink">
            <a:rPr lang="en-US" sz="1100" b="1" i="1" u="none" strike="noStrike">
              <a:solidFill>
                <a:srgbClr val="000000"/>
              </a:solidFill>
              <a:latin typeface="Calibri"/>
              <a:ea typeface="Calibri"/>
              <a:cs typeface="Calibri"/>
            </a:rPr>
            <a:pPr algn="l"/>
            <a:t>33647206</a:t>
          </a:fld>
          <a:endParaRPr lang="en-US" sz="1100" b="1" i="1"/>
        </a:p>
      </xdr:txBody>
    </xdr:sp>
    <xdr:clientData/>
  </xdr:twoCellAnchor>
  <xdr:twoCellAnchor>
    <xdr:from>
      <xdr:col>9</xdr:col>
      <xdr:colOff>128134</xdr:colOff>
      <xdr:row>22</xdr:row>
      <xdr:rowOff>53294</xdr:rowOff>
    </xdr:from>
    <xdr:to>
      <xdr:col>10</xdr:col>
      <xdr:colOff>339045</xdr:colOff>
      <xdr:row>23</xdr:row>
      <xdr:rowOff>167820</xdr:rowOff>
    </xdr:to>
    <xdr:sp macro="" textlink="$L$12">
      <xdr:nvSpPr>
        <xdr:cNvPr id="9" name="Rectangle 8">
          <a:extLst>
            <a:ext uri="{FF2B5EF4-FFF2-40B4-BE49-F238E27FC236}">
              <a16:creationId xmlns:a16="http://schemas.microsoft.com/office/drawing/2014/main" id="{3AA3D361-B0AD-14B4-4F39-E387B79859E8}"/>
            </a:ext>
          </a:extLst>
        </xdr:cNvPr>
        <xdr:cNvSpPr/>
      </xdr:nvSpPr>
      <xdr:spPr>
        <a:xfrm>
          <a:off x="9597572" y="4799919"/>
          <a:ext cx="822098" cy="29708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336A5AF9-8B90-42C9-9818-63AAF1B6059B}" type="TxLink">
            <a:rPr lang="en-US" sz="1100" b="1" i="1" u="none" strike="noStrike">
              <a:solidFill>
                <a:srgbClr val="000000"/>
              </a:solidFill>
              <a:latin typeface="Calibri"/>
              <a:ea typeface="Calibri"/>
              <a:cs typeface="Calibri"/>
            </a:rPr>
            <a:pPr algn="l"/>
            <a:t>17362005</a:t>
          </a:fld>
          <a:endParaRPr lang="en-US" sz="1100" b="1" i="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7</xdr:row>
      <xdr:rowOff>178836</xdr:rowOff>
    </xdr:from>
    <xdr:to>
      <xdr:col>10</xdr:col>
      <xdr:colOff>0</xdr:colOff>
      <xdr:row>21</xdr:row>
      <xdr:rowOff>23327</xdr:rowOff>
    </xdr:to>
    <xdr:graphicFrame macro="">
      <xdr:nvGraphicFramePr>
        <xdr:cNvPr id="2" name="Chart 1">
          <a:extLst>
            <a:ext uri="{FF2B5EF4-FFF2-40B4-BE49-F238E27FC236}">
              <a16:creationId xmlns:a16="http://schemas.microsoft.com/office/drawing/2014/main" id="{A3061C98-1C7B-4AE3-BA61-D965CD36B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863367</xdr:colOff>
      <xdr:row>7</xdr:row>
      <xdr:rowOff>37052</xdr:rowOff>
    </xdr:from>
    <xdr:to>
      <xdr:col>13</xdr:col>
      <xdr:colOff>272642</xdr:colOff>
      <xdr:row>22</xdr:row>
      <xdr:rowOff>53830</xdr:rowOff>
    </xdr:to>
    <xdr:graphicFrame macro="">
      <xdr:nvGraphicFramePr>
        <xdr:cNvPr id="3" name="Chart 2">
          <a:extLst>
            <a:ext uri="{FF2B5EF4-FFF2-40B4-BE49-F238E27FC236}">
              <a16:creationId xmlns:a16="http://schemas.microsoft.com/office/drawing/2014/main" id="{E46150A5-E115-8CEC-1416-AD81AD47D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101600</xdr:colOff>
      <xdr:row>15</xdr:row>
      <xdr:rowOff>93133</xdr:rowOff>
    </xdr:from>
    <xdr:to>
      <xdr:col>11</xdr:col>
      <xdr:colOff>296334</xdr:colOff>
      <xdr:row>30</xdr:row>
      <xdr:rowOff>42333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761D5EC-64AE-6650-B3FE-F05AB0A345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56480" y="2836333"/>
              <a:ext cx="5086774" cy="2692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558799</xdr:colOff>
      <xdr:row>13</xdr:row>
      <xdr:rowOff>101600</xdr:rowOff>
    </xdr:from>
    <xdr:to>
      <xdr:col>17</xdr:col>
      <xdr:colOff>347133</xdr:colOff>
      <xdr:row>29</xdr:row>
      <xdr:rowOff>160867</xdr:rowOff>
    </xdr:to>
    <xdr:graphicFrame macro="">
      <xdr:nvGraphicFramePr>
        <xdr:cNvPr id="4" name="Chart 3">
          <a:extLst>
            <a:ext uri="{FF2B5EF4-FFF2-40B4-BE49-F238E27FC236}">
              <a16:creationId xmlns:a16="http://schemas.microsoft.com/office/drawing/2014/main" id="{E7599962-B38C-9F1B-3428-8CDF19D69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580747</xdr:colOff>
      <xdr:row>5</xdr:row>
      <xdr:rowOff>181991</xdr:rowOff>
    </xdr:from>
    <xdr:to>
      <xdr:col>15</xdr:col>
      <xdr:colOff>595543</xdr:colOff>
      <xdr:row>20</xdr:row>
      <xdr:rowOff>150919</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4F164A90-743E-79D6-5753-9CD3306FCA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551267" y="1096391"/>
              <a:ext cx="4586796" cy="27121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101600</xdr:colOff>
      <xdr:row>36</xdr:row>
      <xdr:rowOff>22860</xdr:rowOff>
    </xdr:to>
    <xdr:sp macro="" textlink="">
      <xdr:nvSpPr>
        <xdr:cNvPr id="2" name="Rectangle 1">
          <a:extLst>
            <a:ext uri="{FF2B5EF4-FFF2-40B4-BE49-F238E27FC236}">
              <a16:creationId xmlns:a16="http://schemas.microsoft.com/office/drawing/2014/main" id="{C1F94946-F685-5932-6CB3-83DB90116343}"/>
            </a:ext>
          </a:extLst>
        </xdr:cNvPr>
        <xdr:cNvSpPr/>
      </xdr:nvSpPr>
      <xdr:spPr>
        <a:xfrm>
          <a:off x="0" y="0"/>
          <a:ext cx="13512800" cy="6728460"/>
        </a:xfrm>
        <a:prstGeom prst="rect">
          <a:avLst/>
        </a:prstGeom>
        <a:solidFill>
          <a:schemeClr val="bg1"/>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4000" b="1" i="1">
            <a:solidFill>
              <a:srgbClr val="0070C0"/>
            </a:solidFill>
          </a:endParaRPr>
        </a:p>
      </xdr:txBody>
    </xdr:sp>
    <xdr:clientData/>
  </xdr:twoCellAnchor>
  <xdr:twoCellAnchor>
    <xdr:from>
      <xdr:col>5</xdr:col>
      <xdr:colOff>480391</xdr:colOff>
      <xdr:row>0</xdr:row>
      <xdr:rowOff>85146</xdr:rowOff>
    </xdr:from>
    <xdr:to>
      <xdr:col>19</xdr:col>
      <xdr:colOff>107674</xdr:colOff>
      <xdr:row>3</xdr:row>
      <xdr:rowOff>168966</xdr:rowOff>
    </xdr:to>
    <xdr:sp macro="" textlink="">
      <xdr:nvSpPr>
        <xdr:cNvPr id="3" name="Rectangle 2">
          <a:extLst>
            <a:ext uri="{FF2B5EF4-FFF2-40B4-BE49-F238E27FC236}">
              <a16:creationId xmlns:a16="http://schemas.microsoft.com/office/drawing/2014/main" id="{74020F6C-9CC3-78EB-1C79-5C01E0A7B408}"/>
            </a:ext>
          </a:extLst>
        </xdr:cNvPr>
        <xdr:cNvSpPr/>
      </xdr:nvSpPr>
      <xdr:spPr>
        <a:xfrm>
          <a:off x="3544956" y="85146"/>
          <a:ext cx="8208066" cy="6304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        Sales</a:t>
          </a:r>
          <a:r>
            <a:rPr lang="en-IN" sz="2800" b="1" baseline="0">
              <a:solidFill>
                <a:schemeClr val="bg1"/>
              </a:solidFill>
            </a:rPr>
            <a:t> Dashboard (2024-2025)</a:t>
          </a:r>
          <a:endParaRPr lang="en-IN" sz="2800" b="1">
            <a:solidFill>
              <a:schemeClr val="bg1"/>
            </a:solidFill>
          </a:endParaRPr>
        </a:p>
      </xdr:txBody>
    </xdr:sp>
    <xdr:clientData/>
  </xdr:twoCellAnchor>
  <xdr:twoCellAnchor editAs="oneCell">
    <xdr:from>
      <xdr:col>0</xdr:col>
      <xdr:colOff>38100</xdr:colOff>
      <xdr:row>4</xdr:row>
      <xdr:rowOff>22860</xdr:rowOff>
    </xdr:from>
    <xdr:to>
      <xdr:col>3</xdr:col>
      <xdr:colOff>35385</xdr:colOff>
      <xdr:row>11</xdr:row>
      <xdr:rowOff>168428</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476CCE41-53CB-488D-A8D5-C3C8C185446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8100" y="767927"/>
              <a:ext cx="1826085" cy="1449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xdr:colOff>
      <xdr:row>4</xdr:row>
      <xdr:rowOff>45720</xdr:rowOff>
    </xdr:from>
    <xdr:to>
      <xdr:col>9</xdr:col>
      <xdr:colOff>91440</xdr:colOff>
      <xdr:row>11</xdr:row>
      <xdr:rowOff>175260</xdr:rowOff>
    </xdr:to>
    <xdr:sp macro="" textlink="">
      <xdr:nvSpPr>
        <xdr:cNvPr id="5" name="Rectangle 4">
          <a:extLst>
            <a:ext uri="{FF2B5EF4-FFF2-40B4-BE49-F238E27FC236}">
              <a16:creationId xmlns:a16="http://schemas.microsoft.com/office/drawing/2014/main" id="{978DA00B-ABC6-1082-5EF5-F92F39CB5FB6}"/>
            </a:ext>
          </a:extLst>
        </xdr:cNvPr>
        <xdr:cNvSpPr/>
      </xdr:nvSpPr>
      <xdr:spPr>
        <a:xfrm>
          <a:off x="1866900" y="777240"/>
          <a:ext cx="3710940" cy="1409700"/>
        </a:xfrm>
        <a:prstGeom prst="rect">
          <a:avLst/>
        </a:prstGeom>
        <a:solidFill>
          <a:schemeClr val="bg1"/>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Total</a:t>
          </a:r>
          <a:r>
            <a:rPr lang="en-IN" sz="1800" b="1">
              <a:solidFill>
                <a:schemeClr val="tx1"/>
              </a:solidFill>
            </a:rPr>
            <a:t> </a:t>
          </a:r>
          <a:r>
            <a:rPr lang="en-IN" sz="2400" b="1">
              <a:solidFill>
                <a:schemeClr val="tx1"/>
              </a:solidFill>
            </a:rPr>
            <a:t>Sales</a:t>
          </a:r>
        </a:p>
        <a:p>
          <a:pPr algn="l"/>
          <a:endParaRPr lang="en-IN" sz="1800" b="1">
            <a:solidFill>
              <a:schemeClr val="tx1"/>
            </a:solidFill>
          </a:endParaRPr>
        </a:p>
      </xdr:txBody>
    </xdr:sp>
    <xdr:clientData/>
  </xdr:twoCellAnchor>
  <xdr:twoCellAnchor>
    <xdr:from>
      <xdr:col>15</xdr:col>
      <xdr:colOff>253153</xdr:colOff>
      <xdr:row>4</xdr:row>
      <xdr:rowOff>45720</xdr:rowOff>
    </xdr:from>
    <xdr:to>
      <xdr:col>21</xdr:col>
      <xdr:colOff>306493</xdr:colOff>
      <xdr:row>11</xdr:row>
      <xdr:rowOff>175260</xdr:rowOff>
    </xdr:to>
    <xdr:sp macro="" textlink="">
      <xdr:nvSpPr>
        <xdr:cNvPr id="7" name="Rectangle 6">
          <a:extLst>
            <a:ext uri="{FF2B5EF4-FFF2-40B4-BE49-F238E27FC236}">
              <a16:creationId xmlns:a16="http://schemas.microsoft.com/office/drawing/2014/main" id="{6CD39E1E-2AF1-4088-4C83-2DFFB84CC88F}"/>
            </a:ext>
          </a:extLst>
        </xdr:cNvPr>
        <xdr:cNvSpPr/>
      </xdr:nvSpPr>
      <xdr:spPr>
        <a:xfrm>
          <a:off x="9397153" y="790787"/>
          <a:ext cx="3710940" cy="1433406"/>
        </a:xfrm>
        <a:prstGeom prst="rect">
          <a:avLst/>
        </a:prstGeom>
        <a:solidFill>
          <a:schemeClr val="bg1"/>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Total</a:t>
          </a:r>
          <a:r>
            <a:rPr lang="en-IN" sz="1800" b="1" baseline="0">
              <a:solidFill>
                <a:schemeClr val="tx1"/>
              </a:solidFill>
            </a:rPr>
            <a:t> </a:t>
          </a:r>
          <a:r>
            <a:rPr lang="en-IN" sz="2400" b="1" baseline="0">
              <a:solidFill>
                <a:schemeClr val="tx1"/>
              </a:solidFill>
            </a:rPr>
            <a:t>Profit</a:t>
          </a:r>
          <a:endParaRPr lang="en-IN" sz="2400" b="1">
            <a:solidFill>
              <a:schemeClr val="tx1"/>
            </a:solidFill>
          </a:endParaRPr>
        </a:p>
      </xdr:txBody>
    </xdr:sp>
    <xdr:clientData/>
  </xdr:twoCellAnchor>
  <xdr:twoCellAnchor>
    <xdr:from>
      <xdr:col>9</xdr:col>
      <xdr:colOff>152400</xdr:colOff>
      <xdr:row>4</xdr:row>
      <xdr:rowOff>45720</xdr:rowOff>
    </xdr:from>
    <xdr:to>
      <xdr:col>15</xdr:col>
      <xdr:colOff>205740</xdr:colOff>
      <xdr:row>11</xdr:row>
      <xdr:rowOff>175260</xdr:rowOff>
    </xdr:to>
    <xdr:sp macro="" textlink="">
      <xdr:nvSpPr>
        <xdr:cNvPr id="8" name="Rectangle 7">
          <a:extLst>
            <a:ext uri="{FF2B5EF4-FFF2-40B4-BE49-F238E27FC236}">
              <a16:creationId xmlns:a16="http://schemas.microsoft.com/office/drawing/2014/main" id="{318D3CE3-B9B4-9F70-52C8-FCF218DC5903}"/>
            </a:ext>
          </a:extLst>
        </xdr:cNvPr>
        <xdr:cNvSpPr/>
      </xdr:nvSpPr>
      <xdr:spPr>
        <a:xfrm>
          <a:off x="5638800" y="777240"/>
          <a:ext cx="3710940" cy="1409700"/>
        </a:xfrm>
        <a:prstGeom prst="rect">
          <a:avLst/>
        </a:prstGeom>
        <a:solidFill>
          <a:schemeClr val="bg1"/>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Total</a:t>
          </a:r>
          <a:r>
            <a:rPr lang="en-IN" sz="1800" b="1">
              <a:solidFill>
                <a:schemeClr val="tx1"/>
              </a:solidFill>
            </a:rPr>
            <a:t> </a:t>
          </a:r>
          <a:r>
            <a:rPr lang="en-IN" sz="2400" b="1">
              <a:solidFill>
                <a:schemeClr val="tx1"/>
              </a:solidFill>
            </a:rPr>
            <a:t>Purchase</a:t>
          </a:r>
        </a:p>
      </xdr:txBody>
    </xdr:sp>
    <xdr:clientData/>
  </xdr:twoCellAnchor>
  <xdr:twoCellAnchor>
    <xdr:from>
      <xdr:col>3</xdr:col>
      <xdr:colOff>114300</xdr:colOff>
      <xdr:row>7</xdr:row>
      <xdr:rowOff>45720</xdr:rowOff>
    </xdr:from>
    <xdr:to>
      <xdr:col>5</xdr:col>
      <xdr:colOff>83820</xdr:colOff>
      <xdr:row>9</xdr:row>
      <xdr:rowOff>68580</xdr:rowOff>
    </xdr:to>
    <xdr:sp macro="" textlink="CATEGORYWISE!$B$12">
      <xdr:nvSpPr>
        <xdr:cNvPr id="11" name="Rectangle 10">
          <a:extLst>
            <a:ext uri="{FF2B5EF4-FFF2-40B4-BE49-F238E27FC236}">
              <a16:creationId xmlns:a16="http://schemas.microsoft.com/office/drawing/2014/main" id="{02ED5401-A6EC-40F6-9551-54BA5884D78A}"/>
            </a:ext>
          </a:extLst>
        </xdr:cNvPr>
        <xdr:cNvSpPr/>
      </xdr:nvSpPr>
      <xdr:spPr>
        <a:xfrm>
          <a:off x="1943100" y="1325880"/>
          <a:ext cx="1188720" cy="388620"/>
        </a:xfrm>
        <a:prstGeom prst="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78D2D4AF-89BE-4A42-A38D-439C16A8A703}" type="TxLink">
            <a:rPr lang="en-US" sz="1800" b="1" i="0" u="none" strike="noStrike">
              <a:solidFill>
                <a:srgbClr val="000000"/>
              </a:solidFill>
              <a:latin typeface="Calibri"/>
              <a:ea typeface="Calibri"/>
              <a:cs typeface="Calibri"/>
            </a:rPr>
            <a:pPr algn="l"/>
            <a:t>51009211</a:t>
          </a:fld>
          <a:endParaRPr lang="en-US" sz="1800" b="1"/>
        </a:p>
      </xdr:txBody>
    </xdr:sp>
    <xdr:clientData/>
  </xdr:twoCellAnchor>
  <xdr:twoCellAnchor>
    <xdr:from>
      <xdr:col>9</xdr:col>
      <xdr:colOff>365760</xdr:colOff>
      <xdr:row>7</xdr:row>
      <xdr:rowOff>7620</xdr:rowOff>
    </xdr:from>
    <xdr:to>
      <xdr:col>11</xdr:col>
      <xdr:colOff>441960</xdr:colOff>
      <xdr:row>9</xdr:row>
      <xdr:rowOff>30480</xdr:rowOff>
    </xdr:to>
    <xdr:sp macro="" textlink="CATEGORYWISE!$G$12">
      <xdr:nvSpPr>
        <xdr:cNvPr id="12" name="Rectangle 11">
          <a:extLst>
            <a:ext uri="{FF2B5EF4-FFF2-40B4-BE49-F238E27FC236}">
              <a16:creationId xmlns:a16="http://schemas.microsoft.com/office/drawing/2014/main" id="{69EECD9E-B422-DA0B-3A52-6810C955211F}"/>
            </a:ext>
          </a:extLst>
        </xdr:cNvPr>
        <xdr:cNvSpPr/>
      </xdr:nvSpPr>
      <xdr:spPr>
        <a:xfrm>
          <a:off x="5852160" y="1287780"/>
          <a:ext cx="1295400" cy="388620"/>
        </a:xfrm>
        <a:prstGeom prst="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6D7853C1-983A-4BFE-A57D-1F6993136D81}" type="TxLink">
            <a:rPr lang="en-US" sz="1800" b="1" i="0" u="none" strike="noStrike">
              <a:solidFill>
                <a:srgbClr val="000000"/>
              </a:solidFill>
              <a:latin typeface="Calibri"/>
              <a:ea typeface="Calibri"/>
              <a:cs typeface="Calibri"/>
            </a:rPr>
            <a:pPr algn="l"/>
            <a:t>33647206</a:t>
          </a:fld>
          <a:endParaRPr lang="en-US" sz="1800" b="1"/>
        </a:p>
      </xdr:txBody>
    </xdr:sp>
    <xdr:clientData/>
  </xdr:twoCellAnchor>
  <xdr:twoCellAnchor>
    <xdr:from>
      <xdr:col>15</xdr:col>
      <xdr:colOff>441960</xdr:colOff>
      <xdr:row>7</xdr:row>
      <xdr:rowOff>7620</xdr:rowOff>
    </xdr:from>
    <xdr:to>
      <xdr:col>17</xdr:col>
      <xdr:colOff>495300</xdr:colOff>
      <xdr:row>9</xdr:row>
      <xdr:rowOff>30480</xdr:rowOff>
    </xdr:to>
    <xdr:sp macro="" textlink="CATEGORYWISE!$L$12">
      <xdr:nvSpPr>
        <xdr:cNvPr id="13" name="Rectangle 12">
          <a:extLst>
            <a:ext uri="{FF2B5EF4-FFF2-40B4-BE49-F238E27FC236}">
              <a16:creationId xmlns:a16="http://schemas.microsoft.com/office/drawing/2014/main" id="{D98E942F-FAA0-9E9D-9E07-C484BB549E83}"/>
            </a:ext>
          </a:extLst>
        </xdr:cNvPr>
        <xdr:cNvSpPr/>
      </xdr:nvSpPr>
      <xdr:spPr>
        <a:xfrm>
          <a:off x="9585960" y="1287780"/>
          <a:ext cx="1272540" cy="388620"/>
        </a:xfrm>
        <a:prstGeom prst="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F819A001-1CDF-4229-8920-524F3EFA40C0}" type="TxLink">
            <a:rPr lang="en-US" sz="1800" b="1" i="0" u="none" strike="noStrike">
              <a:solidFill>
                <a:srgbClr val="000000"/>
              </a:solidFill>
              <a:latin typeface="Calibri"/>
              <a:ea typeface="Calibri"/>
              <a:cs typeface="Calibri"/>
            </a:rPr>
            <a:pPr algn="l"/>
            <a:t>17362005</a:t>
          </a:fld>
          <a:endParaRPr lang="en-US" sz="1800" b="1"/>
        </a:p>
      </xdr:txBody>
    </xdr:sp>
    <xdr:clientData/>
  </xdr:twoCellAnchor>
  <xdr:twoCellAnchor>
    <xdr:from>
      <xdr:col>5</xdr:col>
      <xdr:colOff>91440</xdr:colOff>
      <xdr:row>4</xdr:row>
      <xdr:rowOff>45720</xdr:rowOff>
    </xdr:from>
    <xdr:to>
      <xdr:col>8</xdr:col>
      <xdr:colOff>601980</xdr:colOff>
      <xdr:row>12</xdr:row>
      <xdr:rowOff>33808</xdr:rowOff>
    </xdr:to>
    <xdr:graphicFrame macro="">
      <xdr:nvGraphicFramePr>
        <xdr:cNvPr id="14" name="Chart 13">
          <a:extLst>
            <a:ext uri="{FF2B5EF4-FFF2-40B4-BE49-F238E27FC236}">
              <a16:creationId xmlns:a16="http://schemas.microsoft.com/office/drawing/2014/main" id="{BCA67361-EE11-469B-9B4B-97B36D939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579120</xdr:colOff>
      <xdr:row>4</xdr:row>
      <xdr:rowOff>45720</xdr:rowOff>
    </xdr:from>
    <xdr:to>
      <xdr:col>15</xdr:col>
      <xdr:colOff>53340</xdr:colOff>
      <xdr:row>12</xdr:row>
      <xdr:rowOff>46508</xdr:rowOff>
    </xdr:to>
    <xdr:graphicFrame macro="">
      <xdr:nvGraphicFramePr>
        <xdr:cNvPr id="15" name="Chart 14">
          <a:extLst>
            <a:ext uri="{FF2B5EF4-FFF2-40B4-BE49-F238E27FC236}">
              <a16:creationId xmlns:a16="http://schemas.microsoft.com/office/drawing/2014/main" id="{972918C6-A94D-4BAB-ACB4-AC8D2EFEC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236220</xdr:colOff>
      <xdr:row>4</xdr:row>
      <xdr:rowOff>45720</xdr:rowOff>
    </xdr:from>
    <xdr:to>
      <xdr:col>21</xdr:col>
      <xdr:colOff>162035</xdr:colOff>
      <xdr:row>12</xdr:row>
      <xdr:rowOff>60960</xdr:rowOff>
    </xdr:to>
    <xdr:graphicFrame macro="">
      <xdr:nvGraphicFramePr>
        <xdr:cNvPr id="16" name="Chart 15">
          <a:extLst>
            <a:ext uri="{FF2B5EF4-FFF2-40B4-BE49-F238E27FC236}">
              <a16:creationId xmlns:a16="http://schemas.microsoft.com/office/drawing/2014/main" id="{0B0A331E-0A24-4A0D-BA7D-45AE9E7D7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45720</xdr:colOff>
      <xdr:row>12</xdr:row>
      <xdr:rowOff>44823</xdr:rowOff>
    </xdr:from>
    <xdr:to>
      <xdr:col>7</xdr:col>
      <xdr:colOff>396240</xdr:colOff>
      <xdr:row>26</xdr:row>
      <xdr:rowOff>25549</xdr:rowOff>
    </xdr:to>
    <xdr:sp macro="" textlink="">
      <xdr:nvSpPr>
        <xdr:cNvPr id="9" name="Rectangle 8">
          <a:extLst>
            <a:ext uri="{FF2B5EF4-FFF2-40B4-BE49-F238E27FC236}">
              <a16:creationId xmlns:a16="http://schemas.microsoft.com/office/drawing/2014/main" id="{2B9A6EAE-37D3-1C69-2E03-15D1CC4E4D1C}"/>
            </a:ext>
          </a:extLst>
        </xdr:cNvPr>
        <xdr:cNvSpPr/>
      </xdr:nvSpPr>
      <xdr:spPr>
        <a:xfrm>
          <a:off x="45720" y="2196352"/>
          <a:ext cx="4586344" cy="2490844"/>
        </a:xfrm>
        <a:prstGeom prst="rect">
          <a:avLst/>
        </a:prstGeom>
        <a:solidFill>
          <a:schemeClr val="bg1"/>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i="1">
              <a:solidFill>
                <a:sysClr val="windowText" lastClr="000000"/>
              </a:solidFill>
            </a:rPr>
            <a:t>Monthwise</a:t>
          </a:r>
          <a:r>
            <a:rPr lang="en-IN" sz="2400" baseline="0">
              <a:solidFill>
                <a:sysClr val="windowText" lastClr="000000"/>
              </a:solidFill>
            </a:rPr>
            <a:t> </a:t>
          </a:r>
          <a:r>
            <a:rPr lang="en-IN" sz="2400" b="1" i="1" baseline="0">
              <a:solidFill>
                <a:sysClr val="windowText" lastClr="000000"/>
              </a:solidFill>
            </a:rPr>
            <a:t>Sale</a:t>
          </a:r>
          <a:endParaRPr lang="en-IN" sz="2400" b="1" i="1">
            <a:solidFill>
              <a:sysClr val="windowText" lastClr="000000"/>
            </a:solidFill>
          </a:endParaRPr>
        </a:p>
      </xdr:txBody>
    </xdr:sp>
    <xdr:clientData/>
  </xdr:twoCellAnchor>
  <xdr:twoCellAnchor>
    <xdr:from>
      <xdr:col>7</xdr:col>
      <xdr:colOff>448684</xdr:colOff>
      <xdr:row>12</xdr:row>
      <xdr:rowOff>48111</xdr:rowOff>
    </xdr:from>
    <xdr:to>
      <xdr:col>15</xdr:col>
      <xdr:colOff>189604</xdr:colOff>
      <xdr:row>26</xdr:row>
      <xdr:rowOff>17631</xdr:rowOff>
    </xdr:to>
    <xdr:sp macro="" textlink="">
      <xdr:nvSpPr>
        <xdr:cNvPr id="10" name="Rectangle 9">
          <a:extLst>
            <a:ext uri="{FF2B5EF4-FFF2-40B4-BE49-F238E27FC236}">
              <a16:creationId xmlns:a16="http://schemas.microsoft.com/office/drawing/2014/main" id="{4D07C57B-1F2A-2749-0397-428C8652E733}"/>
            </a:ext>
          </a:extLst>
        </xdr:cNvPr>
        <xdr:cNvSpPr/>
      </xdr:nvSpPr>
      <xdr:spPr>
        <a:xfrm>
          <a:off x="4736802" y="2199640"/>
          <a:ext cx="4641626" cy="2479638"/>
        </a:xfrm>
        <a:prstGeom prst="rect">
          <a:avLst/>
        </a:prstGeom>
        <a:solidFill>
          <a:schemeClr val="bg1"/>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i="1">
              <a:solidFill>
                <a:schemeClr val="tx1"/>
              </a:solidFill>
            </a:rPr>
            <a:t>Productwise</a:t>
          </a:r>
          <a:r>
            <a:rPr lang="en-IN" sz="1100" baseline="0">
              <a:solidFill>
                <a:schemeClr val="tx1"/>
              </a:solidFill>
            </a:rPr>
            <a:t> </a:t>
          </a:r>
          <a:r>
            <a:rPr lang="en-IN" sz="2400" b="1" i="1" baseline="0">
              <a:solidFill>
                <a:schemeClr val="tx1"/>
              </a:solidFill>
            </a:rPr>
            <a:t>Sale</a:t>
          </a:r>
          <a:endParaRPr lang="en-IN" sz="2400" b="1" i="1">
            <a:solidFill>
              <a:schemeClr val="tx1"/>
            </a:solidFill>
          </a:endParaRPr>
        </a:p>
      </xdr:txBody>
    </xdr:sp>
    <xdr:clientData/>
  </xdr:twoCellAnchor>
  <xdr:twoCellAnchor>
    <xdr:from>
      <xdr:col>0</xdr:col>
      <xdr:colOff>266700</xdr:colOff>
      <xdr:row>15</xdr:row>
      <xdr:rowOff>60960</xdr:rowOff>
    </xdr:from>
    <xdr:to>
      <xdr:col>7</xdr:col>
      <xdr:colOff>152400</xdr:colOff>
      <xdr:row>24</xdr:row>
      <xdr:rowOff>160020</xdr:rowOff>
    </xdr:to>
    <xdr:graphicFrame macro="">
      <xdr:nvGraphicFramePr>
        <xdr:cNvPr id="18" name="Chart 17">
          <a:extLst>
            <a:ext uri="{FF2B5EF4-FFF2-40B4-BE49-F238E27FC236}">
              <a16:creationId xmlns:a16="http://schemas.microsoft.com/office/drawing/2014/main" id="{DEA31E24-0FBF-4A94-A86F-978C3EFF5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491067</xdr:colOff>
      <xdr:row>16</xdr:row>
      <xdr:rowOff>160866</xdr:rowOff>
    </xdr:from>
    <xdr:to>
      <xdr:col>15</xdr:col>
      <xdr:colOff>101601</xdr:colOff>
      <xdr:row>26</xdr:row>
      <xdr:rowOff>7471</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23488D98-A531-48CE-B4AA-C19580A4F3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758267" y="3086946"/>
              <a:ext cx="4487334" cy="16754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248478</xdr:colOff>
      <xdr:row>12</xdr:row>
      <xdr:rowOff>50800</xdr:rowOff>
    </xdr:from>
    <xdr:to>
      <xdr:col>21</xdr:col>
      <xdr:colOff>321734</xdr:colOff>
      <xdr:row>26</xdr:row>
      <xdr:rowOff>8466</xdr:rowOff>
    </xdr:to>
    <xdr:sp macro="" textlink="">
      <xdr:nvSpPr>
        <xdr:cNvPr id="20" name="Rectangle 19">
          <a:extLst>
            <a:ext uri="{FF2B5EF4-FFF2-40B4-BE49-F238E27FC236}">
              <a16:creationId xmlns:a16="http://schemas.microsoft.com/office/drawing/2014/main" id="{B71AEFEF-87C7-CA38-CD28-24567BD2B49E}"/>
            </a:ext>
          </a:extLst>
        </xdr:cNvPr>
        <xdr:cNvSpPr/>
      </xdr:nvSpPr>
      <xdr:spPr>
        <a:xfrm>
          <a:off x="9442174" y="2237409"/>
          <a:ext cx="3750734" cy="2508709"/>
        </a:xfrm>
        <a:prstGeom prst="rect">
          <a:avLst/>
        </a:prstGeom>
        <a:solidFill>
          <a:schemeClr val="bg1"/>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i="1">
              <a:solidFill>
                <a:sysClr val="windowText" lastClr="000000"/>
              </a:solidFill>
            </a:rPr>
            <a:t>Statewise</a:t>
          </a:r>
          <a:r>
            <a:rPr lang="en-IN" sz="2400" baseline="0">
              <a:solidFill>
                <a:sysClr val="windowText" lastClr="000000"/>
              </a:solidFill>
            </a:rPr>
            <a:t> </a:t>
          </a:r>
          <a:r>
            <a:rPr lang="en-IN" sz="2400" b="1" i="1" baseline="0">
              <a:solidFill>
                <a:sysClr val="windowText" lastClr="000000"/>
              </a:solidFill>
            </a:rPr>
            <a:t>Sale</a:t>
          </a:r>
          <a:endParaRPr lang="en-IN" sz="2400" b="1" i="1">
            <a:solidFill>
              <a:sysClr val="windowText" lastClr="000000"/>
            </a:solidFill>
          </a:endParaRPr>
        </a:p>
      </xdr:txBody>
    </xdr:sp>
    <xdr:clientData/>
  </xdr:twoCellAnchor>
  <xdr:twoCellAnchor>
    <xdr:from>
      <xdr:col>15</xdr:col>
      <xdr:colOff>440267</xdr:colOff>
      <xdr:row>14</xdr:row>
      <xdr:rowOff>93134</xdr:rowOff>
    </xdr:from>
    <xdr:to>
      <xdr:col>21</xdr:col>
      <xdr:colOff>245533</xdr:colOff>
      <xdr:row>25</xdr:row>
      <xdr:rowOff>160866</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ABB31AEC-5BC1-4BF0-AEF0-5A800B17AD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584267" y="2653454"/>
              <a:ext cx="3462866" cy="20794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67733</xdr:colOff>
      <xdr:row>11</xdr:row>
      <xdr:rowOff>50801</xdr:rowOff>
    </xdr:from>
    <xdr:to>
      <xdr:col>15</xdr:col>
      <xdr:colOff>516467</xdr:colOff>
      <xdr:row>17</xdr:row>
      <xdr:rowOff>160867</xdr:rowOff>
    </xdr:to>
    <xdr:graphicFrame macro="">
      <xdr:nvGraphicFramePr>
        <xdr:cNvPr id="6" name="Chart 5">
          <a:extLst>
            <a:ext uri="{FF2B5EF4-FFF2-40B4-BE49-F238E27FC236}">
              <a16:creationId xmlns:a16="http://schemas.microsoft.com/office/drawing/2014/main" id="{7F9D7DFB-383B-41BD-9C84-A3D1CB843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513522</xdr:colOff>
      <xdr:row>0</xdr:row>
      <xdr:rowOff>0</xdr:rowOff>
    </xdr:from>
    <xdr:to>
      <xdr:col>5</xdr:col>
      <xdr:colOff>273326</xdr:colOff>
      <xdr:row>4</xdr:row>
      <xdr:rowOff>6848</xdr:rowOff>
    </xdr:to>
    <xdr:pic>
      <xdr:nvPicPr>
        <xdr:cNvPr id="22" name="Picture 21">
          <a:extLst>
            <a:ext uri="{FF2B5EF4-FFF2-40B4-BE49-F238E27FC236}">
              <a16:creationId xmlns:a16="http://schemas.microsoft.com/office/drawing/2014/main" id="{DDE229B1-DE61-3791-6762-618E5F517B9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13522" y="0"/>
          <a:ext cx="2824369" cy="735718"/>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3-27T16:47:31.707"/>
    </inkml:context>
    <inkml:brush xml:id="br0">
      <inkml:brushProperty name="width" value="0.035" units="cm"/>
      <inkml:brushProperty name="height" value="0.035" units="cm"/>
      <inkml:brushProperty name="color" value="#004F8B"/>
    </inkml:brush>
  </inkml:definitions>
  <inkml:trace contextRef="#ctx0" brushRef="#br0">1 0 24575,'3'0'0,"9"0"0,6 0 0,0 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3-27T16:47:31.708"/>
    </inkml:context>
    <inkml:brush xml:id="br0">
      <inkml:brushProperty name="width" value="0.035" units="cm"/>
      <inkml:brushProperty name="height" value="0.035" units="cm"/>
      <inkml:brushProperty name="color" value="#004F8B"/>
    </inkml:brush>
  </inkml:definitions>
  <inkml:trace contextRef="#ctx0" brushRef="#br0">1 0 24575,'3'0'0,"9"0"0,6 0 0,0 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3-27T16:47:31.709"/>
    </inkml:context>
    <inkml:brush xml:id="br0">
      <inkml:brushProperty name="width" value="0.035" units="cm"/>
      <inkml:brushProperty name="height" value="0.035" units="cm"/>
      <inkml:brushProperty name="color" value="#004F8B"/>
    </inkml:brush>
  </inkml:definitions>
  <inkml:trace contextRef="#ctx0" brushRef="#br0">1 0 24575,'3'0'0,"9"0"0,6 0 0,0 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3-27T16:47:31.710"/>
    </inkml:context>
    <inkml:brush xml:id="br0">
      <inkml:brushProperty name="width" value="0.035" units="cm"/>
      <inkml:brushProperty name="height" value="0.035" units="cm"/>
      <inkml:brushProperty name="color" value="#008C3A"/>
    </inkml:brush>
  </inkml:definitions>
  <inkml:trace contextRef="#ctx0" brushRef="#br0">0 0 24575,'0'0'-8191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0.046971180556" createdVersion="8" refreshedVersion="8" minRefreshableVersion="3" recordCount="992" xr:uid="{CD52D352-CCD8-498D-B527-31517B6EA488}">
  <cacheSource type="worksheet">
    <worksheetSource name="Table1"/>
  </cacheSource>
  <cacheFields count="14">
    <cacheField name="date" numFmtId="164">
      <sharedItems containsSemiMixedTypes="0" containsNonDate="0" containsDate="1" containsString="0" minDate="2024-04-01T00:00:00" maxDate="2025-02-26T00:00:00" count="331">
        <d v="2024-06-11T00:00:00"/>
        <d v="2024-06-12T00:00:00"/>
        <d v="2024-06-13T00:00:00"/>
        <d v="2024-06-14T00:00:00"/>
        <d v="2024-06-16T00:00:00"/>
        <d v="2024-06-17T00:00:00"/>
        <d v="2024-04-07T00:00:00"/>
        <d v="2024-06-29T00:00:00"/>
        <d v="2024-06-30T00:00:00"/>
        <d v="2024-07-01T00:00:00"/>
        <d v="2024-07-03T00:00:00"/>
        <d v="2024-07-04T00:00:00"/>
        <d v="2024-04-13T00:00:00"/>
        <d v="2024-07-05T00:00:00"/>
        <d v="2024-07-06T00:00:00"/>
        <d v="2024-07-07T00:00:00"/>
        <d v="2024-07-08T00:00:00"/>
        <d v="2024-07-09T00:00:00"/>
        <d v="2024-07-10T00:00:00"/>
        <d v="2024-08-06T00:00:00"/>
        <d v="2024-08-07T00:00:00"/>
        <d v="2024-08-09T00:00:00"/>
        <d v="2024-04-23T00:00:00"/>
        <d v="2024-08-10T00:00:00"/>
        <d v="2024-04-25T00:00:00"/>
        <d v="2024-08-11T00:00:00"/>
        <d v="2024-08-12T00:00:00"/>
        <d v="2024-09-08T00:00:00"/>
        <d v="2024-09-09T00:00:00"/>
        <d v="2024-09-10T00:00:00"/>
        <d v="2024-09-11T00:00:00"/>
        <d v="2024-09-12T00:00:00"/>
        <d v="2024-09-13T00:00:00"/>
        <d v="2024-09-15T00:00:00"/>
        <d v="2024-09-16T00:00:00"/>
        <d v="2024-09-17T00:00:00"/>
        <d v="2024-09-18T00:00:00"/>
        <d v="2024-09-27T00:00:00"/>
        <d v="2024-09-29T00:00:00"/>
        <d v="2024-10-01T00:00:00"/>
        <d v="2024-10-02T00:00:00"/>
        <d v="2024-10-03T00:00:00"/>
        <d v="2024-10-15T00:00:00"/>
        <d v="2024-10-16T00:00:00"/>
        <d v="2024-10-17T00:00:00"/>
        <d v="2024-10-19T00:00:00"/>
        <d v="2024-10-20T00:00:00"/>
        <d v="2024-10-22T00:00:00"/>
        <d v="2025-01-02T00:00:00"/>
        <d v="2024-05-20T00:00:00"/>
        <d v="2025-01-04T00:00:00"/>
        <d v="2025-01-06T00:00:00"/>
        <d v="2025-01-08T00:00:00"/>
        <d v="2025-01-21T00:00:00"/>
        <d v="2025-01-22T00:00:00"/>
        <d v="2025-01-23T00:00:00"/>
        <d v="2025-01-24T00:00:00"/>
        <d v="2025-01-25T00:00:00"/>
        <d v="2024-05-29T00:00:00"/>
        <d v="2025-01-27T00:00:00"/>
        <d v="2025-01-28T00:00:00"/>
        <d v="2025-01-29T00:00:00"/>
        <d v="2025-01-31T00:00:00"/>
        <d v="2024-06-15T00:00:00"/>
        <d v="2024-06-21T00:00:00"/>
        <d v="2024-07-02T00:00:00"/>
        <d v="2024-07-15T00:00:00"/>
        <d v="2024-08-03T00:00:00"/>
        <d v="2024-08-08T00:00:00"/>
        <d v="2024-08-16T00:00:00"/>
        <d v="2024-08-22T00:00:00"/>
        <d v="2024-08-31T00:00:00"/>
        <d v="2024-09-05T00:00:00"/>
        <d v="2024-09-14T00:00:00"/>
        <d v="2024-09-19T00:00:00"/>
        <d v="2024-09-28T00:00:00"/>
        <d v="2024-09-30T00:00:00"/>
        <d v="2024-10-06T00:00:00"/>
        <d v="2024-04-01T00:00:00"/>
        <d v="2024-04-02T00:00:00"/>
        <d v="2024-04-03T00:00:00"/>
        <d v="2024-10-13T00:00:00"/>
        <d v="2024-04-04T00:00:00"/>
        <d v="2024-04-09T00:00:00"/>
        <d v="2024-04-10T00:00:00"/>
        <d v="2024-04-11T00:00:00"/>
        <d v="2024-10-18T00:00:00"/>
        <d v="2024-04-12T00:00:00"/>
        <d v="2024-04-14T00:00:00"/>
        <d v="2024-10-21T00:00:00"/>
        <d v="2024-04-22T00:00:00"/>
        <d v="2024-10-23T00:00:00"/>
        <d v="2024-04-24T00:00:00"/>
        <d v="2024-10-25T00:00:00"/>
        <d v="2024-04-26T00:00:00"/>
        <d v="2024-04-27T00:00:00"/>
        <d v="2024-04-28T00:00:00"/>
        <d v="2024-04-29T00:00:00"/>
        <d v="2024-04-30T00:00:00"/>
        <d v="2024-05-01T00:00:00"/>
        <d v="2024-05-02T00:00:00"/>
        <d v="2024-05-03T00:00:00"/>
        <d v="2024-05-04T00:00:00"/>
        <d v="2024-05-05T00:00:00"/>
        <d v="2024-05-06T00:00:00"/>
        <d v="2024-11-06T00:00:00"/>
        <d v="2024-05-07T00:00:00"/>
        <d v="2024-05-08T00:00:00"/>
        <d v="2024-11-09T00:00:00"/>
        <d v="2024-05-09T00:00:00"/>
        <d v="2024-05-10T00:00:00"/>
        <d v="2024-05-11T00:00:00"/>
        <d v="2024-05-12T00:00:00"/>
        <d v="2024-11-14T00:00:00"/>
        <d v="2024-05-13T00:00:00"/>
        <d v="2024-05-14T00:00:00"/>
        <d v="2024-05-15T00:00:00"/>
        <d v="2024-11-18T00:00:00"/>
        <d v="2024-05-16T00:00:00"/>
        <d v="2024-11-20T00:00:00"/>
        <d v="2024-05-17T00:00:00"/>
        <d v="2024-05-18T00:00:00"/>
        <d v="2024-07-11T00:00:00"/>
        <d v="2024-07-12T00:00:00"/>
        <d v="2024-07-13T00:00:00"/>
        <d v="2024-07-14T00:00:00"/>
        <d v="2024-07-16T00:00:00"/>
        <d v="2024-07-17T00:00:00"/>
        <d v="2024-07-18T00:00:00"/>
        <d v="2024-11-30T00:00:00"/>
        <d v="2024-07-19T00:00:00"/>
        <d v="2024-07-20T00:00:00"/>
        <d v="2024-12-03T00:00:00"/>
        <d v="2024-07-21T00:00:00"/>
        <d v="2024-08-13T00:00:00"/>
        <d v="2024-08-14T00:00:00"/>
        <d v="2024-08-15T00:00:00"/>
        <d v="2024-12-08T00:00:00"/>
        <d v="2024-08-17T00:00:00"/>
        <d v="2024-08-18T00:00:00"/>
        <d v="2024-12-11T00:00:00"/>
        <d v="2024-08-19T00:00:00"/>
        <d v="2024-08-20T00:00:00"/>
        <d v="2024-08-21T00:00:00"/>
        <d v="2024-08-23T00:00:00"/>
        <d v="2024-12-16T00:00:00"/>
        <d v="2024-10-24T00:00:00"/>
        <d v="2024-10-26T00:00:00"/>
        <d v="2024-10-31T00:00:00"/>
        <d v="2024-12-20T00:00:00"/>
        <d v="2024-11-01T00:00:00"/>
        <d v="2024-12-22T00:00:00"/>
        <d v="2024-11-02T00:00:00"/>
        <d v="2024-11-03T00:00:00"/>
        <d v="2024-11-04T00:00:00"/>
        <d v="2024-11-05T00:00:00"/>
        <d v="2024-12-27T00:00:00"/>
        <d v="2024-11-13T00:00:00"/>
        <d v="2024-11-15T00:00:00"/>
        <d v="2024-11-16T00:00:00"/>
        <d v="2024-11-17T00:00:00"/>
        <d v="2024-11-19T00:00:00"/>
        <d v="2024-11-21T00:00:00"/>
        <d v="2025-01-03T00:00:00"/>
        <d v="2024-11-22T00:00:00"/>
        <d v="2025-01-05T00:00:00"/>
        <d v="2024-11-23T00:00:00"/>
        <d v="2025-01-07T00:00:00"/>
        <d v="2024-11-24T00:00:00"/>
        <d v="2024-11-25T00:00:00"/>
        <d v="2024-11-26T00:00:00"/>
        <d v="2024-11-27T00:00:00"/>
        <d v="2024-11-28T00:00:00"/>
        <d v="2024-11-29T00:00:00"/>
        <d v="2025-01-14T00:00:00"/>
        <d v="2024-12-01T00:00:00"/>
        <d v="2024-12-02T00:00:00"/>
        <d v="2024-12-04T00:00:00"/>
        <d v="2024-12-05T00:00:00"/>
        <d v="2024-12-06T00:00:00"/>
        <d v="2025-01-20T00:00:00"/>
        <d v="2024-12-07T00:00:00"/>
        <d v="2024-12-09T00:00:00"/>
        <d v="2025-02-01T00:00:00"/>
        <d v="2025-02-02T00:00:00"/>
        <d v="2025-02-03T00:00:00"/>
        <d v="2025-01-26T00:00:00"/>
        <d v="2025-02-04T00:00:00"/>
        <d v="2025-02-05T00:00:00"/>
        <d v="2025-02-06T00:00:00"/>
        <d v="2025-01-30T00:00:00"/>
        <d v="2025-02-07T00:00:00"/>
        <d v="2025-02-08T00:00:00"/>
        <d v="2025-02-09T00:00:00"/>
        <d v="2025-02-11T00:00:00"/>
        <d v="2025-02-10T00:00:00"/>
        <d v="2025-02-14T00:00:00"/>
        <d v="2025-02-21T00:00:00"/>
        <d v="2024-04-05T00:00:00"/>
        <d v="2024-04-06T00:00:00"/>
        <d v="2024-04-08T00:00:00"/>
        <d v="2024-04-15T00:00:00"/>
        <d v="2024-04-16T00:00:00"/>
        <d v="2024-04-17T00:00:00"/>
        <d v="2024-04-18T00:00:00"/>
        <d v="2024-04-19T00:00:00"/>
        <d v="2024-04-20T00:00:00"/>
        <d v="2024-04-21T00:00:00"/>
        <d v="2024-05-19T00:00:00"/>
        <d v="2024-05-21T00:00:00"/>
        <d v="2024-05-22T00:00:00"/>
        <d v="2024-05-23T00:00:00"/>
        <d v="2024-05-24T00:00:00"/>
        <d v="2024-05-25T00:00:00"/>
        <d v="2024-05-26T00:00:00"/>
        <d v="2024-05-27T00:00:00"/>
        <d v="2024-05-28T00:00:00"/>
        <d v="2024-05-30T00:00:00"/>
        <d v="2024-05-31T00:00:00"/>
        <d v="2024-06-01T00:00:00"/>
        <d v="2024-06-02T00:00:00"/>
        <d v="2024-06-03T00:00:00"/>
        <d v="2024-06-04T00:00:00"/>
        <d v="2024-06-05T00:00:00"/>
        <d v="2024-06-06T00:00:00"/>
        <d v="2024-06-07T00:00:00"/>
        <d v="2024-06-08T00:00:00"/>
        <d v="2024-06-09T00:00:00"/>
        <d v="2024-06-10T00:00:00"/>
        <d v="2024-06-18T00:00:00"/>
        <d v="2024-06-19T00:00:00"/>
        <d v="2024-06-20T00:00:00"/>
        <d v="2024-06-22T00:00:00"/>
        <d v="2024-06-23T00:00:00"/>
        <d v="2024-06-24T00:00:00"/>
        <d v="2024-06-25T00:00:00"/>
        <d v="2024-06-26T00:00:00"/>
        <d v="2024-06-27T00:00:00"/>
        <d v="2024-06-28T00:00:00"/>
        <d v="2024-07-22T00:00:00"/>
        <d v="2024-07-23T00:00:00"/>
        <d v="2024-07-24T00:00:00"/>
        <d v="2024-07-25T00:00:00"/>
        <d v="2024-07-26T00:00:00"/>
        <d v="2024-07-27T00:00:00"/>
        <d v="2024-07-28T00:00:00"/>
        <d v="2024-07-29T00:00:00"/>
        <d v="2024-07-30T00:00:00"/>
        <d v="2024-07-31T00:00:00"/>
        <d v="2024-08-01T00:00:00"/>
        <d v="2024-08-02T00:00:00"/>
        <d v="2024-08-04T00:00:00"/>
        <d v="2024-08-05T00:00:00"/>
        <d v="2024-08-24T00:00:00"/>
        <d v="2024-08-25T00:00:00"/>
        <d v="2024-08-26T00:00:00"/>
        <d v="2024-08-27T00:00:00"/>
        <d v="2024-08-28T00:00:00"/>
        <d v="2024-08-29T00:00:00"/>
        <d v="2024-08-30T00:00:00"/>
        <d v="2024-09-01T00:00:00"/>
        <d v="2024-09-02T00:00:00"/>
        <d v="2024-09-03T00:00:00"/>
        <d v="2024-09-04T00:00:00"/>
        <d v="2024-09-06T00:00:00"/>
        <d v="2024-09-07T00:00:00"/>
        <d v="2024-09-20T00:00:00"/>
        <d v="2024-09-21T00:00:00"/>
        <d v="2024-09-22T00:00:00"/>
        <d v="2024-09-23T00:00:00"/>
        <d v="2024-09-24T00:00:00"/>
        <d v="2024-09-25T00:00:00"/>
        <d v="2024-09-26T00:00:00"/>
        <d v="2024-10-04T00:00:00"/>
        <d v="2024-10-05T00:00:00"/>
        <d v="2024-10-07T00:00:00"/>
        <d v="2024-10-08T00:00:00"/>
        <d v="2024-10-09T00:00:00"/>
        <d v="2024-10-10T00:00:00"/>
        <d v="2024-10-11T00:00:00"/>
        <d v="2024-10-12T00:00:00"/>
        <d v="2024-10-14T00:00:00"/>
        <d v="2024-10-27T00:00:00"/>
        <d v="2024-10-28T00:00:00"/>
        <d v="2024-10-29T00:00:00"/>
        <d v="2024-10-30T00:00:00"/>
        <d v="2024-11-07T00:00:00"/>
        <d v="2024-11-08T00:00:00"/>
        <d v="2024-11-10T00:00:00"/>
        <d v="2024-11-11T00:00:00"/>
        <d v="2024-11-12T00:00:00"/>
        <d v="2024-12-10T00:00:00"/>
        <d v="2024-12-12T00:00:00"/>
        <d v="2024-12-13T00:00:00"/>
        <d v="2024-12-14T00:00:00"/>
        <d v="2024-12-15T00:00:00"/>
        <d v="2024-12-17T00:00:00"/>
        <d v="2024-12-18T00:00:00"/>
        <d v="2024-12-19T00:00:00"/>
        <d v="2024-12-21T00:00:00"/>
        <d v="2024-12-23T00:00:00"/>
        <d v="2024-12-24T00:00:00"/>
        <d v="2024-12-25T00:00:00"/>
        <d v="2024-12-26T00:00:00"/>
        <d v="2024-12-28T00:00:00"/>
        <d v="2024-12-29T00:00:00"/>
        <d v="2024-12-30T00:00:00"/>
        <d v="2024-12-31T00:00:00"/>
        <d v="2025-01-01T00:00:00"/>
        <d v="2025-01-09T00:00:00"/>
        <d v="2025-01-10T00:00:00"/>
        <d v="2025-01-11T00:00:00"/>
        <d v="2025-01-12T00:00:00"/>
        <d v="2025-01-13T00:00:00"/>
        <d v="2025-01-15T00:00:00"/>
        <d v="2025-01-16T00:00:00"/>
        <d v="2025-01-17T00:00:00"/>
        <d v="2025-01-18T00:00:00"/>
        <d v="2025-01-19T00:00:00"/>
        <d v="2025-02-12T00:00:00"/>
        <d v="2025-02-13T00:00:00"/>
        <d v="2025-02-15T00:00:00"/>
        <d v="2025-02-16T00:00:00"/>
        <d v="2025-02-17T00:00:00"/>
        <d v="2025-02-18T00:00:00"/>
        <d v="2025-02-19T00:00:00"/>
        <d v="2025-02-20T00:00:00"/>
        <d v="2025-02-22T00:00:00"/>
        <d v="2025-02-23T00:00:00"/>
        <d v="2025-02-24T00:00:00"/>
        <d v="2025-02-25T00:00:00"/>
      </sharedItems>
      <fieldGroup par="13"/>
    </cacheField>
    <cacheField name="Category" numFmtId="0">
      <sharedItems count="3">
        <s v="Decor"/>
        <s v="Fashion "/>
        <s v="Electronic"/>
      </sharedItems>
    </cacheField>
    <cacheField name="Product Name" numFmtId="0">
      <sharedItems count="11">
        <s v="Car accessories"/>
        <s v="Women dress"/>
        <s v="Home décor"/>
        <s v="Speaker"/>
        <s v="TV"/>
        <s v="Saree"/>
        <s v="Laptop"/>
        <s v="Suit"/>
        <s v="Earbuds"/>
        <s v="Male dress"/>
        <s v="CHAIR"/>
      </sharedItems>
    </cacheField>
    <cacheField name="State" numFmtId="0">
      <sharedItems count="20">
        <s v="Assam"/>
        <s v="Punjab"/>
        <s v="Chhattisgarh"/>
        <s v="West Bengal"/>
        <s v="Madhya Pradesh"/>
        <s v="Jharkhand"/>
        <s v="Gujarat"/>
        <s v="Uttar Pradesh"/>
        <s v="Maharashtra"/>
        <s v="Chandigarh"/>
        <s v="Andhra Pradesh"/>
        <s v="Bihar"/>
        <s v="Rajasthan"/>
        <s v="Tamil Nadu"/>
        <s v="Delhi"/>
        <s v="Karnataka"/>
        <s v="Telangana"/>
        <s v="Kerala"/>
        <s v="Himachal Pradesh"/>
        <s v="Uttarakhand"/>
      </sharedItems>
    </cacheField>
    <cacheField name="Gender" numFmtId="0">
      <sharedItems/>
    </cacheField>
    <cacheField name="Quantity" numFmtId="0">
      <sharedItems containsSemiMixedTypes="0" containsString="0" containsNumber="1" containsInteger="1" minValue="10" maxValue="100"/>
    </cacheField>
    <cacheField name="Cost" numFmtId="0">
      <sharedItems containsSemiMixedTypes="0" containsString="0" containsNumber="1" containsInteger="1" minValue="500" maxValue="1000"/>
    </cacheField>
    <cacheField name="Price" numFmtId="0">
      <sharedItems containsSemiMixedTypes="0" containsString="0" containsNumber="1" containsInteger="1" minValue="750" maxValue="1500"/>
    </cacheField>
    <cacheField name="Purchase Cost" numFmtId="0">
      <sharedItems containsSemiMixedTypes="0" containsString="0" containsNumber="1" containsInteger="1" minValue="5190" maxValue="95254"/>
    </cacheField>
    <cacheField name="Sale Price" numFmtId="0">
      <sharedItems containsSemiMixedTypes="0" containsString="0" containsNumber="1" containsInteger="1" minValue="8010" maxValue="146600"/>
    </cacheField>
    <cacheField name="Profit" numFmtId="0">
      <sharedItems containsSemiMixedTypes="0" containsString="0" containsNumber="1" containsInteger="1" minValue="-14996" maxValue="88949"/>
    </cacheField>
    <cacheField name="Months (date)" numFmtId="0" databaseField="0">
      <fieldGroup base="0">
        <rangePr groupBy="months" startDate="2024-04-01T00:00:00" endDate="2025-02-26T00:00:00"/>
        <groupItems count="14">
          <s v="&lt;01-04-2024"/>
          <s v="Jan"/>
          <s v="Feb"/>
          <s v="Mar"/>
          <s v="Apr"/>
          <s v="May"/>
          <s v="Jun"/>
          <s v="Jul"/>
          <s v="Aug"/>
          <s v="Sep"/>
          <s v="Oct"/>
          <s v="Nov"/>
          <s v="Dec"/>
          <s v="&gt;26-02-2025"/>
        </groupItems>
      </fieldGroup>
    </cacheField>
    <cacheField name="Quarters (date)" numFmtId="0" databaseField="0">
      <fieldGroup base="0">
        <rangePr groupBy="quarters" startDate="2024-04-01T00:00:00" endDate="2025-02-26T00:00:00"/>
        <groupItems count="6">
          <s v="&lt;01-04-2024"/>
          <s v="Qtr1"/>
          <s v="Qtr2"/>
          <s v="Qtr3"/>
          <s v="Qtr4"/>
          <s v="&gt;26-02-2025"/>
        </groupItems>
      </fieldGroup>
    </cacheField>
    <cacheField name="Years (date)" numFmtId="0" databaseField="0">
      <fieldGroup base="0">
        <rangePr groupBy="years" startDate="2024-04-01T00:00:00" endDate="2025-02-26T00:00:00"/>
        <groupItems count="4">
          <s v="&lt;01-04-2024"/>
          <s v="2024"/>
          <s v="2025"/>
          <s v="&gt;26-02-2025"/>
        </groupItems>
      </fieldGroup>
    </cacheField>
  </cacheFields>
  <extLst>
    <ext xmlns:x14="http://schemas.microsoft.com/office/spreadsheetml/2009/9/main" uri="{725AE2AE-9491-48be-B2B4-4EB974FC3084}">
      <x14:pivotCacheDefinition pivotCacheId="16330273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x v="0"/>
    <x v="0"/>
    <x v="0"/>
    <x v="0"/>
    <s v="Female"/>
    <n v="17"/>
    <n v="938"/>
    <n v="938"/>
    <n v="15946"/>
    <n v="15946"/>
    <n v="0"/>
  </r>
  <r>
    <x v="1"/>
    <x v="0"/>
    <x v="0"/>
    <x v="1"/>
    <s v="Female"/>
    <n v="18"/>
    <n v="920"/>
    <n v="1360"/>
    <n v="16560"/>
    <n v="24480"/>
    <n v="7920"/>
  </r>
  <r>
    <x v="2"/>
    <x v="0"/>
    <x v="0"/>
    <x v="2"/>
    <s v="Female"/>
    <n v="20"/>
    <n v="731"/>
    <n v="1186"/>
    <n v="14620"/>
    <n v="23720"/>
    <n v="9100"/>
  </r>
  <r>
    <x v="3"/>
    <x v="0"/>
    <x v="0"/>
    <x v="3"/>
    <s v="Female"/>
    <n v="17"/>
    <n v="750"/>
    <n v="793"/>
    <n v="12750"/>
    <n v="13481"/>
    <n v="731"/>
  </r>
  <r>
    <x v="4"/>
    <x v="0"/>
    <x v="0"/>
    <x v="4"/>
    <s v="Male"/>
    <n v="14"/>
    <n v="906"/>
    <n v="1327"/>
    <n v="12684"/>
    <n v="18578"/>
    <n v="5894"/>
  </r>
  <r>
    <x v="5"/>
    <x v="0"/>
    <x v="0"/>
    <x v="5"/>
    <s v="Male"/>
    <n v="20"/>
    <n v="699"/>
    <n v="1400"/>
    <n v="13980"/>
    <n v="28000"/>
    <n v="14020"/>
  </r>
  <r>
    <x v="6"/>
    <x v="1"/>
    <x v="1"/>
    <x v="6"/>
    <s v="Male"/>
    <n v="55"/>
    <n v="637"/>
    <n v="1143"/>
    <n v="35035"/>
    <n v="62865"/>
    <n v="27830"/>
  </r>
  <r>
    <x v="7"/>
    <x v="0"/>
    <x v="2"/>
    <x v="6"/>
    <s v="Female"/>
    <n v="17"/>
    <n v="537"/>
    <n v="1350"/>
    <n v="9129"/>
    <n v="22950"/>
    <n v="13821"/>
  </r>
  <r>
    <x v="8"/>
    <x v="0"/>
    <x v="2"/>
    <x v="7"/>
    <s v="Female"/>
    <n v="20"/>
    <n v="875"/>
    <n v="911"/>
    <n v="17500"/>
    <n v="18220"/>
    <n v="720"/>
  </r>
  <r>
    <x v="9"/>
    <x v="0"/>
    <x v="2"/>
    <x v="7"/>
    <s v="Female"/>
    <n v="13"/>
    <n v="917"/>
    <n v="1315"/>
    <n v="11921"/>
    <n v="17095"/>
    <n v="5174"/>
  </r>
  <r>
    <x v="10"/>
    <x v="0"/>
    <x v="2"/>
    <x v="4"/>
    <s v="Female"/>
    <n v="12"/>
    <n v="980"/>
    <n v="1462"/>
    <n v="11760"/>
    <n v="17544"/>
    <n v="5784"/>
  </r>
  <r>
    <x v="11"/>
    <x v="0"/>
    <x v="2"/>
    <x v="8"/>
    <s v="Female"/>
    <n v="12"/>
    <n v="734"/>
    <n v="1181"/>
    <n v="8808"/>
    <n v="14172"/>
    <n v="5364"/>
  </r>
  <r>
    <x v="12"/>
    <x v="2"/>
    <x v="3"/>
    <x v="8"/>
    <s v="Female"/>
    <n v="29"/>
    <n v="951"/>
    <n v="1268"/>
    <n v="27579"/>
    <n v="36772"/>
    <n v="9193"/>
  </r>
  <r>
    <x v="13"/>
    <x v="0"/>
    <x v="2"/>
    <x v="9"/>
    <s v="Female"/>
    <n v="12"/>
    <n v="913"/>
    <n v="1170"/>
    <n v="10956"/>
    <n v="14040"/>
    <n v="3084"/>
  </r>
  <r>
    <x v="14"/>
    <x v="0"/>
    <x v="2"/>
    <x v="4"/>
    <s v="Male"/>
    <n v="20"/>
    <n v="833"/>
    <n v="877"/>
    <n v="16660"/>
    <n v="17540"/>
    <n v="880"/>
  </r>
  <r>
    <x v="15"/>
    <x v="0"/>
    <x v="2"/>
    <x v="10"/>
    <s v="Male"/>
    <n v="17"/>
    <n v="748"/>
    <n v="1138"/>
    <n v="12716"/>
    <n v="19346"/>
    <n v="6630"/>
  </r>
  <r>
    <x v="16"/>
    <x v="0"/>
    <x v="2"/>
    <x v="11"/>
    <s v="Male"/>
    <n v="20"/>
    <n v="517"/>
    <n v="1405"/>
    <n v="10340"/>
    <n v="28100"/>
    <n v="17760"/>
  </r>
  <r>
    <x v="17"/>
    <x v="0"/>
    <x v="2"/>
    <x v="6"/>
    <s v="Male"/>
    <n v="18"/>
    <n v="674"/>
    <n v="775"/>
    <n v="12132"/>
    <n v="13950"/>
    <n v="1818"/>
  </r>
  <r>
    <x v="18"/>
    <x v="0"/>
    <x v="2"/>
    <x v="7"/>
    <s v="Female"/>
    <n v="17"/>
    <n v="641"/>
    <n v="765"/>
    <n v="10897"/>
    <n v="13005"/>
    <n v="2108"/>
  </r>
  <r>
    <x v="19"/>
    <x v="0"/>
    <x v="2"/>
    <x v="8"/>
    <s v="Female"/>
    <n v="10"/>
    <n v="754"/>
    <n v="982"/>
    <n v="7540"/>
    <n v="9820"/>
    <n v="2280"/>
  </r>
  <r>
    <x v="20"/>
    <x v="0"/>
    <x v="2"/>
    <x v="12"/>
    <s v="Female"/>
    <n v="14"/>
    <n v="815"/>
    <n v="1341"/>
    <n v="11410"/>
    <n v="18774"/>
    <n v="7364"/>
  </r>
  <r>
    <x v="21"/>
    <x v="0"/>
    <x v="2"/>
    <x v="7"/>
    <s v="Female"/>
    <n v="18"/>
    <n v="704"/>
    <n v="930"/>
    <n v="12672"/>
    <n v="16740"/>
    <n v="4068"/>
  </r>
  <r>
    <x v="22"/>
    <x v="2"/>
    <x v="4"/>
    <x v="13"/>
    <s v="Male"/>
    <n v="25"/>
    <n v="958"/>
    <n v="942"/>
    <n v="23950"/>
    <n v="23550"/>
    <n v="-400"/>
  </r>
  <r>
    <x v="23"/>
    <x v="0"/>
    <x v="2"/>
    <x v="7"/>
    <s v="Female"/>
    <n v="19"/>
    <n v="744"/>
    <n v="1433"/>
    <n v="14136"/>
    <n v="27227"/>
    <n v="13091"/>
  </r>
  <r>
    <x v="24"/>
    <x v="2"/>
    <x v="4"/>
    <x v="12"/>
    <s v="Female"/>
    <n v="26"/>
    <n v="520"/>
    <n v="1486"/>
    <n v="13520"/>
    <n v="38636"/>
    <n v="25116"/>
  </r>
  <r>
    <x v="25"/>
    <x v="0"/>
    <x v="2"/>
    <x v="8"/>
    <s v="Male"/>
    <n v="10"/>
    <n v="669"/>
    <n v="1344"/>
    <n v="6690"/>
    <n v="13440"/>
    <n v="6750"/>
  </r>
  <r>
    <x v="26"/>
    <x v="0"/>
    <x v="2"/>
    <x v="4"/>
    <s v="Male"/>
    <n v="20"/>
    <n v="966"/>
    <n v="924"/>
    <n v="19320"/>
    <n v="18480"/>
    <n v="-840"/>
  </r>
  <r>
    <x v="27"/>
    <x v="0"/>
    <x v="2"/>
    <x v="14"/>
    <s v="Male"/>
    <n v="18"/>
    <n v="859"/>
    <n v="1044"/>
    <n v="15462"/>
    <n v="18792"/>
    <n v="3330"/>
  </r>
  <r>
    <x v="28"/>
    <x v="0"/>
    <x v="2"/>
    <x v="8"/>
    <s v="Male"/>
    <n v="15"/>
    <n v="890"/>
    <n v="1362"/>
    <n v="13350"/>
    <n v="20430"/>
    <n v="7080"/>
  </r>
  <r>
    <x v="29"/>
    <x v="0"/>
    <x v="2"/>
    <x v="3"/>
    <s v="Male"/>
    <n v="19"/>
    <n v="630"/>
    <n v="882"/>
    <n v="11970"/>
    <n v="16758"/>
    <n v="4788"/>
  </r>
  <r>
    <x v="30"/>
    <x v="0"/>
    <x v="2"/>
    <x v="13"/>
    <s v="Male"/>
    <n v="10"/>
    <n v="701"/>
    <n v="1384"/>
    <n v="7010"/>
    <n v="13840"/>
    <n v="6830"/>
  </r>
  <r>
    <x v="31"/>
    <x v="0"/>
    <x v="2"/>
    <x v="15"/>
    <s v="Female"/>
    <n v="19"/>
    <n v="653"/>
    <n v="1402"/>
    <n v="12407"/>
    <n v="26638"/>
    <n v="14231"/>
  </r>
  <r>
    <x v="32"/>
    <x v="0"/>
    <x v="2"/>
    <x v="16"/>
    <s v="Female"/>
    <n v="14"/>
    <n v="968"/>
    <n v="1419"/>
    <n v="13552"/>
    <n v="19866"/>
    <n v="6314"/>
  </r>
  <r>
    <x v="33"/>
    <x v="0"/>
    <x v="2"/>
    <x v="8"/>
    <s v="Female"/>
    <n v="20"/>
    <n v="508"/>
    <n v="1433"/>
    <n v="10160"/>
    <n v="28660"/>
    <n v="18500"/>
  </r>
  <r>
    <x v="34"/>
    <x v="0"/>
    <x v="2"/>
    <x v="12"/>
    <s v="Female"/>
    <n v="12"/>
    <n v="539"/>
    <n v="1136"/>
    <n v="6468"/>
    <n v="13632"/>
    <n v="7164"/>
  </r>
  <r>
    <x v="35"/>
    <x v="0"/>
    <x v="2"/>
    <x v="6"/>
    <s v="Female"/>
    <n v="10"/>
    <n v="731"/>
    <n v="1226"/>
    <n v="7310"/>
    <n v="12260"/>
    <n v="4950"/>
  </r>
  <r>
    <x v="36"/>
    <x v="0"/>
    <x v="2"/>
    <x v="7"/>
    <s v="Female"/>
    <n v="15"/>
    <n v="621"/>
    <n v="1488"/>
    <n v="9315"/>
    <n v="22320"/>
    <n v="13005"/>
  </r>
  <r>
    <x v="37"/>
    <x v="0"/>
    <x v="0"/>
    <x v="6"/>
    <s v="Male"/>
    <n v="16"/>
    <n v="963"/>
    <n v="1186"/>
    <n v="15408"/>
    <n v="18976"/>
    <n v="3568"/>
  </r>
  <r>
    <x v="38"/>
    <x v="0"/>
    <x v="0"/>
    <x v="7"/>
    <s v="Female"/>
    <n v="13"/>
    <n v="762"/>
    <n v="1311"/>
    <n v="9906"/>
    <n v="17043"/>
    <n v="7137"/>
  </r>
  <r>
    <x v="39"/>
    <x v="0"/>
    <x v="0"/>
    <x v="13"/>
    <s v="Female"/>
    <n v="14"/>
    <n v="909"/>
    <n v="780"/>
    <n v="12726"/>
    <n v="10920"/>
    <n v="-1806"/>
  </r>
  <r>
    <x v="40"/>
    <x v="0"/>
    <x v="0"/>
    <x v="12"/>
    <s v="Female"/>
    <n v="11"/>
    <n v="858"/>
    <n v="1080"/>
    <n v="9438"/>
    <n v="11880"/>
    <n v="2442"/>
  </r>
  <r>
    <x v="41"/>
    <x v="0"/>
    <x v="0"/>
    <x v="7"/>
    <s v="Female"/>
    <n v="12"/>
    <n v="516"/>
    <n v="857"/>
    <n v="6192"/>
    <n v="10284"/>
    <n v="4092"/>
  </r>
  <r>
    <x v="42"/>
    <x v="0"/>
    <x v="2"/>
    <x v="5"/>
    <s v="Male"/>
    <n v="20"/>
    <n v="817"/>
    <n v="1324"/>
    <n v="16340"/>
    <n v="26480"/>
    <n v="10140"/>
  </r>
  <r>
    <x v="43"/>
    <x v="0"/>
    <x v="2"/>
    <x v="3"/>
    <s v="Male"/>
    <n v="16"/>
    <n v="935"/>
    <n v="980"/>
    <n v="14960"/>
    <n v="15680"/>
    <n v="720"/>
  </r>
  <r>
    <x v="44"/>
    <x v="0"/>
    <x v="2"/>
    <x v="15"/>
    <s v="Male"/>
    <n v="17"/>
    <n v="642"/>
    <n v="1095"/>
    <n v="10914"/>
    <n v="18615"/>
    <n v="7701"/>
  </r>
  <r>
    <x v="45"/>
    <x v="0"/>
    <x v="2"/>
    <x v="6"/>
    <s v="Female"/>
    <n v="18"/>
    <n v="596"/>
    <n v="817"/>
    <n v="10728"/>
    <n v="14706"/>
    <n v="3978"/>
  </r>
  <r>
    <x v="46"/>
    <x v="0"/>
    <x v="2"/>
    <x v="7"/>
    <s v="Female"/>
    <n v="14"/>
    <n v="533"/>
    <n v="922"/>
    <n v="7462"/>
    <n v="12908"/>
    <n v="5446"/>
  </r>
  <r>
    <x v="47"/>
    <x v="0"/>
    <x v="2"/>
    <x v="13"/>
    <s v="Female"/>
    <n v="19"/>
    <n v="578"/>
    <n v="1434"/>
    <n v="10982"/>
    <n v="27246"/>
    <n v="16264"/>
  </r>
  <r>
    <x v="48"/>
    <x v="0"/>
    <x v="0"/>
    <x v="3"/>
    <s v="Female"/>
    <n v="14"/>
    <n v="521"/>
    <n v="974"/>
    <n v="7294"/>
    <n v="13636"/>
    <n v="6342"/>
  </r>
  <r>
    <x v="49"/>
    <x v="1"/>
    <x v="5"/>
    <x v="6"/>
    <s v="Male"/>
    <n v="79"/>
    <n v="616"/>
    <n v="944"/>
    <n v="48664"/>
    <n v="74576"/>
    <n v="25912"/>
  </r>
  <r>
    <x v="50"/>
    <x v="0"/>
    <x v="0"/>
    <x v="14"/>
    <s v="Female"/>
    <n v="14"/>
    <n v="734"/>
    <n v="1058"/>
    <n v="10276"/>
    <n v="14812"/>
    <n v="4536"/>
  </r>
  <r>
    <x v="51"/>
    <x v="0"/>
    <x v="0"/>
    <x v="1"/>
    <s v="Female"/>
    <n v="20"/>
    <n v="837"/>
    <n v="1014"/>
    <n v="16740"/>
    <n v="20280"/>
    <n v="3540"/>
  </r>
  <r>
    <x v="52"/>
    <x v="0"/>
    <x v="0"/>
    <x v="3"/>
    <s v="Male"/>
    <n v="11"/>
    <n v="617"/>
    <n v="1025"/>
    <n v="6787"/>
    <n v="11275"/>
    <n v="4488"/>
  </r>
  <r>
    <x v="53"/>
    <x v="0"/>
    <x v="2"/>
    <x v="0"/>
    <s v="Female"/>
    <n v="20"/>
    <n v="749"/>
    <n v="753"/>
    <n v="14980"/>
    <n v="15060"/>
    <n v="80"/>
  </r>
  <r>
    <x v="54"/>
    <x v="0"/>
    <x v="2"/>
    <x v="1"/>
    <s v="Female"/>
    <n v="15"/>
    <n v="924"/>
    <n v="1024"/>
    <n v="13860"/>
    <n v="15360"/>
    <n v="1500"/>
  </r>
  <r>
    <x v="55"/>
    <x v="0"/>
    <x v="2"/>
    <x v="2"/>
    <s v="Female"/>
    <n v="18"/>
    <n v="601"/>
    <n v="1246"/>
    <n v="10818"/>
    <n v="22428"/>
    <n v="11610"/>
  </r>
  <r>
    <x v="56"/>
    <x v="0"/>
    <x v="2"/>
    <x v="3"/>
    <s v="Female"/>
    <n v="17"/>
    <n v="626"/>
    <n v="1462"/>
    <n v="10642"/>
    <n v="24854"/>
    <n v="14212"/>
  </r>
  <r>
    <x v="57"/>
    <x v="0"/>
    <x v="2"/>
    <x v="3"/>
    <s v="Female"/>
    <n v="13"/>
    <n v="542"/>
    <n v="853"/>
    <n v="7046"/>
    <n v="11089"/>
    <n v="4043"/>
  </r>
  <r>
    <x v="58"/>
    <x v="1"/>
    <x v="5"/>
    <x v="11"/>
    <s v="Male"/>
    <n v="50"/>
    <n v="639"/>
    <n v="789"/>
    <n v="31950"/>
    <n v="39450"/>
    <n v="7500"/>
  </r>
  <r>
    <x v="59"/>
    <x v="0"/>
    <x v="2"/>
    <x v="5"/>
    <s v="Male"/>
    <n v="19"/>
    <n v="595"/>
    <n v="1424"/>
    <n v="11305"/>
    <n v="27056"/>
    <n v="15751"/>
  </r>
  <r>
    <x v="60"/>
    <x v="0"/>
    <x v="2"/>
    <x v="3"/>
    <s v="Male"/>
    <n v="17"/>
    <n v="593"/>
    <n v="895"/>
    <n v="10081"/>
    <n v="15215"/>
    <n v="5134"/>
  </r>
  <r>
    <x v="61"/>
    <x v="0"/>
    <x v="2"/>
    <x v="7"/>
    <s v="Male"/>
    <n v="20"/>
    <n v="735"/>
    <n v="1277"/>
    <n v="14700"/>
    <n v="25540"/>
    <n v="10840"/>
  </r>
  <r>
    <x v="62"/>
    <x v="0"/>
    <x v="2"/>
    <x v="17"/>
    <s v="Male"/>
    <n v="17"/>
    <n v="750"/>
    <n v="1253"/>
    <n v="12750"/>
    <n v="21301"/>
    <n v="8551"/>
  </r>
  <r>
    <x v="0"/>
    <x v="0"/>
    <x v="0"/>
    <x v="0"/>
    <s v="Female"/>
    <n v="11"/>
    <n v="601"/>
    <n v="1323"/>
    <n v="6611"/>
    <n v="14553"/>
    <n v="7942"/>
  </r>
  <r>
    <x v="1"/>
    <x v="0"/>
    <x v="0"/>
    <x v="1"/>
    <s v="Female"/>
    <n v="20"/>
    <n v="857"/>
    <n v="983"/>
    <n v="17140"/>
    <n v="19660"/>
    <n v="2520"/>
  </r>
  <r>
    <x v="2"/>
    <x v="0"/>
    <x v="0"/>
    <x v="2"/>
    <s v="Female"/>
    <n v="11"/>
    <n v="774"/>
    <n v="1363"/>
    <n v="8514"/>
    <n v="14993"/>
    <n v="6479"/>
  </r>
  <r>
    <x v="3"/>
    <x v="0"/>
    <x v="0"/>
    <x v="3"/>
    <s v="Female"/>
    <n v="13"/>
    <n v="986"/>
    <n v="1073"/>
    <n v="12818"/>
    <n v="13949"/>
    <n v="1131"/>
  </r>
  <r>
    <x v="4"/>
    <x v="0"/>
    <x v="0"/>
    <x v="4"/>
    <s v="Male"/>
    <n v="12"/>
    <n v="997"/>
    <n v="1445"/>
    <n v="11964"/>
    <n v="17340"/>
    <n v="5376"/>
  </r>
  <r>
    <x v="5"/>
    <x v="0"/>
    <x v="0"/>
    <x v="5"/>
    <s v="Male"/>
    <n v="20"/>
    <n v="941"/>
    <n v="1053"/>
    <n v="18820"/>
    <n v="21060"/>
    <n v="2240"/>
  </r>
  <r>
    <x v="7"/>
    <x v="0"/>
    <x v="2"/>
    <x v="6"/>
    <s v="Female"/>
    <n v="19"/>
    <n v="952"/>
    <n v="1486"/>
    <n v="18088"/>
    <n v="28234"/>
    <n v="10146"/>
  </r>
  <r>
    <x v="8"/>
    <x v="0"/>
    <x v="2"/>
    <x v="7"/>
    <s v="Female"/>
    <n v="11"/>
    <n v="503"/>
    <n v="762"/>
    <n v="5533"/>
    <n v="8382"/>
    <n v="2849"/>
  </r>
  <r>
    <x v="9"/>
    <x v="0"/>
    <x v="2"/>
    <x v="7"/>
    <s v="Female"/>
    <n v="10"/>
    <n v="719"/>
    <n v="862"/>
    <n v="7190"/>
    <n v="8620"/>
    <n v="1430"/>
  </r>
  <r>
    <x v="10"/>
    <x v="0"/>
    <x v="2"/>
    <x v="4"/>
    <s v="Female"/>
    <n v="15"/>
    <n v="941"/>
    <n v="913"/>
    <n v="14115"/>
    <n v="13695"/>
    <n v="-420"/>
  </r>
  <r>
    <x v="11"/>
    <x v="0"/>
    <x v="2"/>
    <x v="8"/>
    <s v="Female"/>
    <n v="15"/>
    <n v="937"/>
    <n v="1427"/>
    <n v="14055"/>
    <n v="21405"/>
    <n v="7350"/>
  </r>
  <r>
    <x v="13"/>
    <x v="0"/>
    <x v="2"/>
    <x v="9"/>
    <s v="Female"/>
    <n v="11"/>
    <n v="674"/>
    <n v="1415"/>
    <n v="7414"/>
    <n v="15565"/>
    <n v="8151"/>
  </r>
  <r>
    <x v="63"/>
    <x v="0"/>
    <x v="0"/>
    <x v="3"/>
    <s v="Female"/>
    <n v="20"/>
    <n v="827"/>
    <n v="816"/>
    <n v="16540"/>
    <n v="16320"/>
    <n v="-220"/>
  </r>
  <r>
    <x v="14"/>
    <x v="0"/>
    <x v="2"/>
    <x v="4"/>
    <s v="Male"/>
    <n v="20"/>
    <n v="596"/>
    <n v="1255"/>
    <n v="11920"/>
    <n v="25100"/>
    <n v="13180"/>
  </r>
  <r>
    <x v="15"/>
    <x v="0"/>
    <x v="2"/>
    <x v="10"/>
    <s v="Male"/>
    <n v="20"/>
    <n v="689"/>
    <n v="939"/>
    <n v="13780"/>
    <n v="18780"/>
    <n v="5000"/>
  </r>
  <r>
    <x v="16"/>
    <x v="0"/>
    <x v="2"/>
    <x v="11"/>
    <s v="Male"/>
    <n v="17"/>
    <n v="990"/>
    <n v="1391"/>
    <n v="16830"/>
    <n v="23647"/>
    <n v="6817"/>
  </r>
  <r>
    <x v="17"/>
    <x v="0"/>
    <x v="2"/>
    <x v="6"/>
    <s v="Male"/>
    <n v="20"/>
    <n v="589"/>
    <n v="773"/>
    <n v="11780"/>
    <n v="15460"/>
    <n v="3680"/>
  </r>
  <r>
    <x v="18"/>
    <x v="0"/>
    <x v="2"/>
    <x v="7"/>
    <s v="Female"/>
    <n v="17"/>
    <n v="773"/>
    <n v="1266"/>
    <n v="13141"/>
    <n v="21522"/>
    <n v="8381"/>
  </r>
  <r>
    <x v="64"/>
    <x v="1"/>
    <x v="5"/>
    <x v="8"/>
    <s v="Female"/>
    <n v="75"/>
    <n v="859"/>
    <n v="1486"/>
    <n v="64425"/>
    <n v="111450"/>
    <n v="47025"/>
  </r>
  <r>
    <x v="19"/>
    <x v="0"/>
    <x v="2"/>
    <x v="8"/>
    <s v="Female"/>
    <n v="11"/>
    <n v="830"/>
    <n v="1386"/>
    <n v="9130"/>
    <n v="15246"/>
    <n v="6116"/>
  </r>
  <r>
    <x v="20"/>
    <x v="0"/>
    <x v="2"/>
    <x v="12"/>
    <s v="Female"/>
    <n v="11"/>
    <n v="930"/>
    <n v="876"/>
    <n v="10230"/>
    <n v="9636"/>
    <n v="-594"/>
  </r>
  <r>
    <x v="21"/>
    <x v="0"/>
    <x v="2"/>
    <x v="7"/>
    <s v="Female"/>
    <n v="19"/>
    <n v="654"/>
    <n v="1295"/>
    <n v="12426"/>
    <n v="24605"/>
    <n v="12179"/>
  </r>
  <r>
    <x v="23"/>
    <x v="0"/>
    <x v="2"/>
    <x v="7"/>
    <s v="Female"/>
    <n v="18"/>
    <n v="767"/>
    <n v="988"/>
    <n v="13806"/>
    <n v="17784"/>
    <n v="3978"/>
  </r>
  <r>
    <x v="25"/>
    <x v="0"/>
    <x v="2"/>
    <x v="8"/>
    <s v="Male"/>
    <n v="12"/>
    <n v="654"/>
    <n v="788"/>
    <n v="7848"/>
    <n v="9456"/>
    <n v="1608"/>
  </r>
  <r>
    <x v="26"/>
    <x v="0"/>
    <x v="2"/>
    <x v="4"/>
    <s v="Male"/>
    <n v="11"/>
    <n v="827"/>
    <n v="765"/>
    <n v="9097"/>
    <n v="8415"/>
    <n v="-682"/>
  </r>
  <r>
    <x v="27"/>
    <x v="0"/>
    <x v="2"/>
    <x v="14"/>
    <s v="Male"/>
    <n v="12"/>
    <n v="561"/>
    <n v="1162"/>
    <n v="6732"/>
    <n v="13944"/>
    <n v="7212"/>
  </r>
  <r>
    <x v="28"/>
    <x v="0"/>
    <x v="2"/>
    <x v="8"/>
    <s v="Male"/>
    <n v="12"/>
    <n v="879"/>
    <n v="1428"/>
    <n v="10548"/>
    <n v="17136"/>
    <n v="6588"/>
  </r>
  <r>
    <x v="29"/>
    <x v="0"/>
    <x v="2"/>
    <x v="3"/>
    <s v="Male"/>
    <n v="13"/>
    <n v="523"/>
    <n v="1326"/>
    <n v="6799"/>
    <n v="17238"/>
    <n v="10439"/>
  </r>
  <r>
    <x v="30"/>
    <x v="0"/>
    <x v="2"/>
    <x v="13"/>
    <s v="Male"/>
    <n v="10"/>
    <n v="990"/>
    <n v="1030"/>
    <n v="9900"/>
    <n v="10300"/>
    <n v="400"/>
  </r>
  <r>
    <x v="65"/>
    <x v="0"/>
    <x v="2"/>
    <x v="8"/>
    <s v="Female"/>
    <n v="15"/>
    <n v="910"/>
    <n v="916"/>
    <n v="13650"/>
    <n v="13740"/>
    <n v="90"/>
  </r>
  <r>
    <x v="31"/>
    <x v="0"/>
    <x v="2"/>
    <x v="15"/>
    <s v="Female"/>
    <n v="12"/>
    <n v="707"/>
    <n v="1203"/>
    <n v="8484"/>
    <n v="14436"/>
    <n v="5952"/>
  </r>
  <r>
    <x v="32"/>
    <x v="0"/>
    <x v="2"/>
    <x v="16"/>
    <s v="Female"/>
    <n v="13"/>
    <n v="515"/>
    <n v="1095"/>
    <n v="6695"/>
    <n v="14235"/>
    <n v="7540"/>
  </r>
  <r>
    <x v="33"/>
    <x v="0"/>
    <x v="2"/>
    <x v="8"/>
    <s v="Female"/>
    <n v="12"/>
    <n v="671"/>
    <n v="850"/>
    <n v="8052"/>
    <n v="10200"/>
    <n v="2148"/>
  </r>
  <r>
    <x v="34"/>
    <x v="0"/>
    <x v="2"/>
    <x v="12"/>
    <s v="Female"/>
    <n v="12"/>
    <n v="500"/>
    <n v="1276"/>
    <n v="6000"/>
    <n v="15312"/>
    <n v="9312"/>
  </r>
  <r>
    <x v="35"/>
    <x v="0"/>
    <x v="2"/>
    <x v="6"/>
    <s v="Female"/>
    <n v="18"/>
    <n v="602"/>
    <n v="1401"/>
    <n v="10836"/>
    <n v="25218"/>
    <n v="14382"/>
  </r>
  <r>
    <x v="36"/>
    <x v="0"/>
    <x v="2"/>
    <x v="7"/>
    <s v="Female"/>
    <n v="18"/>
    <n v="629"/>
    <n v="945"/>
    <n v="11322"/>
    <n v="17010"/>
    <n v="5688"/>
  </r>
  <r>
    <x v="37"/>
    <x v="0"/>
    <x v="0"/>
    <x v="6"/>
    <s v="Male"/>
    <n v="17"/>
    <n v="565"/>
    <n v="1281"/>
    <n v="9605"/>
    <n v="21777"/>
    <n v="12172"/>
  </r>
  <r>
    <x v="38"/>
    <x v="0"/>
    <x v="0"/>
    <x v="7"/>
    <s v="Female"/>
    <n v="10"/>
    <n v="917"/>
    <n v="1107"/>
    <n v="9170"/>
    <n v="11070"/>
    <n v="1900"/>
  </r>
  <r>
    <x v="39"/>
    <x v="0"/>
    <x v="0"/>
    <x v="13"/>
    <s v="Female"/>
    <n v="18"/>
    <n v="867"/>
    <n v="875"/>
    <n v="15606"/>
    <n v="15750"/>
    <n v="144"/>
  </r>
  <r>
    <x v="40"/>
    <x v="0"/>
    <x v="0"/>
    <x v="12"/>
    <s v="Female"/>
    <n v="10"/>
    <n v="757"/>
    <n v="885"/>
    <n v="7570"/>
    <n v="8850"/>
    <n v="1280"/>
  </r>
  <r>
    <x v="41"/>
    <x v="0"/>
    <x v="0"/>
    <x v="7"/>
    <s v="Female"/>
    <n v="18"/>
    <n v="668"/>
    <n v="1366"/>
    <n v="12024"/>
    <n v="24588"/>
    <n v="12564"/>
  </r>
  <r>
    <x v="42"/>
    <x v="0"/>
    <x v="2"/>
    <x v="5"/>
    <s v="Male"/>
    <n v="20"/>
    <n v="882"/>
    <n v="1193"/>
    <n v="17640"/>
    <n v="23860"/>
    <n v="6220"/>
  </r>
  <r>
    <x v="66"/>
    <x v="2"/>
    <x v="6"/>
    <x v="7"/>
    <s v="Female"/>
    <n v="26"/>
    <n v="627"/>
    <n v="1416"/>
    <n v="16302"/>
    <n v="36816"/>
    <n v="20514"/>
  </r>
  <r>
    <x v="43"/>
    <x v="0"/>
    <x v="2"/>
    <x v="3"/>
    <s v="Male"/>
    <n v="17"/>
    <n v="739"/>
    <n v="826"/>
    <n v="12563"/>
    <n v="14042"/>
    <n v="1479"/>
  </r>
  <r>
    <x v="44"/>
    <x v="0"/>
    <x v="2"/>
    <x v="15"/>
    <s v="Male"/>
    <n v="15"/>
    <n v="563"/>
    <n v="1069"/>
    <n v="8445"/>
    <n v="16035"/>
    <n v="7590"/>
  </r>
  <r>
    <x v="45"/>
    <x v="0"/>
    <x v="2"/>
    <x v="6"/>
    <s v="Female"/>
    <n v="15"/>
    <n v="662"/>
    <n v="1183"/>
    <n v="9930"/>
    <n v="17745"/>
    <n v="7815"/>
  </r>
  <r>
    <x v="46"/>
    <x v="0"/>
    <x v="2"/>
    <x v="7"/>
    <s v="Female"/>
    <n v="16"/>
    <n v="846"/>
    <n v="1375"/>
    <n v="13536"/>
    <n v="22000"/>
    <n v="8464"/>
  </r>
  <r>
    <x v="47"/>
    <x v="0"/>
    <x v="2"/>
    <x v="13"/>
    <s v="Female"/>
    <n v="14"/>
    <n v="777"/>
    <n v="1192"/>
    <n v="10878"/>
    <n v="16688"/>
    <n v="5810"/>
  </r>
  <r>
    <x v="48"/>
    <x v="0"/>
    <x v="0"/>
    <x v="3"/>
    <s v="Female"/>
    <n v="16"/>
    <n v="632"/>
    <n v="835"/>
    <n v="10112"/>
    <n v="13360"/>
    <n v="3248"/>
  </r>
  <r>
    <x v="50"/>
    <x v="0"/>
    <x v="0"/>
    <x v="14"/>
    <s v="Female"/>
    <n v="11"/>
    <n v="731"/>
    <n v="1311"/>
    <n v="8041"/>
    <n v="14421"/>
    <n v="6380"/>
  </r>
  <r>
    <x v="51"/>
    <x v="0"/>
    <x v="0"/>
    <x v="1"/>
    <s v="Female"/>
    <n v="10"/>
    <n v="774"/>
    <n v="1472"/>
    <n v="7740"/>
    <n v="14720"/>
    <n v="6980"/>
  </r>
  <r>
    <x v="52"/>
    <x v="0"/>
    <x v="0"/>
    <x v="3"/>
    <s v="Male"/>
    <n v="11"/>
    <n v="986"/>
    <n v="1228"/>
    <n v="10846"/>
    <n v="13508"/>
    <n v="2662"/>
  </r>
  <r>
    <x v="53"/>
    <x v="0"/>
    <x v="2"/>
    <x v="0"/>
    <s v="Female"/>
    <n v="11"/>
    <n v="519"/>
    <n v="1143"/>
    <n v="5709"/>
    <n v="12573"/>
    <n v="6864"/>
  </r>
  <r>
    <x v="54"/>
    <x v="0"/>
    <x v="2"/>
    <x v="1"/>
    <s v="Female"/>
    <n v="20"/>
    <n v="597"/>
    <n v="1175"/>
    <n v="11940"/>
    <n v="23500"/>
    <n v="11560"/>
  </r>
  <r>
    <x v="55"/>
    <x v="0"/>
    <x v="2"/>
    <x v="2"/>
    <s v="Female"/>
    <n v="18"/>
    <n v="632"/>
    <n v="1384"/>
    <n v="11376"/>
    <n v="24912"/>
    <n v="13536"/>
  </r>
  <r>
    <x v="56"/>
    <x v="0"/>
    <x v="2"/>
    <x v="3"/>
    <s v="Female"/>
    <n v="17"/>
    <n v="649"/>
    <n v="1392"/>
    <n v="11033"/>
    <n v="23664"/>
    <n v="12631"/>
  </r>
  <r>
    <x v="57"/>
    <x v="0"/>
    <x v="2"/>
    <x v="3"/>
    <s v="Female"/>
    <n v="18"/>
    <n v="587"/>
    <n v="905"/>
    <n v="10566"/>
    <n v="16290"/>
    <n v="5724"/>
  </r>
  <r>
    <x v="59"/>
    <x v="0"/>
    <x v="2"/>
    <x v="5"/>
    <s v="Male"/>
    <n v="19"/>
    <n v="701"/>
    <n v="1136"/>
    <n v="13319"/>
    <n v="21584"/>
    <n v="8265"/>
  </r>
  <r>
    <x v="60"/>
    <x v="0"/>
    <x v="2"/>
    <x v="3"/>
    <s v="Male"/>
    <n v="19"/>
    <n v="972"/>
    <n v="1314"/>
    <n v="18468"/>
    <n v="24966"/>
    <n v="6498"/>
  </r>
  <r>
    <x v="61"/>
    <x v="0"/>
    <x v="2"/>
    <x v="7"/>
    <s v="Male"/>
    <n v="13"/>
    <n v="615"/>
    <n v="1010"/>
    <n v="7995"/>
    <n v="13130"/>
    <n v="5135"/>
  </r>
  <r>
    <x v="62"/>
    <x v="0"/>
    <x v="2"/>
    <x v="17"/>
    <s v="Male"/>
    <n v="19"/>
    <n v="864"/>
    <n v="1147"/>
    <n v="16416"/>
    <n v="21793"/>
    <n v="5377"/>
  </r>
  <r>
    <x v="67"/>
    <x v="1"/>
    <x v="7"/>
    <x v="15"/>
    <s v="Male"/>
    <n v="86"/>
    <n v="540"/>
    <n v="1460"/>
    <n v="46440"/>
    <n v="125560"/>
    <n v="79120"/>
  </r>
  <r>
    <x v="0"/>
    <x v="0"/>
    <x v="0"/>
    <x v="0"/>
    <s v="Female"/>
    <n v="13"/>
    <n v="643"/>
    <n v="1432"/>
    <n v="8359"/>
    <n v="18616"/>
    <n v="10257"/>
  </r>
  <r>
    <x v="1"/>
    <x v="0"/>
    <x v="0"/>
    <x v="1"/>
    <s v="Female"/>
    <n v="16"/>
    <n v="848"/>
    <n v="1211"/>
    <n v="13568"/>
    <n v="19376"/>
    <n v="5808"/>
  </r>
  <r>
    <x v="2"/>
    <x v="0"/>
    <x v="0"/>
    <x v="2"/>
    <s v="Female"/>
    <n v="19"/>
    <n v="982"/>
    <n v="1457"/>
    <n v="18658"/>
    <n v="27683"/>
    <n v="9025"/>
  </r>
  <r>
    <x v="3"/>
    <x v="0"/>
    <x v="0"/>
    <x v="3"/>
    <s v="Female"/>
    <n v="19"/>
    <n v="918"/>
    <n v="864"/>
    <n v="17442"/>
    <n v="16416"/>
    <n v="-1026"/>
  </r>
  <r>
    <x v="68"/>
    <x v="0"/>
    <x v="2"/>
    <x v="6"/>
    <s v="Female"/>
    <n v="10"/>
    <n v="863"/>
    <n v="1386"/>
    <n v="8630"/>
    <n v="13860"/>
    <n v="5230"/>
  </r>
  <r>
    <x v="4"/>
    <x v="0"/>
    <x v="0"/>
    <x v="4"/>
    <s v="Male"/>
    <n v="17"/>
    <n v="787"/>
    <n v="1108"/>
    <n v="13379"/>
    <n v="18836"/>
    <n v="5457"/>
  </r>
  <r>
    <x v="5"/>
    <x v="0"/>
    <x v="0"/>
    <x v="5"/>
    <s v="Male"/>
    <n v="15"/>
    <n v="545"/>
    <n v="1182"/>
    <n v="8175"/>
    <n v="17730"/>
    <n v="9555"/>
  </r>
  <r>
    <x v="7"/>
    <x v="0"/>
    <x v="2"/>
    <x v="6"/>
    <s v="Female"/>
    <n v="11"/>
    <n v="616"/>
    <n v="1015"/>
    <n v="6776"/>
    <n v="11165"/>
    <n v="4389"/>
  </r>
  <r>
    <x v="8"/>
    <x v="0"/>
    <x v="2"/>
    <x v="7"/>
    <s v="Female"/>
    <n v="16"/>
    <n v="911"/>
    <n v="1299"/>
    <n v="14576"/>
    <n v="20784"/>
    <n v="6208"/>
  </r>
  <r>
    <x v="9"/>
    <x v="0"/>
    <x v="2"/>
    <x v="7"/>
    <s v="Female"/>
    <n v="19"/>
    <n v="816"/>
    <n v="1285"/>
    <n v="15504"/>
    <n v="24415"/>
    <n v="8911"/>
  </r>
  <r>
    <x v="10"/>
    <x v="0"/>
    <x v="2"/>
    <x v="4"/>
    <s v="Female"/>
    <n v="16"/>
    <n v="693"/>
    <n v="1042"/>
    <n v="11088"/>
    <n v="16672"/>
    <n v="5584"/>
  </r>
  <r>
    <x v="11"/>
    <x v="0"/>
    <x v="2"/>
    <x v="8"/>
    <s v="Female"/>
    <n v="14"/>
    <n v="965"/>
    <n v="1212"/>
    <n v="13510"/>
    <n v="16968"/>
    <n v="3458"/>
  </r>
  <r>
    <x v="69"/>
    <x v="2"/>
    <x v="6"/>
    <x v="10"/>
    <s v="Male"/>
    <n v="26"/>
    <n v="715"/>
    <n v="840"/>
    <n v="18590"/>
    <n v="21840"/>
    <n v="3250"/>
  </r>
  <r>
    <x v="13"/>
    <x v="0"/>
    <x v="2"/>
    <x v="9"/>
    <s v="Female"/>
    <n v="20"/>
    <n v="960"/>
    <n v="1170"/>
    <n v="19200"/>
    <n v="23400"/>
    <n v="4200"/>
  </r>
  <r>
    <x v="14"/>
    <x v="0"/>
    <x v="2"/>
    <x v="4"/>
    <s v="Male"/>
    <n v="16"/>
    <n v="734"/>
    <n v="1330"/>
    <n v="11744"/>
    <n v="21280"/>
    <n v="9536"/>
  </r>
  <r>
    <x v="15"/>
    <x v="0"/>
    <x v="2"/>
    <x v="10"/>
    <s v="Male"/>
    <n v="16"/>
    <n v="673"/>
    <n v="1233"/>
    <n v="10768"/>
    <n v="19728"/>
    <n v="8960"/>
  </r>
  <r>
    <x v="16"/>
    <x v="0"/>
    <x v="2"/>
    <x v="11"/>
    <s v="Male"/>
    <n v="14"/>
    <n v="782"/>
    <n v="835"/>
    <n v="10948"/>
    <n v="11690"/>
    <n v="742"/>
  </r>
  <r>
    <x v="17"/>
    <x v="0"/>
    <x v="2"/>
    <x v="6"/>
    <s v="Male"/>
    <n v="19"/>
    <n v="536"/>
    <n v="927"/>
    <n v="10184"/>
    <n v="17613"/>
    <n v="7429"/>
  </r>
  <r>
    <x v="70"/>
    <x v="2"/>
    <x v="6"/>
    <x v="13"/>
    <s v="Female"/>
    <n v="23"/>
    <n v="923"/>
    <n v="897"/>
    <n v="21229"/>
    <n v="20631"/>
    <n v="-598"/>
  </r>
  <r>
    <x v="18"/>
    <x v="0"/>
    <x v="2"/>
    <x v="7"/>
    <s v="Female"/>
    <n v="11"/>
    <n v="991"/>
    <n v="803"/>
    <n v="10901"/>
    <n v="8833"/>
    <n v="-2068"/>
  </r>
  <r>
    <x v="19"/>
    <x v="0"/>
    <x v="2"/>
    <x v="8"/>
    <s v="Female"/>
    <n v="10"/>
    <n v="844"/>
    <n v="865"/>
    <n v="8440"/>
    <n v="8650"/>
    <n v="210"/>
  </r>
  <r>
    <x v="20"/>
    <x v="0"/>
    <x v="2"/>
    <x v="12"/>
    <s v="Female"/>
    <n v="20"/>
    <n v="803"/>
    <n v="1377"/>
    <n v="16060"/>
    <n v="27540"/>
    <n v="11480"/>
  </r>
  <r>
    <x v="21"/>
    <x v="0"/>
    <x v="2"/>
    <x v="7"/>
    <s v="Female"/>
    <n v="12"/>
    <n v="606"/>
    <n v="1154"/>
    <n v="7272"/>
    <n v="13848"/>
    <n v="6576"/>
  </r>
  <r>
    <x v="23"/>
    <x v="0"/>
    <x v="2"/>
    <x v="7"/>
    <s v="Female"/>
    <n v="11"/>
    <n v="622"/>
    <n v="767"/>
    <n v="6842"/>
    <n v="8437"/>
    <n v="1595"/>
  </r>
  <r>
    <x v="25"/>
    <x v="0"/>
    <x v="2"/>
    <x v="8"/>
    <s v="Male"/>
    <n v="17"/>
    <n v="671"/>
    <n v="906"/>
    <n v="11407"/>
    <n v="15402"/>
    <n v="3995"/>
  </r>
  <r>
    <x v="26"/>
    <x v="0"/>
    <x v="2"/>
    <x v="4"/>
    <s v="Male"/>
    <n v="12"/>
    <n v="814"/>
    <n v="1392"/>
    <n v="9768"/>
    <n v="16704"/>
    <n v="6936"/>
  </r>
  <r>
    <x v="27"/>
    <x v="0"/>
    <x v="2"/>
    <x v="14"/>
    <s v="Male"/>
    <n v="11"/>
    <n v="960"/>
    <n v="939"/>
    <n v="10560"/>
    <n v="10329"/>
    <n v="-231"/>
  </r>
  <r>
    <x v="71"/>
    <x v="1"/>
    <x v="5"/>
    <x v="1"/>
    <s v="Male"/>
    <n v="89"/>
    <n v="910"/>
    <n v="1261"/>
    <n v="80990"/>
    <n v="112229"/>
    <n v="31239"/>
  </r>
  <r>
    <x v="28"/>
    <x v="0"/>
    <x v="2"/>
    <x v="8"/>
    <s v="Male"/>
    <n v="10"/>
    <n v="654"/>
    <n v="1029"/>
    <n v="6540"/>
    <n v="10290"/>
    <n v="3750"/>
  </r>
  <r>
    <x v="29"/>
    <x v="0"/>
    <x v="2"/>
    <x v="3"/>
    <s v="Male"/>
    <n v="14"/>
    <n v="504"/>
    <n v="1130"/>
    <n v="7056"/>
    <n v="15820"/>
    <n v="8764"/>
  </r>
  <r>
    <x v="30"/>
    <x v="0"/>
    <x v="2"/>
    <x v="13"/>
    <s v="Male"/>
    <n v="12"/>
    <n v="886"/>
    <n v="1233"/>
    <n v="10632"/>
    <n v="14796"/>
    <n v="4164"/>
  </r>
  <r>
    <x v="31"/>
    <x v="0"/>
    <x v="2"/>
    <x v="15"/>
    <s v="Female"/>
    <n v="10"/>
    <n v="554"/>
    <n v="1210"/>
    <n v="5540"/>
    <n v="12100"/>
    <n v="6560"/>
  </r>
  <r>
    <x v="72"/>
    <x v="1"/>
    <x v="7"/>
    <x v="5"/>
    <s v="Female"/>
    <n v="59"/>
    <n v="764"/>
    <n v="1365"/>
    <n v="45076"/>
    <n v="80535"/>
    <n v="35459"/>
  </r>
  <r>
    <x v="32"/>
    <x v="0"/>
    <x v="2"/>
    <x v="16"/>
    <s v="Female"/>
    <n v="14"/>
    <n v="933"/>
    <n v="1064"/>
    <n v="13062"/>
    <n v="14896"/>
    <n v="1834"/>
  </r>
  <r>
    <x v="33"/>
    <x v="0"/>
    <x v="2"/>
    <x v="8"/>
    <s v="Female"/>
    <n v="15"/>
    <n v="674"/>
    <n v="1125"/>
    <n v="10110"/>
    <n v="16875"/>
    <n v="6765"/>
  </r>
  <r>
    <x v="34"/>
    <x v="0"/>
    <x v="2"/>
    <x v="12"/>
    <s v="Female"/>
    <n v="20"/>
    <n v="529"/>
    <n v="1455"/>
    <n v="10580"/>
    <n v="29100"/>
    <n v="18520"/>
  </r>
  <r>
    <x v="35"/>
    <x v="0"/>
    <x v="2"/>
    <x v="6"/>
    <s v="Female"/>
    <n v="18"/>
    <n v="717"/>
    <n v="833"/>
    <n v="12906"/>
    <n v="14994"/>
    <n v="2088"/>
  </r>
  <r>
    <x v="36"/>
    <x v="0"/>
    <x v="2"/>
    <x v="7"/>
    <s v="Female"/>
    <n v="17"/>
    <n v="966"/>
    <n v="1044"/>
    <n v="16422"/>
    <n v="17748"/>
    <n v="1326"/>
  </r>
  <r>
    <x v="37"/>
    <x v="0"/>
    <x v="0"/>
    <x v="6"/>
    <s v="Male"/>
    <n v="16"/>
    <n v="599"/>
    <n v="1490"/>
    <n v="9584"/>
    <n v="23840"/>
    <n v="14256"/>
  </r>
  <r>
    <x v="38"/>
    <x v="0"/>
    <x v="0"/>
    <x v="7"/>
    <s v="Female"/>
    <n v="12"/>
    <n v="827"/>
    <n v="955"/>
    <n v="9924"/>
    <n v="11460"/>
    <n v="1536"/>
  </r>
  <r>
    <x v="39"/>
    <x v="0"/>
    <x v="0"/>
    <x v="13"/>
    <s v="Female"/>
    <n v="17"/>
    <n v="932"/>
    <n v="808"/>
    <n v="15844"/>
    <n v="13736"/>
    <n v="-2108"/>
  </r>
  <r>
    <x v="73"/>
    <x v="0"/>
    <x v="2"/>
    <x v="6"/>
    <s v="Female"/>
    <n v="14"/>
    <n v="857"/>
    <n v="767"/>
    <n v="11998"/>
    <n v="10738"/>
    <n v="-1260"/>
  </r>
  <r>
    <x v="40"/>
    <x v="0"/>
    <x v="0"/>
    <x v="12"/>
    <s v="Female"/>
    <n v="11"/>
    <n v="654"/>
    <n v="767"/>
    <n v="7194"/>
    <n v="8437"/>
    <n v="1243"/>
  </r>
  <r>
    <x v="41"/>
    <x v="0"/>
    <x v="0"/>
    <x v="7"/>
    <s v="Female"/>
    <n v="19"/>
    <n v="764"/>
    <n v="1069"/>
    <n v="14516"/>
    <n v="20311"/>
    <n v="5795"/>
  </r>
  <r>
    <x v="42"/>
    <x v="0"/>
    <x v="2"/>
    <x v="5"/>
    <s v="Male"/>
    <n v="15"/>
    <n v="906"/>
    <n v="1485"/>
    <n v="13590"/>
    <n v="22275"/>
    <n v="8685"/>
  </r>
  <r>
    <x v="43"/>
    <x v="0"/>
    <x v="2"/>
    <x v="3"/>
    <s v="Male"/>
    <n v="20"/>
    <n v="780"/>
    <n v="783"/>
    <n v="15600"/>
    <n v="15660"/>
    <n v="60"/>
  </r>
  <r>
    <x v="74"/>
    <x v="0"/>
    <x v="2"/>
    <x v="7"/>
    <s v="Male"/>
    <n v="14"/>
    <n v="515"/>
    <n v="1230"/>
    <n v="7210"/>
    <n v="17220"/>
    <n v="10010"/>
  </r>
  <r>
    <x v="44"/>
    <x v="0"/>
    <x v="2"/>
    <x v="15"/>
    <s v="Male"/>
    <n v="17"/>
    <n v="747"/>
    <n v="1190"/>
    <n v="12699"/>
    <n v="20230"/>
    <n v="7531"/>
  </r>
  <r>
    <x v="45"/>
    <x v="0"/>
    <x v="2"/>
    <x v="6"/>
    <s v="Female"/>
    <n v="15"/>
    <n v="747"/>
    <n v="966"/>
    <n v="11205"/>
    <n v="14490"/>
    <n v="3285"/>
  </r>
  <r>
    <x v="46"/>
    <x v="0"/>
    <x v="2"/>
    <x v="7"/>
    <s v="Female"/>
    <n v="20"/>
    <n v="844"/>
    <n v="1010"/>
    <n v="16880"/>
    <n v="20200"/>
    <n v="3320"/>
  </r>
  <r>
    <x v="47"/>
    <x v="0"/>
    <x v="2"/>
    <x v="13"/>
    <s v="Female"/>
    <n v="14"/>
    <n v="799"/>
    <n v="1154"/>
    <n v="11186"/>
    <n v="16156"/>
    <n v="4970"/>
  </r>
  <r>
    <x v="48"/>
    <x v="0"/>
    <x v="0"/>
    <x v="3"/>
    <s v="Female"/>
    <n v="19"/>
    <n v="608"/>
    <n v="1032"/>
    <n v="11552"/>
    <n v="19608"/>
    <n v="8056"/>
  </r>
  <r>
    <x v="50"/>
    <x v="0"/>
    <x v="0"/>
    <x v="14"/>
    <s v="Female"/>
    <n v="14"/>
    <n v="579"/>
    <n v="907"/>
    <n v="8106"/>
    <n v="12698"/>
    <n v="4592"/>
  </r>
  <r>
    <x v="51"/>
    <x v="0"/>
    <x v="0"/>
    <x v="1"/>
    <s v="Female"/>
    <n v="17"/>
    <n v="825"/>
    <n v="1080"/>
    <n v="14025"/>
    <n v="18360"/>
    <n v="4335"/>
  </r>
  <r>
    <x v="52"/>
    <x v="0"/>
    <x v="0"/>
    <x v="3"/>
    <s v="Male"/>
    <n v="15"/>
    <n v="827"/>
    <n v="931"/>
    <n v="12405"/>
    <n v="13965"/>
    <n v="1560"/>
  </r>
  <r>
    <x v="75"/>
    <x v="0"/>
    <x v="0"/>
    <x v="7"/>
    <s v="Female"/>
    <n v="15"/>
    <n v="650"/>
    <n v="1347"/>
    <n v="9750"/>
    <n v="20205"/>
    <n v="10455"/>
  </r>
  <r>
    <x v="53"/>
    <x v="0"/>
    <x v="2"/>
    <x v="0"/>
    <s v="Female"/>
    <n v="20"/>
    <n v="900"/>
    <n v="1431"/>
    <n v="18000"/>
    <n v="28620"/>
    <n v="10620"/>
  </r>
  <r>
    <x v="76"/>
    <x v="0"/>
    <x v="0"/>
    <x v="13"/>
    <s v="Female"/>
    <n v="15"/>
    <n v="825"/>
    <n v="947"/>
    <n v="12375"/>
    <n v="14205"/>
    <n v="1830"/>
  </r>
  <r>
    <x v="54"/>
    <x v="0"/>
    <x v="2"/>
    <x v="1"/>
    <s v="Female"/>
    <n v="19"/>
    <n v="791"/>
    <n v="965"/>
    <n v="15029"/>
    <n v="18335"/>
    <n v="3306"/>
  </r>
  <r>
    <x v="55"/>
    <x v="0"/>
    <x v="2"/>
    <x v="2"/>
    <s v="Female"/>
    <n v="18"/>
    <n v="963"/>
    <n v="1178"/>
    <n v="17334"/>
    <n v="21204"/>
    <n v="3870"/>
  </r>
  <r>
    <x v="56"/>
    <x v="0"/>
    <x v="2"/>
    <x v="3"/>
    <s v="Female"/>
    <n v="19"/>
    <n v="763"/>
    <n v="1036"/>
    <n v="14497"/>
    <n v="19684"/>
    <n v="5187"/>
  </r>
  <r>
    <x v="57"/>
    <x v="0"/>
    <x v="2"/>
    <x v="3"/>
    <s v="Female"/>
    <n v="19"/>
    <n v="795"/>
    <n v="1471"/>
    <n v="15105"/>
    <n v="27949"/>
    <n v="12844"/>
  </r>
  <r>
    <x v="59"/>
    <x v="0"/>
    <x v="2"/>
    <x v="5"/>
    <s v="Male"/>
    <n v="16"/>
    <n v="731"/>
    <n v="1296"/>
    <n v="11696"/>
    <n v="20736"/>
    <n v="9040"/>
  </r>
  <r>
    <x v="77"/>
    <x v="1"/>
    <x v="5"/>
    <x v="8"/>
    <s v="Female"/>
    <n v="92"/>
    <n v="923"/>
    <n v="1151"/>
    <n v="84916"/>
    <n v="105892"/>
    <n v="20976"/>
  </r>
  <r>
    <x v="60"/>
    <x v="0"/>
    <x v="2"/>
    <x v="3"/>
    <s v="Male"/>
    <n v="12"/>
    <n v="927"/>
    <n v="1162"/>
    <n v="11124"/>
    <n v="13944"/>
    <n v="2820"/>
  </r>
  <r>
    <x v="61"/>
    <x v="0"/>
    <x v="2"/>
    <x v="7"/>
    <s v="Male"/>
    <n v="13"/>
    <n v="528"/>
    <n v="1175"/>
    <n v="6864"/>
    <n v="15275"/>
    <n v="8411"/>
  </r>
  <r>
    <x v="62"/>
    <x v="0"/>
    <x v="2"/>
    <x v="17"/>
    <s v="Male"/>
    <n v="16"/>
    <n v="998"/>
    <n v="835"/>
    <n v="15968"/>
    <n v="13360"/>
    <n v="-2608"/>
  </r>
  <r>
    <x v="78"/>
    <x v="2"/>
    <x v="3"/>
    <x v="14"/>
    <s v="Male"/>
    <n v="29"/>
    <n v="924"/>
    <n v="1101"/>
    <n v="26796"/>
    <n v="31929"/>
    <n v="5133"/>
  </r>
  <r>
    <x v="79"/>
    <x v="2"/>
    <x v="8"/>
    <x v="8"/>
    <s v="Male"/>
    <n v="30"/>
    <n v="817"/>
    <n v="1334"/>
    <n v="24510"/>
    <n v="40020"/>
    <n v="15510"/>
  </r>
  <r>
    <x v="80"/>
    <x v="2"/>
    <x v="8"/>
    <x v="3"/>
    <s v="Male"/>
    <n v="23"/>
    <n v="753"/>
    <n v="987"/>
    <n v="17319"/>
    <n v="22701"/>
    <n v="5382"/>
  </r>
  <r>
    <x v="81"/>
    <x v="1"/>
    <x v="7"/>
    <x v="3"/>
    <s v="Male"/>
    <n v="57"/>
    <n v="927"/>
    <n v="1477"/>
    <n v="52839"/>
    <n v="84189"/>
    <n v="31350"/>
  </r>
  <r>
    <x v="82"/>
    <x v="2"/>
    <x v="8"/>
    <x v="13"/>
    <s v="Male"/>
    <n v="26"/>
    <n v="809"/>
    <n v="800"/>
    <n v="21034"/>
    <n v="20800"/>
    <n v="-234"/>
  </r>
  <r>
    <x v="83"/>
    <x v="2"/>
    <x v="3"/>
    <x v="12"/>
    <s v="Female"/>
    <n v="23"/>
    <n v="852"/>
    <n v="1480"/>
    <n v="19596"/>
    <n v="34040"/>
    <n v="14444"/>
  </r>
  <r>
    <x v="84"/>
    <x v="2"/>
    <x v="3"/>
    <x v="6"/>
    <s v="Female"/>
    <n v="24"/>
    <n v="903"/>
    <n v="1338"/>
    <n v="21672"/>
    <n v="32112"/>
    <n v="10440"/>
  </r>
  <r>
    <x v="85"/>
    <x v="2"/>
    <x v="3"/>
    <x v="7"/>
    <s v="Female"/>
    <n v="21"/>
    <n v="829"/>
    <n v="950"/>
    <n v="17409"/>
    <n v="19950"/>
    <n v="2541"/>
  </r>
  <r>
    <x v="86"/>
    <x v="0"/>
    <x v="2"/>
    <x v="11"/>
    <s v="Female"/>
    <n v="16"/>
    <n v="584"/>
    <n v="1278"/>
    <n v="9344"/>
    <n v="20448"/>
    <n v="11104"/>
  </r>
  <r>
    <x v="87"/>
    <x v="2"/>
    <x v="3"/>
    <x v="7"/>
    <s v="Female"/>
    <n v="20"/>
    <n v="557"/>
    <n v="1002"/>
    <n v="11140"/>
    <n v="20040"/>
    <n v="8900"/>
  </r>
  <r>
    <x v="88"/>
    <x v="2"/>
    <x v="3"/>
    <x v="4"/>
    <s v="Female"/>
    <n v="20"/>
    <n v="648"/>
    <n v="1106"/>
    <n v="12960"/>
    <n v="22120"/>
    <n v="9160"/>
  </r>
  <r>
    <x v="89"/>
    <x v="0"/>
    <x v="2"/>
    <x v="7"/>
    <s v="Female"/>
    <n v="19"/>
    <n v="589"/>
    <n v="1100"/>
    <n v="11191"/>
    <n v="20900"/>
    <n v="9709"/>
  </r>
  <r>
    <x v="90"/>
    <x v="2"/>
    <x v="4"/>
    <x v="7"/>
    <s v="Male"/>
    <n v="26"/>
    <n v="942"/>
    <n v="1143"/>
    <n v="24492"/>
    <n v="29718"/>
    <n v="5226"/>
  </r>
  <r>
    <x v="91"/>
    <x v="2"/>
    <x v="3"/>
    <x v="13"/>
    <s v="Female"/>
    <n v="30"/>
    <n v="869"/>
    <n v="1033"/>
    <n v="26070"/>
    <n v="30990"/>
    <n v="4920"/>
  </r>
  <r>
    <x v="92"/>
    <x v="2"/>
    <x v="4"/>
    <x v="13"/>
    <s v="Male"/>
    <n v="20"/>
    <n v="606"/>
    <n v="806"/>
    <n v="12120"/>
    <n v="16120"/>
    <n v="4000"/>
  </r>
  <r>
    <x v="93"/>
    <x v="2"/>
    <x v="8"/>
    <x v="7"/>
    <s v="Male"/>
    <n v="20"/>
    <n v="979"/>
    <n v="1471"/>
    <n v="19580"/>
    <n v="29420"/>
    <n v="9840"/>
  </r>
  <r>
    <x v="94"/>
    <x v="2"/>
    <x v="4"/>
    <x v="7"/>
    <s v="Female"/>
    <n v="22"/>
    <n v="822"/>
    <n v="1153"/>
    <n v="18084"/>
    <n v="25366"/>
    <n v="7282"/>
  </r>
  <r>
    <x v="95"/>
    <x v="2"/>
    <x v="4"/>
    <x v="5"/>
    <s v="Female"/>
    <n v="26"/>
    <n v="505"/>
    <n v="1337"/>
    <n v="13130"/>
    <n v="34762"/>
    <n v="21632"/>
  </r>
  <r>
    <x v="96"/>
    <x v="2"/>
    <x v="4"/>
    <x v="17"/>
    <s v="Female"/>
    <n v="23"/>
    <n v="649"/>
    <n v="1210"/>
    <n v="14927"/>
    <n v="27830"/>
    <n v="12903"/>
  </r>
  <r>
    <x v="97"/>
    <x v="2"/>
    <x v="4"/>
    <x v="8"/>
    <s v="Female"/>
    <n v="26"/>
    <n v="647"/>
    <n v="1025"/>
    <n v="16822"/>
    <n v="26650"/>
    <n v="9828"/>
  </r>
  <r>
    <x v="98"/>
    <x v="2"/>
    <x v="4"/>
    <x v="18"/>
    <s v="Female"/>
    <n v="30"/>
    <n v="843"/>
    <n v="953"/>
    <n v="25290"/>
    <n v="28590"/>
    <n v="3300"/>
  </r>
  <r>
    <x v="99"/>
    <x v="2"/>
    <x v="4"/>
    <x v="19"/>
    <s v="Female"/>
    <n v="21"/>
    <n v="571"/>
    <n v="900"/>
    <n v="11991"/>
    <n v="18900"/>
    <n v="6909"/>
  </r>
  <r>
    <x v="100"/>
    <x v="2"/>
    <x v="4"/>
    <x v="0"/>
    <s v="Male"/>
    <n v="25"/>
    <n v="909"/>
    <n v="970"/>
    <n v="22725"/>
    <n v="24250"/>
    <n v="1525"/>
  </r>
  <r>
    <x v="101"/>
    <x v="2"/>
    <x v="4"/>
    <x v="1"/>
    <s v="Male"/>
    <n v="24"/>
    <n v="584"/>
    <n v="1158"/>
    <n v="14016"/>
    <n v="27792"/>
    <n v="13776"/>
  </r>
  <r>
    <x v="102"/>
    <x v="2"/>
    <x v="4"/>
    <x v="2"/>
    <s v="Male"/>
    <n v="28"/>
    <n v="787"/>
    <n v="1452"/>
    <n v="22036"/>
    <n v="40656"/>
    <n v="18620"/>
  </r>
  <r>
    <x v="103"/>
    <x v="2"/>
    <x v="4"/>
    <x v="3"/>
    <s v="Male"/>
    <n v="23"/>
    <n v="768"/>
    <n v="1102"/>
    <n v="17664"/>
    <n v="25346"/>
    <n v="7682"/>
  </r>
  <r>
    <x v="104"/>
    <x v="2"/>
    <x v="4"/>
    <x v="3"/>
    <s v="Female"/>
    <n v="23"/>
    <n v="584"/>
    <n v="1168"/>
    <n v="13432"/>
    <n v="26864"/>
    <n v="13432"/>
  </r>
  <r>
    <x v="105"/>
    <x v="1"/>
    <x v="9"/>
    <x v="5"/>
    <s v="Female"/>
    <n v="57"/>
    <n v="541"/>
    <n v="819"/>
    <n v="30837"/>
    <n v="46683"/>
    <n v="15846"/>
  </r>
  <r>
    <x v="106"/>
    <x v="2"/>
    <x v="6"/>
    <x v="4"/>
    <s v="Female"/>
    <n v="20"/>
    <n v="778"/>
    <n v="1096"/>
    <n v="15560"/>
    <n v="21920"/>
    <n v="6360"/>
  </r>
  <r>
    <x v="107"/>
    <x v="2"/>
    <x v="6"/>
    <x v="5"/>
    <s v="Female"/>
    <n v="26"/>
    <n v="595"/>
    <n v="914"/>
    <n v="15470"/>
    <n v="23764"/>
    <n v="8294"/>
  </r>
  <r>
    <x v="108"/>
    <x v="1"/>
    <x v="9"/>
    <x v="14"/>
    <s v="Female"/>
    <n v="70"/>
    <n v="871"/>
    <n v="862"/>
    <n v="60970"/>
    <n v="60340"/>
    <n v="-630"/>
  </r>
  <r>
    <x v="109"/>
    <x v="2"/>
    <x v="6"/>
    <x v="3"/>
    <s v="Female"/>
    <n v="27"/>
    <n v="722"/>
    <n v="1497"/>
    <n v="19494"/>
    <n v="40419"/>
    <n v="20925"/>
  </r>
  <r>
    <x v="110"/>
    <x v="2"/>
    <x v="6"/>
    <x v="15"/>
    <s v="Female"/>
    <n v="25"/>
    <n v="982"/>
    <n v="1395"/>
    <n v="24550"/>
    <n v="34875"/>
    <n v="10325"/>
  </r>
  <r>
    <x v="111"/>
    <x v="2"/>
    <x v="6"/>
    <x v="14"/>
    <s v="Female"/>
    <n v="25"/>
    <n v="982"/>
    <n v="1389"/>
    <n v="24550"/>
    <n v="34725"/>
    <n v="10175"/>
  </r>
  <r>
    <x v="112"/>
    <x v="2"/>
    <x v="6"/>
    <x v="8"/>
    <s v="Female"/>
    <n v="25"/>
    <n v="810"/>
    <n v="1086"/>
    <n v="20250"/>
    <n v="27150"/>
    <n v="6900"/>
  </r>
  <r>
    <x v="113"/>
    <x v="2"/>
    <x v="4"/>
    <x v="16"/>
    <s v="Male"/>
    <n v="20"/>
    <n v="773"/>
    <n v="823"/>
    <n v="15460"/>
    <n v="16460"/>
    <n v="1000"/>
  </r>
  <r>
    <x v="114"/>
    <x v="2"/>
    <x v="6"/>
    <x v="3"/>
    <s v="Female"/>
    <n v="26"/>
    <n v="781"/>
    <n v="1019"/>
    <n v="20306"/>
    <n v="26494"/>
    <n v="6188"/>
  </r>
  <r>
    <x v="115"/>
    <x v="2"/>
    <x v="6"/>
    <x v="13"/>
    <s v="Female"/>
    <n v="26"/>
    <n v="630"/>
    <n v="767"/>
    <n v="16380"/>
    <n v="19942"/>
    <n v="3562"/>
  </r>
  <r>
    <x v="116"/>
    <x v="2"/>
    <x v="6"/>
    <x v="15"/>
    <s v="Female"/>
    <n v="23"/>
    <n v="972"/>
    <n v="782"/>
    <n v="22356"/>
    <n v="17986"/>
    <n v="-4370"/>
  </r>
  <r>
    <x v="117"/>
    <x v="2"/>
    <x v="4"/>
    <x v="6"/>
    <s v="Female"/>
    <n v="23"/>
    <n v="906"/>
    <n v="1275"/>
    <n v="20838"/>
    <n v="29325"/>
    <n v="8487"/>
  </r>
  <r>
    <x v="118"/>
    <x v="2"/>
    <x v="6"/>
    <x v="16"/>
    <s v="Male"/>
    <n v="30"/>
    <n v="987"/>
    <n v="1366"/>
    <n v="29610"/>
    <n v="40980"/>
    <n v="11370"/>
  </r>
  <r>
    <x v="119"/>
    <x v="2"/>
    <x v="4"/>
    <x v="7"/>
    <s v="Female"/>
    <n v="24"/>
    <n v="927"/>
    <n v="1379"/>
    <n v="22248"/>
    <n v="33096"/>
    <n v="10848"/>
  </r>
  <r>
    <x v="120"/>
    <x v="2"/>
    <x v="6"/>
    <x v="6"/>
    <s v="Male"/>
    <n v="25"/>
    <n v="877"/>
    <n v="797"/>
    <n v="21925"/>
    <n v="19925"/>
    <n v="-2000"/>
  </r>
  <r>
    <x v="121"/>
    <x v="2"/>
    <x v="6"/>
    <x v="8"/>
    <s v="Male"/>
    <n v="26"/>
    <n v="596"/>
    <n v="1136"/>
    <n v="15496"/>
    <n v="29536"/>
    <n v="14040"/>
  </r>
  <r>
    <x v="122"/>
    <x v="2"/>
    <x v="6"/>
    <x v="7"/>
    <s v="Male"/>
    <n v="26"/>
    <n v="771"/>
    <n v="1172"/>
    <n v="20046"/>
    <n v="30472"/>
    <n v="10426"/>
  </r>
  <r>
    <x v="123"/>
    <x v="2"/>
    <x v="6"/>
    <x v="13"/>
    <s v="Male"/>
    <n v="30"/>
    <n v="859"/>
    <n v="1123"/>
    <n v="25770"/>
    <n v="33690"/>
    <n v="7920"/>
  </r>
  <r>
    <x v="124"/>
    <x v="2"/>
    <x v="6"/>
    <x v="13"/>
    <s v="Male"/>
    <n v="30"/>
    <n v="726"/>
    <n v="964"/>
    <n v="21780"/>
    <n v="28920"/>
    <n v="7140"/>
  </r>
  <r>
    <x v="125"/>
    <x v="2"/>
    <x v="6"/>
    <x v="12"/>
    <s v="Male"/>
    <n v="29"/>
    <n v="861"/>
    <n v="820"/>
    <n v="24969"/>
    <n v="23780"/>
    <n v="-1189"/>
  </r>
  <r>
    <x v="126"/>
    <x v="2"/>
    <x v="6"/>
    <x v="5"/>
    <s v="Female"/>
    <n v="24"/>
    <n v="978"/>
    <n v="773"/>
    <n v="23472"/>
    <n v="18552"/>
    <n v="-4920"/>
  </r>
  <r>
    <x v="127"/>
    <x v="2"/>
    <x v="6"/>
    <x v="17"/>
    <s v="Female"/>
    <n v="30"/>
    <n v="514"/>
    <n v="1333"/>
    <n v="15420"/>
    <n v="39990"/>
    <n v="24570"/>
  </r>
  <r>
    <x v="128"/>
    <x v="2"/>
    <x v="6"/>
    <x v="8"/>
    <s v="Female"/>
    <n v="26"/>
    <n v="656"/>
    <n v="908"/>
    <n v="17056"/>
    <n v="23608"/>
    <n v="6552"/>
  </r>
  <r>
    <x v="129"/>
    <x v="2"/>
    <x v="6"/>
    <x v="7"/>
    <s v="Female"/>
    <n v="28"/>
    <n v="866"/>
    <n v="1102"/>
    <n v="24248"/>
    <n v="30856"/>
    <n v="6608"/>
  </r>
  <r>
    <x v="130"/>
    <x v="2"/>
    <x v="6"/>
    <x v="18"/>
    <s v="Female"/>
    <n v="28"/>
    <n v="866"/>
    <n v="1080"/>
    <n v="24248"/>
    <n v="30240"/>
    <n v="5992"/>
  </r>
  <r>
    <x v="131"/>
    <x v="2"/>
    <x v="6"/>
    <x v="19"/>
    <s v="Female"/>
    <n v="23"/>
    <n v="969"/>
    <n v="1075"/>
    <n v="22287"/>
    <n v="24725"/>
    <n v="2438"/>
  </r>
  <r>
    <x v="132"/>
    <x v="2"/>
    <x v="6"/>
    <x v="12"/>
    <s v="Male"/>
    <n v="29"/>
    <n v="639"/>
    <n v="1257"/>
    <n v="18531"/>
    <n v="36453"/>
    <n v="17922"/>
  </r>
  <r>
    <x v="133"/>
    <x v="2"/>
    <x v="6"/>
    <x v="0"/>
    <s v="Female"/>
    <n v="21"/>
    <n v="626"/>
    <n v="772"/>
    <n v="13146"/>
    <n v="16212"/>
    <n v="3066"/>
  </r>
  <r>
    <x v="134"/>
    <x v="2"/>
    <x v="6"/>
    <x v="8"/>
    <s v="Male"/>
    <n v="26"/>
    <n v="715"/>
    <n v="1113"/>
    <n v="18590"/>
    <n v="28938"/>
    <n v="10348"/>
  </r>
  <r>
    <x v="135"/>
    <x v="2"/>
    <x v="6"/>
    <x v="9"/>
    <s v="Male"/>
    <n v="27"/>
    <n v="611"/>
    <n v="1309"/>
    <n v="16497"/>
    <n v="35343"/>
    <n v="18846"/>
  </r>
  <r>
    <x v="136"/>
    <x v="2"/>
    <x v="6"/>
    <x v="4"/>
    <s v="Female"/>
    <n v="29"/>
    <n v="544"/>
    <n v="1436"/>
    <n v="15776"/>
    <n v="41644"/>
    <n v="25868"/>
  </r>
  <r>
    <x v="137"/>
    <x v="2"/>
    <x v="6"/>
    <x v="18"/>
    <s v="Male"/>
    <n v="23"/>
    <n v="771"/>
    <n v="1430"/>
    <n v="17733"/>
    <n v="32890"/>
    <n v="15157"/>
  </r>
  <r>
    <x v="138"/>
    <x v="2"/>
    <x v="6"/>
    <x v="11"/>
    <s v="Male"/>
    <n v="30"/>
    <n v="652"/>
    <n v="1151"/>
    <n v="19560"/>
    <n v="34530"/>
    <n v="14970"/>
  </r>
  <r>
    <x v="139"/>
    <x v="2"/>
    <x v="6"/>
    <x v="6"/>
    <s v="Male"/>
    <n v="22"/>
    <n v="681"/>
    <n v="1087"/>
    <n v="14982"/>
    <n v="23914"/>
    <n v="8932"/>
  </r>
  <r>
    <x v="140"/>
    <x v="1"/>
    <x v="5"/>
    <x v="1"/>
    <s v="Male"/>
    <n v="66"/>
    <n v="888"/>
    <n v="809"/>
    <n v="58608"/>
    <n v="53394"/>
    <n v="-5214"/>
  </r>
  <r>
    <x v="141"/>
    <x v="2"/>
    <x v="6"/>
    <x v="7"/>
    <s v="Male"/>
    <n v="28"/>
    <n v="923"/>
    <n v="1395"/>
    <n v="25844"/>
    <n v="39060"/>
    <n v="13216"/>
  </r>
  <r>
    <x v="142"/>
    <x v="2"/>
    <x v="6"/>
    <x v="7"/>
    <s v="Female"/>
    <n v="26"/>
    <n v="999"/>
    <n v="1112"/>
    <n v="25974"/>
    <n v="28912"/>
    <n v="2938"/>
  </r>
  <r>
    <x v="143"/>
    <x v="2"/>
    <x v="6"/>
    <x v="13"/>
    <s v="Female"/>
    <n v="30"/>
    <n v="792"/>
    <n v="1010"/>
    <n v="23760"/>
    <n v="30300"/>
    <n v="6540"/>
  </r>
  <r>
    <x v="144"/>
    <x v="2"/>
    <x v="6"/>
    <x v="12"/>
    <s v="Female"/>
    <n v="22"/>
    <n v="774"/>
    <n v="1387"/>
    <n v="17028"/>
    <n v="30514"/>
    <n v="13486"/>
  </r>
  <r>
    <x v="145"/>
    <x v="1"/>
    <x v="5"/>
    <x v="7"/>
    <s v="Female"/>
    <n v="56"/>
    <n v="516"/>
    <n v="1316"/>
    <n v="28896"/>
    <n v="73696"/>
    <n v="44800"/>
  </r>
  <r>
    <x v="146"/>
    <x v="2"/>
    <x v="8"/>
    <x v="12"/>
    <s v="Female"/>
    <n v="20"/>
    <n v="999"/>
    <n v="1191"/>
    <n v="19980"/>
    <n v="23820"/>
    <n v="3840"/>
  </r>
  <r>
    <x v="147"/>
    <x v="2"/>
    <x v="8"/>
    <x v="5"/>
    <s v="Male"/>
    <n v="29"/>
    <n v="661"/>
    <n v="1400"/>
    <n v="19169"/>
    <n v="40600"/>
    <n v="21431"/>
  </r>
  <r>
    <x v="148"/>
    <x v="2"/>
    <x v="3"/>
    <x v="0"/>
    <s v="Male"/>
    <n v="30"/>
    <n v="539"/>
    <n v="1364"/>
    <n v="16170"/>
    <n v="40920"/>
    <n v="24750"/>
  </r>
  <r>
    <x v="149"/>
    <x v="1"/>
    <x v="5"/>
    <x v="7"/>
    <s v="Female"/>
    <n v="60"/>
    <n v="901"/>
    <n v="1148"/>
    <n v="54060"/>
    <n v="68880"/>
    <n v="14820"/>
  </r>
  <r>
    <x v="150"/>
    <x v="2"/>
    <x v="3"/>
    <x v="1"/>
    <s v="Male"/>
    <n v="26"/>
    <n v="726"/>
    <n v="1335"/>
    <n v="18876"/>
    <n v="34710"/>
    <n v="15834"/>
  </r>
  <r>
    <x v="151"/>
    <x v="1"/>
    <x v="7"/>
    <x v="17"/>
    <s v="Female"/>
    <n v="50"/>
    <n v="749"/>
    <n v="1269"/>
    <n v="37450"/>
    <n v="63450"/>
    <n v="26000"/>
  </r>
  <r>
    <x v="152"/>
    <x v="2"/>
    <x v="3"/>
    <x v="2"/>
    <s v="Male"/>
    <n v="29"/>
    <n v="510"/>
    <n v="1131"/>
    <n v="14790"/>
    <n v="32799"/>
    <n v="18009"/>
  </r>
  <r>
    <x v="153"/>
    <x v="2"/>
    <x v="3"/>
    <x v="3"/>
    <s v="Female"/>
    <n v="27"/>
    <n v="752"/>
    <n v="1258"/>
    <n v="20304"/>
    <n v="33966"/>
    <n v="13662"/>
  </r>
  <r>
    <x v="154"/>
    <x v="2"/>
    <x v="3"/>
    <x v="3"/>
    <s v="Female"/>
    <n v="28"/>
    <n v="924"/>
    <n v="847"/>
    <n v="25872"/>
    <n v="23716"/>
    <n v="-2156"/>
  </r>
  <r>
    <x v="155"/>
    <x v="2"/>
    <x v="3"/>
    <x v="4"/>
    <s v="Female"/>
    <n v="26"/>
    <n v="643"/>
    <n v="1341"/>
    <n v="16718"/>
    <n v="34866"/>
    <n v="18148"/>
  </r>
  <r>
    <x v="156"/>
    <x v="1"/>
    <x v="7"/>
    <x v="1"/>
    <s v="Male"/>
    <n v="59"/>
    <n v="774"/>
    <n v="1374"/>
    <n v="45666"/>
    <n v="81066"/>
    <n v="35400"/>
  </r>
  <r>
    <x v="157"/>
    <x v="2"/>
    <x v="4"/>
    <x v="15"/>
    <s v="Male"/>
    <n v="23"/>
    <n v="584"/>
    <n v="1140"/>
    <n v="13432"/>
    <n v="26220"/>
    <n v="12788"/>
  </r>
  <r>
    <x v="158"/>
    <x v="2"/>
    <x v="4"/>
    <x v="6"/>
    <s v="Male"/>
    <n v="21"/>
    <n v="608"/>
    <n v="983"/>
    <n v="12768"/>
    <n v="20643"/>
    <n v="7875"/>
  </r>
  <r>
    <x v="159"/>
    <x v="2"/>
    <x v="4"/>
    <x v="8"/>
    <s v="Male"/>
    <n v="30"/>
    <n v="712"/>
    <n v="1311"/>
    <n v="21360"/>
    <n v="39330"/>
    <n v="17970"/>
  </r>
  <r>
    <x v="160"/>
    <x v="2"/>
    <x v="4"/>
    <x v="12"/>
    <s v="Male"/>
    <n v="24"/>
    <n v="672"/>
    <n v="878"/>
    <n v="16128"/>
    <n v="21072"/>
    <n v="4944"/>
  </r>
  <r>
    <x v="161"/>
    <x v="2"/>
    <x v="4"/>
    <x v="7"/>
    <s v="Female"/>
    <n v="29"/>
    <n v="520"/>
    <n v="770"/>
    <n v="15080"/>
    <n v="22330"/>
    <n v="7250"/>
  </r>
  <r>
    <x v="162"/>
    <x v="2"/>
    <x v="4"/>
    <x v="8"/>
    <s v="Male"/>
    <n v="28"/>
    <n v="884"/>
    <n v="1165"/>
    <n v="24752"/>
    <n v="32620"/>
    <n v="7868"/>
  </r>
  <r>
    <x v="163"/>
    <x v="0"/>
    <x v="0"/>
    <x v="15"/>
    <s v="Female"/>
    <n v="11"/>
    <n v="562"/>
    <n v="800"/>
    <n v="6182"/>
    <n v="8800"/>
    <n v="2618"/>
  </r>
  <r>
    <x v="164"/>
    <x v="2"/>
    <x v="4"/>
    <x v="4"/>
    <s v="Male"/>
    <n v="25"/>
    <n v="990"/>
    <n v="868"/>
    <n v="24750"/>
    <n v="21700"/>
    <n v="-3050"/>
  </r>
  <r>
    <x v="165"/>
    <x v="0"/>
    <x v="0"/>
    <x v="8"/>
    <s v="Female"/>
    <n v="15"/>
    <n v="992"/>
    <n v="1404"/>
    <n v="14880"/>
    <n v="21060"/>
    <n v="6180"/>
  </r>
  <r>
    <x v="166"/>
    <x v="2"/>
    <x v="4"/>
    <x v="8"/>
    <s v="Male"/>
    <n v="22"/>
    <n v="524"/>
    <n v="1156"/>
    <n v="11528"/>
    <n v="25432"/>
    <n v="13904"/>
  </r>
  <r>
    <x v="167"/>
    <x v="0"/>
    <x v="0"/>
    <x v="2"/>
    <s v="Female"/>
    <n v="11"/>
    <n v="668"/>
    <n v="1096"/>
    <n v="7348"/>
    <n v="12056"/>
    <n v="4708"/>
  </r>
  <r>
    <x v="168"/>
    <x v="2"/>
    <x v="4"/>
    <x v="9"/>
    <s v="Male"/>
    <n v="26"/>
    <n v="997"/>
    <n v="982"/>
    <n v="25922"/>
    <n v="25532"/>
    <n v="-390"/>
  </r>
  <r>
    <x v="169"/>
    <x v="2"/>
    <x v="4"/>
    <x v="4"/>
    <s v="Male"/>
    <n v="27"/>
    <n v="922"/>
    <n v="1284"/>
    <n v="24894"/>
    <n v="34668"/>
    <n v="9774"/>
  </r>
  <r>
    <x v="170"/>
    <x v="2"/>
    <x v="4"/>
    <x v="10"/>
    <s v="Female"/>
    <n v="21"/>
    <n v="978"/>
    <n v="1139"/>
    <n v="20538"/>
    <n v="23919"/>
    <n v="3381"/>
  </r>
  <r>
    <x v="171"/>
    <x v="2"/>
    <x v="4"/>
    <x v="11"/>
    <s v="Female"/>
    <n v="24"/>
    <n v="830"/>
    <n v="1355"/>
    <n v="19920"/>
    <n v="32520"/>
    <n v="12600"/>
  </r>
  <r>
    <x v="172"/>
    <x v="2"/>
    <x v="6"/>
    <x v="6"/>
    <s v="Female"/>
    <n v="21"/>
    <n v="751"/>
    <n v="1498"/>
    <n v="15771"/>
    <n v="31458"/>
    <n v="15687"/>
  </r>
  <r>
    <x v="173"/>
    <x v="2"/>
    <x v="6"/>
    <x v="7"/>
    <s v="Female"/>
    <n v="26"/>
    <n v="520"/>
    <n v="1261"/>
    <n v="13520"/>
    <n v="32786"/>
    <n v="19266"/>
  </r>
  <r>
    <x v="174"/>
    <x v="1"/>
    <x v="7"/>
    <x v="12"/>
    <s v="Male"/>
    <n v="56"/>
    <n v="685"/>
    <n v="771"/>
    <n v="38360"/>
    <n v="43176"/>
    <n v="4816"/>
  </r>
  <r>
    <x v="175"/>
    <x v="2"/>
    <x v="6"/>
    <x v="13"/>
    <s v="Female"/>
    <n v="21"/>
    <n v="605"/>
    <n v="1264"/>
    <n v="12705"/>
    <n v="26544"/>
    <n v="13839"/>
  </r>
  <r>
    <x v="176"/>
    <x v="2"/>
    <x v="6"/>
    <x v="13"/>
    <s v="Female"/>
    <n v="20"/>
    <n v="666"/>
    <n v="1087"/>
    <n v="13320"/>
    <n v="21740"/>
    <n v="8420"/>
  </r>
  <r>
    <x v="177"/>
    <x v="2"/>
    <x v="6"/>
    <x v="7"/>
    <s v="Male"/>
    <n v="23"/>
    <n v="632"/>
    <n v="762"/>
    <n v="14536"/>
    <n v="17526"/>
    <n v="2990"/>
  </r>
  <r>
    <x v="178"/>
    <x v="2"/>
    <x v="6"/>
    <x v="5"/>
    <s v="Male"/>
    <n v="21"/>
    <n v="540"/>
    <n v="812"/>
    <n v="11340"/>
    <n v="17052"/>
    <n v="5712"/>
  </r>
  <r>
    <x v="179"/>
    <x v="2"/>
    <x v="6"/>
    <x v="17"/>
    <s v="Male"/>
    <n v="30"/>
    <n v="557"/>
    <n v="886"/>
    <n v="16710"/>
    <n v="26580"/>
    <n v="9870"/>
  </r>
  <r>
    <x v="180"/>
    <x v="0"/>
    <x v="2"/>
    <x v="19"/>
    <s v="Female"/>
    <n v="20"/>
    <n v="803"/>
    <n v="941"/>
    <n v="16060"/>
    <n v="18820"/>
    <n v="2760"/>
  </r>
  <r>
    <x v="181"/>
    <x v="2"/>
    <x v="6"/>
    <x v="8"/>
    <s v="Female"/>
    <n v="24"/>
    <n v="651"/>
    <n v="1386"/>
    <n v="15624"/>
    <n v="33264"/>
    <n v="17640"/>
  </r>
  <r>
    <x v="182"/>
    <x v="2"/>
    <x v="6"/>
    <x v="19"/>
    <s v="Male"/>
    <n v="20"/>
    <n v="565"/>
    <n v="943"/>
    <n v="11300"/>
    <n v="18860"/>
    <n v="7560"/>
  </r>
  <r>
    <x v="183"/>
    <x v="2"/>
    <x v="6"/>
    <x v="8"/>
    <s v="Female"/>
    <n v="22"/>
    <n v="810"/>
    <n v="1201"/>
    <n v="17820"/>
    <n v="26422"/>
    <n v="8602"/>
  </r>
  <r>
    <x v="184"/>
    <x v="2"/>
    <x v="6"/>
    <x v="18"/>
    <s v="Female"/>
    <n v="23"/>
    <n v="827"/>
    <n v="1185"/>
    <n v="19021"/>
    <n v="27255"/>
    <n v="8234"/>
  </r>
  <r>
    <x v="185"/>
    <x v="2"/>
    <x v="6"/>
    <x v="19"/>
    <s v="Female"/>
    <n v="23"/>
    <n v="570"/>
    <n v="1230"/>
    <n v="13110"/>
    <n v="28290"/>
    <n v="15180"/>
  </r>
  <r>
    <x v="186"/>
    <x v="0"/>
    <x v="2"/>
    <x v="4"/>
    <s v="Female"/>
    <n v="19"/>
    <n v="911"/>
    <n v="1116"/>
    <n v="17309"/>
    <n v="21204"/>
    <n v="3895"/>
  </r>
  <r>
    <x v="187"/>
    <x v="2"/>
    <x v="6"/>
    <x v="0"/>
    <s v="Male"/>
    <n v="21"/>
    <n v="938"/>
    <n v="1275"/>
    <n v="19698"/>
    <n v="26775"/>
    <n v="7077"/>
  </r>
  <r>
    <x v="188"/>
    <x v="2"/>
    <x v="6"/>
    <x v="1"/>
    <s v="Male"/>
    <n v="24"/>
    <n v="993"/>
    <n v="987"/>
    <n v="23832"/>
    <n v="23688"/>
    <n v="-144"/>
  </r>
  <r>
    <x v="189"/>
    <x v="2"/>
    <x v="6"/>
    <x v="2"/>
    <s v="Male"/>
    <n v="20"/>
    <n v="534"/>
    <n v="1233"/>
    <n v="10680"/>
    <n v="24660"/>
    <n v="13980"/>
  </r>
  <r>
    <x v="190"/>
    <x v="0"/>
    <x v="2"/>
    <x v="5"/>
    <s v="Male"/>
    <n v="10"/>
    <n v="911"/>
    <n v="1097"/>
    <n v="9110"/>
    <n v="10970"/>
    <n v="1860"/>
  </r>
  <r>
    <x v="191"/>
    <x v="2"/>
    <x v="6"/>
    <x v="3"/>
    <s v="Male"/>
    <n v="23"/>
    <n v="761"/>
    <n v="901"/>
    <n v="17503"/>
    <n v="20723"/>
    <n v="3220"/>
  </r>
  <r>
    <x v="192"/>
    <x v="2"/>
    <x v="6"/>
    <x v="3"/>
    <s v="Male"/>
    <n v="23"/>
    <n v="701"/>
    <n v="1322"/>
    <n v="16123"/>
    <n v="30406"/>
    <n v="14283"/>
  </r>
  <r>
    <x v="193"/>
    <x v="2"/>
    <x v="6"/>
    <x v="4"/>
    <s v="Female"/>
    <n v="25"/>
    <n v="541"/>
    <n v="1090"/>
    <n v="13525"/>
    <n v="27250"/>
    <n v="13725"/>
  </r>
  <r>
    <x v="194"/>
    <x v="2"/>
    <x v="6"/>
    <x v="6"/>
    <s v="Female"/>
    <n v="28"/>
    <n v="708"/>
    <n v="1358"/>
    <n v="19824"/>
    <n v="38024"/>
    <n v="18200"/>
  </r>
  <r>
    <x v="78"/>
    <x v="2"/>
    <x v="3"/>
    <x v="14"/>
    <s v="Male"/>
    <n v="28"/>
    <n v="826"/>
    <n v="929"/>
    <n v="23128"/>
    <n v="26012"/>
    <n v="2884"/>
  </r>
  <r>
    <x v="79"/>
    <x v="2"/>
    <x v="8"/>
    <x v="8"/>
    <s v="Male"/>
    <n v="25"/>
    <n v="952"/>
    <n v="1261"/>
    <n v="23800"/>
    <n v="31525"/>
    <n v="7725"/>
  </r>
  <r>
    <x v="80"/>
    <x v="2"/>
    <x v="8"/>
    <x v="3"/>
    <s v="Male"/>
    <n v="20"/>
    <n v="940"/>
    <n v="1259"/>
    <n v="18800"/>
    <n v="25180"/>
    <n v="6380"/>
  </r>
  <r>
    <x v="82"/>
    <x v="2"/>
    <x v="8"/>
    <x v="13"/>
    <s v="Male"/>
    <n v="22"/>
    <n v="785"/>
    <n v="1292"/>
    <n v="17270"/>
    <n v="28424"/>
    <n v="11154"/>
  </r>
  <r>
    <x v="83"/>
    <x v="2"/>
    <x v="3"/>
    <x v="12"/>
    <s v="Female"/>
    <n v="21"/>
    <n v="879"/>
    <n v="1019"/>
    <n v="18459"/>
    <n v="21399"/>
    <n v="2940"/>
  </r>
  <r>
    <x v="84"/>
    <x v="2"/>
    <x v="3"/>
    <x v="6"/>
    <s v="Female"/>
    <n v="28"/>
    <n v="937"/>
    <n v="872"/>
    <n v="26236"/>
    <n v="24416"/>
    <n v="-1820"/>
  </r>
  <r>
    <x v="195"/>
    <x v="2"/>
    <x v="6"/>
    <x v="5"/>
    <s v="Female"/>
    <n v="26"/>
    <n v="751"/>
    <n v="1292"/>
    <n v="19526"/>
    <n v="33592"/>
    <n v="14066"/>
  </r>
  <r>
    <x v="85"/>
    <x v="2"/>
    <x v="3"/>
    <x v="7"/>
    <s v="Female"/>
    <n v="22"/>
    <n v="832"/>
    <n v="769"/>
    <n v="18304"/>
    <n v="16918"/>
    <n v="-1386"/>
  </r>
  <r>
    <x v="87"/>
    <x v="2"/>
    <x v="3"/>
    <x v="7"/>
    <s v="Female"/>
    <n v="28"/>
    <n v="832"/>
    <n v="1028"/>
    <n v="23296"/>
    <n v="28784"/>
    <n v="5488"/>
  </r>
  <r>
    <x v="88"/>
    <x v="2"/>
    <x v="3"/>
    <x v="4"/>
    <s v="Female"/>
    <n v="22"/>
    <n v="622"/>
    <n v="822"/>
    <n v="13684"/>
    <n v="18084"/>
    <n v="4400"/>
  </r>
  <r>
    <x v="196"/>
    <x v="1"/>
    <x v="5"/>
    <x v="13"/>
    <s v="Female"/>
    <n v="55"/>
    <n v="856"/>
    <n v="756"/>
    <n v="47080"/>
    <n v="41580"/>
    <n v="-5500"/>
  </r>
  <r>
    <x v="90"/>
    <x v="2"/>
    <x v="4"/>
    <x v="7"/>
    <s v="Male"/>
    <n v="23"/>
    <n v="663"/>
    <n v="1153"/>
    <n v="15249"/>
    <n v="26519"/>
    <n v="11270"/>
  </r>
  <r>
    <x v="92"/>
    <x v="2"/>
    <x v="4"/>
    <x v="13"/>
    <s v="Male"/>
    <n v="23"/>
    <n v="779"/>
    <n v="1415"/>
    <n v="17917"/>
    <n v="32545"/>
    <n v="14628"/>
  </r>
  <r>
    <x v="94"/>
    <x v="2"/>
    <x v="4"/>
    <x v="7"/>
    <s v="Female"/>
    <n v="29"/>
    <n v="952"/>
    <n v="1428"/>
    <n v="27608"/>
    <n v="41412"/>
    <n v="13804"/>
  </r>
  <r>
    <x v="95"/>
    <x v="2"/>
    <x v="4"/>
    <x v="5"/>
    <s v="Female"/>
    <n v="26"/>
    <n v="983"/>
    <n v="1270"/>
    <n v="25558"/>
    <n v="33020"/>
    <n v="7462"/>
  </r>
  <r>
    <x v="96"/>
    <x v="2"/>
    <x v="4"/>
    <x v="17"/>
    <s v="Female"/>
    <n v="28"/>
    <n v="814"/>
    <n v="1343"/>
    <n v="22792"/>
    <n v="37604"/>
    <n v="14812"/>
  </r>
  <r>
    <x v="97"/>
    <x v="2"/>
    <x v="4"/>
    <x v="8"/>
    <s v="Female"/>
    <n v="26"/>
    <n v="835"/>
    <n v="973"/>
    <n v="21710"/>
    <n v="25298"/>
    <n v="3588"/>
  </r>
  <r>
    <x v="197"/>
    <x v="1"/>
    <x v="5"/>
    <x v="18"/>
    <s v="Male"/>
    <n v="88"/>
    <n v="635"/>
    <n v="1370"/>
    <n v="55880"/>
    <n v="120560"/>
    <n v="64680"/>
  </r>
  <r>
    <x v="98"/>
    <x v="2"/>
    <x v="4"/>
    <x v="18"/>
    <s v="Female"/>
    <n v="24"/>
    <n v="631"/>
    <n v="1304"/>
    <n v="15144"/>
    <n v="31296"/>
    <n v="16152"/>
  </r>
  <r>
    <x v="99"/>
    <x v="2"/>
    <x v="4"/>
    <x v="19"/>
    <s v="Female"/>
    <n v="24"/>
    <n v="833"/>
    <n v="1280"/>
    <n v="19992"/>
    <n v="30720"/>
    <n v="10728"/>
  </r>
  <r>
    <x v="100"/>
    <x v="2"/>
    <x v="4"/>
    <x v="0"/>
    <s v="Male"/>
    <n v="21"/>
    <n v="680"/>
    <n v="1049"/>
    <n v="14280"/>
    <n v="22029"/>
    <n v="7749"/>
  </r>
  <r>
    <x v="101"/>
    <x v="2"/>
    <x v="4"/>
    <x v="1"/>
    <s v="Male"/>
    <n v="23"/>
    <n v="667"/>
    <n v="962"/>
    <n v="15341"/>
    <n v="22126"/>
    <n v="6785"/>
  </r>
  <r>
    <x v="102"/>
    <x v="2"/>
    <x v="4"/>
    <x v="2"/>
    <s v="Male"/>
    <n v="24"/>
    <n v="504"/>
    <n v="1283"/>
    <n v="12096"/>
    <n v="30792"/>
    <n v="18696"/>
  </r>
  <r>
    <x v="103"/>
    <x v="2"/>
    <x v="4"/>
    <x v="3"/>
    <s v="Male"/>
    <n v="26"/>
    <n v="985"/>
    <n v="1407"/>
    <n v="25610"/>
    <n v="36582"/>
    <n v="10972"/>
  </r>
  <r>
    <x v="104"/>
    <x v="2"/>
    <x v="4"/>
    <x v="3"/>
    <s v="Female"/>
    <n v="27"/>
    <n v="890"/>
    <n v="853"/>
    <n v="24030"/>
    <n v="23031"/>
    <n v="-999"/>
  </r>
  <r>
    <x v="106"/>
    <x v="2"/>
    <x v="6"/>
    <x v="4"/>
    <s v="Female"/>
    <n v="21"/>
    <n v="722"/>
    <n v="1247"/>
    <n v="15162"/>
    <n v="26187"/>
    <n v="11025"/>
  </r>
  <r>
    <x v="107"/>
    <x v="2"/>
    <x v="6"/>
    <x v="5"/>
    <s v="Female"/>
    <n v="22"/>
    <n v="725"/>
    <n v="765"/>
    <n v="15950"/>
    <n v="16830"/>
    <n v="880"/>
  </r>
  <r>
    <x v="109"/>
    <x v="2"/>
    <x v="6"/>
    <x v="3"/>
    <s v="Female"/>
    <n v="26"/>
    <n v="509"/>
    <n v="1120"/>
    <n v="13234"/>
    <n v="29120"/>
    <n v="15886"/>
  </r>
  <r>
    <x v="6"/>
    <x v="1"/>
    <x v="1"/>
    <x v="6"/>
    <s v="Male"/>
    <n v="55"/>
    <n v="906"/>
    <n v="880"/>
    <n v="49830"/>
    <n v="48400"/>
    <n v="-1430"/>
  </r>
  <r>
    <x v="110"/>
    <x v="2"/>
    <x v="6"/>
    <x v="15"/>
    <s v="Female"/>
    <n v="28"/>
    <n v="905"/>
    <n v="958"/>
    <n v="25340"/>
    <n v="26824"/>
    <n v="1484"/>
  </r>
  <r>
    <x v="111"/>
    <x v="2"/>
    <x v="6"/>
    <x v="14"/>
    <s v="Female"/>
    <n v="22"/>
    <n v="866"/>
    <n v="1453"/>
    <n v="19052"/>
    <n v="31966"/>
    <n v="12914"/>
  </r>
  <r>
    <x v="112"/>
    <x v="2"/>
    <x v="6"/>
    <x v="8"/>
    <s v="Female"/>
    <n v="23"/>
    <n v="816"/>
    <n v="1273"/>
    <n v="18768"/>
    <n v="29279"/>
    <n v="10511"/>
  </r>
  <r>
    <x v="114"/>
    <x v="2"/>
    <x v="6"/>
    <x v="3"/>
    <s v="Female"/>
    <n v="30"/>
    <n v="738"/>
    <n v="1216"/>
    <n v="22140"/>
    <n v="36480"/>
    <n v="14340"/>
  </r>
  <r>
    <x v="115"/>
    <x v="2"/>
    <x v="6"/>
    <x v="13"/>
    <s v="Female"/>
    <n v="24"/>
    <n v="653"/>
    <n v="1293"/>
    <n v="15672"/>
    <n v="31032"/>
    <n v="15360"/>
  </r>
  <r>
    <x v="12"/>
    <x v="2"/>
    <x v="3"/>
    <x v="8"/>
    <s v="Female"/>
    <n v="22"/>
    <n v="692"/>
    <n v="906"/>
    <n v="15224"/>
    <n v="19932"/>
    <n v="4708"/>
  </r>
  <r>
    <x v="116"/>
    <x v="2"/>
    <x v="6"/>
    <x v="15"/>
    <s v="Female"/>
    <n v="30"/>
    <n v="583"/>
    <n v="1500"/>
    <n v="17490"/>
    <n v="45000"/>
    <n v="27510"/>
  </r>
  <r>
    <x v="118"/>
    <x v="2"/>
    <x v="6"/>
    <x v="16"/>
    <s v="Male"/>
    <n v="26"/>
    <n v="1000"/>
    <n v="765"/>
    <n v="26000"/>
    <n v="19890"/>
    <n v="-6110"/>
  </r>
  <r>
    <x v="120"/>
    <x v="2"/>
    <x v="6"/>
    <x v="6"/>
    <s v="Male"/>
    <n v="27"/>
    <n v="913"/>
    <n v="1197"/>
    <n v="24651"/>
    <n v="32319"/>
    <n v="7668"/>
  </r>
  <r>
    <x v="121"/>
    <x v="2"/>
    <x v="6"/>
    <x v="8"/>
    <s v="Male"/>
    <n v="29"/>
    <n v="735"/>
    <n v="1388"/>
    <n v="21315"/>
    <n v="40252"/>
    <n v="18937"/>
  </r>
  <r>
    <x v="122"/>
    <x v="2"/>
    <x v="6"/>
    <x v="7"/>
    <s v="Male"/>
    <n v="29"/>
    <n v="965"/>
    <n v="1195"/>
    <n v="27985"/>
    <n v="34655"/>
    <n v="6670"/>
  </r>
  <r>
    <x v="123"/>
    <x v="2"/>
    <x v="6"/>
    <x v="13"/>
    <s v="Male"/>
    <n v="24"/>
    <n v="970"/>
    <n v="1256"/>
    <n v="23280"/>
    <n v="30144"/>
    <n v="6864"/>
  </r>
  <r>
    <x v="124"/>
    <x v="2"/>
    <x v="6"/>
    <x v="13"/>
    <s v="Male"/>
    <n v="22"/>
    <n v="974"/>
    <n v="1329"/>
    <n v="21428"/>
    <n v="29238"/>
    <n v="7810"/>
  </r>
  <r>
    <x v="125"/>
    <x v="2"/>
    <x v="6"/>
    <x v="12"/>
    <s v="Male"/>
    <n v="21"/>
    <n v="915"/>
    <n v="1442"/>
    <n v="19215"/>
    <n v="30282"/>
    <n v="11067"/>
  </r>
  <r>
    <x v="126"/>
    <x v="2"/>
    <x v="6"/>
    <x v="5"/>
    <s v="Female"/>
    <n v="27"/>
    <n v="605"/>
    <n v="826"/>
    <n v="16335"/>
    <n v="22302"/>
    <n v="5967"/>
  </r>
  <r>
    <x v="22"/>
    <x v="2"/>
    <x v="4"/>
    <x v="13"/>
    <s v="Male"/>
    <n v="29"/>
    <n v="893"/>
    <n v="865"/>
    <n v="25897"/>
    <n v="25085"/>
    <n v="-812"/>
  </r>
  <r>
    <x v="127"/>
    <x v="2"/>
    <x v="6"/>
    <x v="17"/>
    <s v="Female"/>
    <n v="29"/>
    <n v="689"/>
    <n v="783"/>
    <n v="19981"/>
    <n v="22707"/>
    <n v="2726"/>
  </r>
  <r>
    <x v="24"/>
    <x v="2"/>
    <x v="4"/>
    <x v="12"/>
    <s v="Female"/>
    <n v="24"/>
    <n v="859"/>
    <n v="1473"/>
    <n v="20616"/>
    <n v="35352"/>
    <n v="14736"/>
  </r>
  <r>
    <x v="128"/>
    <x v="2"/>
    <x v="6"/>
    <x v="8"/>
    <s v="Female"/>
    <n v="25"/>
    <n v="861"/>
    <n v="843"/>
    <n v="21525"/>
    <n v="21075"/>
    <n v="-450"/>
  </r>
  <r>
    <x v="130"/>
    <x v="2"/>
    <x v="6"/>
    <x v="18"/>
    <s v="Female"/>
    <n v="22"/>
    <n v="629"/>
    <n v="1263"/>
    <n v="13838"/>
    <n v="27786"/>
    <n v="13948"/>
  </r>
  <r>
    <x v="131"/>
    <x v="2"/>
    <x v="6"/>
    <x v="19"/>
    <s v="Female"/>
    <n v="22"/>
    <n v="779"/>
    <n v="1301"/>
    <n v="17138"/>
    <n v="28622"/>
    <n v="11484"/>
  </r>
  <r>
    <x v="133"/>
    <x v="2"/>
    <x v="6"/>
    <x v="0"/>
    <s v="Female"/>
    <n v="23"/>
    <n v="730"/>
    <n v="1189"/>
    <n v="16790"/>
    <n v="27347"/>
    <n v="10557"/>
  </r>
  <r>
    <x v="134"/>
    <x v="2"/>
    <x v="6"/>
    <x v="8"/>
    <s v="Male"/>
    <n v="26"/>
    <n v="847"/>
    <n v="1116"/>
    <n v="22022"/>
    <n v="29016"/>
    <n v="6994"/>
  </r>
  <r>
    <x v="135"/>
    <x v="2"/>
    <x v="6"/>
    <x v="9"/>
    <s v="Male"/>
    <n v="24"/>
    <n v="942"/>
    <n v="1313"/>
    <n v="22608"/>
    <n v="31512"/>
    <n v="8904"/>
  </r>
  <r>
    <x v="136"/>
    <x v="2"/>
    <x v="6"/>
    <x v="4"/>
    <s v="Female"/>
    <n v="20"/>
    <n v="751"/>
    <n v="861"/>
    <n v="15020"/>
    <n v="17220"/>
    <n v="2200"/>
  </r>
  <r>
    <x v="138"/>
    <x v="2"/>
    <x v="6"/>
    <x v="11"/>
    <s v="Male"/>
    <n v="28"/>
    <n v="855"/>
    <n v="930"/>
    <n v="23940"/>
    <n v="26040"/>
    <n v="2100"/>
  </r>
  <r>
    <x v="139"/>
    <x v="2"/>
    <x v="6"/>
    <x v="6"/>
    <s v="Male"/>
    <n v="22"/>
    <n v="806"/>
    <n v="1391"/>
    <n v="17732"/>
    <n v="30602"/>
    <n v="12870"/>
  </r>
  <r>
    <x v="141"/>
    <x v="2"/>
    <x v="6"/>
    <x v="7"/>
    <s v="Male"/>
    <n v="30"/>
    <n v="624"/>
    <n v="999"/>
    <n v="18720"/>
    <n v="29970"/>
    <n v="11250"/>
  </r>
  <r>
    <x v="142"/>
    <x v="2"/>
    <x v="6"/>
    <x v="7"/>
    <s v="Female"/>
    <n v="25"/>
    <n v="533"/>
    <n v="860"/>
    <n v="13325"/>
    <n v="21500"/>
    <n v="8175"/>
  </r>
  <r>
    <x v="143"/>
    <x v="2"/>
    <x v="6"/>
    <x v="13"/>
    <s v="Female"/>
    <n v="20"/>
    <n v="681"/>
    <n v="823"/>
    <n v="13620"/>
    <n v="16460"/>
    <n v="2840"/>
  </r>
  <r>
    <x v="144"/>
    <x v="2"/>
    <x v="6"/>
    <x v="12"/>
    <s v="Female"/>
    <n v="23"/>
    <n v="577"/>
    <n v="1125"/>
    <n v="13271"/>
    <n v="25875"/>
    <n v="12604"/>
  </r>
  <r>
    <x v="146"/>
    <x v="2"/>
    <x v="8"/>
    <x v="12"/>
    <s v="Female"/>
    <n v="28"/>
    <n v="537"/>
    <n v="828"/>
    <n v="15036"/>
    <n v="23184"/>
    <n v="8148"/>
  </r>
  <r>
    <x v="147"/>
    <x v="2"/>
    <x v="8"/>
    <x v="5"/>
    <s v="Male"/>
    <n v="23"/>
    <n v="746"/>
    <n v="1410"/>
    <n v="17158"/>
    <n v="32430"/>
    <n v="15272"/>
  </r>
  <r>
    <x v="148"/>
    <x v="2"/>
    <x v="3"/>
    <x v="0"/>
    <s v="Male"/>
    <n v="29"/>
    <n v="895"/>
    <n v="882"/>
    <n v="25955"/>
    <n v="25578"/>
    <n v="-377"/>
  </r>
  <r>
    <x v="150"/>
    <x v="2"/>
    <x v="3"/>
    <x v="1"/>
    <s v="Male"/>
    <n v="26"/>
    <n v="728"/>
    <n v="1466"/>
    <n v="18928"/>
    <n v="38116"/>
    <n v="19188"/>
  </r>
  <r>
    <x v="152"/>
    <x v="2"/>
    <x v="3"/>
    <x v="2"/>
    <s v="Male"/>
    <n v="22"/>
    <n v="586"/>
    <n v="1206"/>
    <n v="12892"/>
    <n v="26532"/>
    <n v="13640"/>
  </r>
  <r>
    <x v="153"/>
    <x v="2"/>
    <x v="3"/>
    <x v="3"/>
    <s v="Female"/>
    <n v="29"/>
    <n v="724"/>
    <n v="858"/>
    <n v="20996"/>
    <n v="24882"/>
    <n v="3886"/>
  </r>
  <r>
    <x v="154"/>
    <x v="2"/>
    <x v="3"/>
    <x v="3"/>
    <s v="Female"/>
    <n v="20"/>
    <n v="941"/>
    <n v="1181"/>
    <n v="18820"/>
    <n v="23620"/>
    <n v="4800"/>
  </r>
  <r>
    <x v="155"/>
    <x v="2"/>
    <x v="3"/>
    <x v="4"/>
    <s v="Female"/>
    <n v="22"/>
    <n v="618"/>
    <n v="1373"/>
    <n v="13596"/>
    <n v="30206"/>
    <n v="16610"/>
  </r>
  <r>
    <x v="157"/>
    <x v="2"/>
    <x v="4"/>
    <x v="15"/>
    <s v="Male"/>
    <n v="28"/>
    <n v="896"/>
    <n v="1363"/>
    <n v="25088"/>
    <n v="38164"/>
    <n v="13076"/>
  </r>
  <r>
    <x v="158"/>
    <x v="2"/>
    <x v="4"/>
    <x v="6"/>
    <s v="Male"/>
    <n v="28"/>
    <n v="986"/>
    <n v="866"/>
    <n v="27608"/>
    <n v="24248"/>
    <n v="-3360"/>
  </r>
  <r>
    <x v="159"/>
    <x v="2"/>
    <x v="4"/>
    <x v="8"/>
    <s v="Male"/>
    <n v="27"/>
    <n v="951"/>
    <n v="1255"/>
    <n v="25677"/>
    <n v="33885"/>
    <n v="8208"/>
  </r>
  <r>
    <x v="49"/>
    <x v="1"/>
    <x v="5"/>
    <x v="6"/>
    <s v="Male"/>
    <n v="63"/>
    <n v="929"/>
    <n v="1320"/>
    <n v="58527"/>
    <n v="83160"/>
    <n v="24633"/>
  </r>
  <r>
    <x v="160"/>
    <x v="2"/>
    <x v="4"/>
    <x v="12"/>
    <s v="Male"/>
    <n v="22"/>
    <n v="783"/>
    <n v="886"/>
    <n v="17226"/>
    <n v="19492"/>
    <n v="2266"/>
  </r>
  <r>
    <x v="161"/>
    <x v="2"/>
    <x v="4"/>
    <x v="7"/>
    <s v="Female"/>
    <n v="21"/>
    <n v="547"/>
    <n v="784"/>
    <n v="11487"/>
    <n v="16464"/>
    <n v="4977"/>
  </r>
  <r>
    <x v="162"/>
    <x v="2"/>
    <x v="4"/>
    <x v="8"/>
    <s v="Male"/>
    <n v="20"/>
    <n v="737"/>
    <n v="932"/>
    <n v="14740"/>
    <n v="18640"/>
    <n v="3900"/>
  </r>
  <r>
    <x v="164"/>
    <x v="2"/>
    <x v="4"/>
    <x v="4"/>
    <s v="Male"/>
    <n v="25"/>
    <n v="924"/>
    <n v="1062"/>
    <n v="23100"/>
    <n v="26550"/>
    <n v="3450"/>
  </r>
  <r>
    <x v="166"/>
    <x v="2"/>
    <x v="4"/>
    <x v="8"/>
    <s v="Male"/>
    <n v="28"/>
    <n v="665"/>
    <n v="1467"/>
    <n v="18620"/>
    <n v="41076"/>
    <n v="22456"/>
  </r>
  <r>
    <x v="168"/>
    <x v="2"/>
    <x v="4"/>
    <x v="9"/>
    <s v="Male"/>
    <n v="24"/>
    <n v="839"/>
    <n v="1092"/>
    <n v="20136"/>
    <n v="26208"/>
    <n v="6072"/>
  </r>
  <r>
    <x v="169"/>
    <x v="2"/>
    <x v="4"/>
    <x v="4"/>
    <s v="Male"/>
    <n v="30"/>
    <n v="790"/>
    <n v="1245"/>
    <n v="23700"/>
    <n v="37350"/>
    <n v="13650"/>
  </r>
  <r>
    <x v="170"/>
    <x v="2"/>
    <x v="4"/>
    <x v="10"/>
    <s v="Female"/>
    <n v="30"/>
    <n v="651"/>
    <n v="1277"/>
    <n v="19530"/>
    <n v="38310"/>
    <n v="18780"/>
  </r>
  <r>
    <x v="58"/>
    <x v="1"/>
    <x v="5"/>
    <x v="11"/>
    <s v="Male"/>
    <n v="67"/>
    <n v="796"/>
    <n v="1347"/>
    <n v="53332"/>
    <n v="90249"/>
    <n v="36917"/>
  </r>
  <r>
    <x v="171"/>
    <x v="2"/>
    <x v="4"/>
    <x v="11"/>
    <s v="Female"/>
    <n v="23"/>
    <n v="531"/>
    <n v="1072"/>
    <n v="12213"/>
    <n v="24656"/>
    <n v="12443"/>
  </r>
  <r>
    <x v="172"/>
    <x v="2"/>
    <x v="6"/>
    <x v="6"/>
    <s v="Female"/>
    <n v="30"/>
    <n v="591"/>
    <n v="949"/>
    <n v="17730"/>
    <n v="28470"/>
    <n v="10740"/>
  </r>
  <r>
    <x v="173"/>
    <x v="2"/>
    <x v="6"/>
    <x v="7"/>
    <s v="Female"/>
    <n v="29"/>
    <n v="621"/>
    <n v="1485"/>
    <n v="18009"/>
    <n v="43065"/>
    <n v="25056"/>
  </r>
  <r>
    <x v="175"/>
    <x v="2"/>
    <x v="6"/>
    <x v="13"/>
    <s v="Female"/>
    <n v="30"/>
    <n v="857"/>
    <n v="1455"/>
    <n v="25710"/>
    <n v="43650"/>
    <n v="17940"/>
  </r>
  <r>
    <x v="176"/>
    <x v="2"/>
    <x v="6"/>
    <x v="13"/>
    <s v="Female"/>
    <n v="20"/>
    <n v="897"/>
    <n v="1024"/>
    <n v="17940"/>
    <n v="20480"/>
    <n v="2540"/>
  </r>
  <r>
    <x v="177"/>
    <x v="2"/>
    <x v="6"/>
    <x v="7"/>
    <s v="Male"/>
    <n v="22"/>
    <n v="781"/>
    <n v="1423"/>
    <n v="17182"/>
    <n v="31306"/>
    <n v="14124"/>
  </r>
  <r>
    <x v="178"/>
    <x v="2"/>
    <x v="6"/>
    <x v="5"/>
    <s v="Male"/>
    <n v="20"/>
    <n v="854"/>
    <n v="956"/>
    <n v="17080"/>
    <n v="19120"/>
    <n v="2040"/>
  </r>
  <r>
    <x v="179"/>
    <x v="2"/>
    <x v="6"/>
    <x v="17"/>
    <s v="Male"/>
    <n v="26"/>
    <n v="909"/>
    <n v="1206"/>
    <n v="23634"/>
    <n v="31356"/>
    <n v="7722"/>
  </r>
  <r>
    <x v="181"/>
    <x v="2"/>
    <x v="6"/>
    <x v="8"/>
    <s v="Female"/>
    <n v="20"/>
    <n v="976"/>
    <n v="905"/>
    <n v="19520"/>
    <n v="18100"/>
    <n v="-1420"/>
  </r>
  <r>
    <x v="182"/>
    <x v="2"/>
    <x v="6"/>
    <x v="19"/>
    <s v="Male"/>
    <n v="24"/>
    <n v="787"/>
    <n v="1122"/>
    <n v="18888"/>
    <n v="26928"/>
    <n v="8040"/>
  </r>
  <r>
    <x v="183"/>
    <x v="2"/>
    <x v="6"/>
    <x v="8"/>
    <s v="Female"/>
    <n v="23"/>
    <n v="755"/>
    <n v="806"/>
    <n v="17365"/>
    <n v="18538"/>
    <n v="1173"/>
  </r>
  <r>
    <x v="184"/>
    <x v="2"/>
    <x v="6"/>
    <x v="18"/>
    <s v="Female"/>
    <n v="26"/>
    <n v="573"/>
    <n v="1309"/>
    <n v="14898"/>
    <n v="34034"/>
    <n v="19136"/>
  </r>
  <r>
    <x v="185"/>
    <x v="2"/>
    <x v="6"/>
    <x v="19"/>
    <s v="Female"/>
    <n v="30"/>
    <n v="946"/>
    <n v="1089"/>
    <n v="28380"/>
    <n v="32670"/>
    <n v="4290"/>
  </r>
  <r>
    <x v="187"/>
    <x v="2"/>
    <x v="6"/>
    <x v="0"/>
    <s v="Male"/>
    <n v="22"/>
    <n v="679"/>
    <n v="1463"/>
    <n v="14938"/>
    <n v="32186"/>
    <n v="17248"/>
  </r>
  <r>
    <x v="188"/>
    <x v="2"/>
    <x v="6"/>
    <x v="1"/>
    <s v="Male"/>
    <n v="25"/>
    <n v="975"/>
    <n v="935"/>
    <n v="24375"/>
    <n v="23375"/>
    <n v="-1000"/>
  </r>
  <r>
    <x v="189"/>
    <x v="2"/>
    <x v="6"/>
    <x v="2"/>
    <s v="Male"/>
    <n v="24"/>
    <n v="642"/>
    <n v="996"/>
    <n v="15408"/>
    <n v="23904"/>
    <n v="8496"/>
  </r>
  <r>
    <x v="63"/>
    <x v="0"/>
    <x v="0"/>
    <x v="3"/>
    <s v="Female"/>
    <n v="14"/>
    <n v="603"/>
    <n v="1104"/>
    <n v="8442"/>
    <n v="15456"/>
    <n v="7014"/>
  </r>
  <r>
    <x v="191"/>
    <x v="2"/>
    <x v="6"/>
    <x v="3"/>
    <s v="Male"/>
    <n v="29"/>
    <n v="598"/>
    <n v="923"/>
    <n v="17342"/>
    <n v="26767"/>
    <n v="9425"/>
  </r>
  <r>
    <x v="192"/>
    <x v="2"/>
    <x v="6"/>
    <x v="3"/>
    <s v="Male"/>
    <n v="22"/>
    <n v="719"/>
    <n v="1079"/>
    <n v="15818"/>
    <n v="23738"/>
    <n v="7920"/>
  </r>
  <r>
    <x v="193"/>
    <x v="2"/>
    <x v="6"/>
    <x v="4"/>
    <s v="Female"/>
    <n v="30"/>
    <n v="716"/>
    <n v="956"/>
    <n v="21480"/>
    <n v="28680"/>
    <n v="7200"/>
  </r>
  <r>
    <x v="194"/>
    <x v="2"/>
    <x v="6"/>
    <x v="6"/>
    <s v="Female"/>
    <n v="29"/>
    <n v="623"/>
    <n v="919"/>
    <n v="18067"/>
    <n v="26651"/>
    <n v="8584"/>
  </r>
  <r>
    <x v="78"/>
    <x v="2"/>
    <x v="3"/>
    <x v="14"/>
    <s v="Male"/>
    <n v="21"/>
    <n v="553"/>
    <n v="1459"/>
    <n v="11613"/>
    <n v="30639"/>
    <n v="19026"/>
  </r>
  <r>
    <x v="64"/>
    <x v="1"/>
    <x v="5"/>
    <x v="8"/>
    <s v="Female"/>
    <n v="77"/>
    <n v="923"/>
    <n v="1132"/>
    <n v="71071"/>
    <n v="87164"/>
    <n v="16093"/>
  </r>
  <r>
    <x v="79"/>
    <x v="2"/>
    <x v="8"/>
    <x v="8"/>
    <s v="Male"/>
    <n v="30"/>
    <n v="719"/>
    <n v="1162"/>
    <n v="21570"/>
    <n v="34860"/>
    <n v="13290"/>
  </r>
  <r>
    <x v="80"/>
    <x v="2"/>
    <x v="8"/>
    <x v="3"/>
    <s v="Male"/>
    <n v="25"/>
    <n v="980"/>
    <n v="926"/>
    <n v="24500"/>
    <n v="23150"/>
    <n v="-1350"/>
  </r>
  <r>
    <x v="82"/>
    <x v="2"/>
    <x v="8"/>
    <x v="13"/>
    <s v="Male"/>
    <n v="22"/>
    <n v="718"/>
    <n v="1335"/>
    <n v="15796"/>
    <n v="29370"/>
    <n v="13574"/>
  </r>
  <r>
    <x v="83"/>
    <x v="2"/>
    <x v="3"/>
    <x v="12"/>
    <s v="Female"/>
    <n v="30"/>
    <n v="520"/>
    <n v="1251"/>
    <n v="15600"/>
    <n v="37530"/>
    <n v="21930"/>
  </r>
  <r>
    <x v="84"/>
    <x v="2"/>
    <x v="3"/>
    <x v="6"/>
    <s v="Female"/>
    <n v="26"/>
    <n v="808"/>
    <n v="1135"/>
    <n v="21008"/>
    <n v="29510"/>
    <n v="8502"/>
  </r>
  <r>
    <x v="85"/>
    <x v="2"/>
    <x v="3"/>
    <x v="7"/>
    <s v="Female"/>
    <n v="23"/>
    <n v="504"/>
    <n v="1328"/>
    <n v="11592"/>
    <n v="30544"/>
    <n v="18952"/>
  </r>
  <r>
    <x v="87"/>
    <x v="2"/>
    <x v="3"/>
    <x v="7"/>
    <s v="Female"/>
    <n v="28"/>
    <n v="918"/>
    <n v="808"/>
    <n v="25704"/>
    <n v="22624"/>
    <n v="-3080"/>
  </r>
  <r>
    <x v="88"/>
    <x v="2"/>
    <x v="3"/>
    <x v="4"/>
    <s v="Female"/>
    <n v="27"/>
    <n v="966"/>
    <n v="850"/>
    <n v="26082"/>
    <n v="22950"/>
    <n v="-3132"/>
  </r>
  <r>
    <x v="90"/>
    <x v="2"/>
    <x v="4"/>
    <x v="7"/>
    <s v="Male"/>
    <n v="20"/>
    <n v="664"/>
    <n v="924"/>
    <n v="13280"/>
    <n v="18480"/>
    <n v="5200"/>
  </r>
  <r>
    <x v="92"/>
    <x v="2"/>
    <x v="4"/>
    <x v="13"/>
    <s v="Male"/>
    <n v="26"/>
    <n v="608"/>
    <n v="1125"/>
    <n v="15808"/>
    <n v="29250"/>
    <n v="13442"/>
  </r>
  <r>
    <x v="65"/>
    <x v="0"/>
    <x v="2"/>
    <x v="8"/>
    <s v="Female"/>
    <n v="19"/>
    <n v="860"/>
    <n v="1234"/>
    <n v="16340"/>
    <n v="23446"/>
    <n v="7106"/>
  </r>
  <r>
    <x v="94"/>
    <x v="2"/>
    <x v="4"/>
    <x v="7"/>
    <s v="Female"/>
    <n v="24"/>
    <n v="826"/>
    <n v="975"/>
    <n v="19824"/>
    <n v="23400"/>
    <n v="3576"/>
  </r>
  <r>
    <x v="95"/>
    <x v="2"/>
    <x v="4"/>
    <x v="5"/>
    <s v="Female"/>
    <n v="24"/>
    <n v="877"/>
    <n v="762"/>
    <n v="21048"/>
    <n v="18288"/>
    <n v="-2760"/>
  </r>
  <r>
    <x v="96"/>
    <x v="2"/>
    <x v="4"/>
    <x v="17"/>
    <s v="Female"/>
    <n v="23"/>
    <n v="736"/>
    <n v="872"/>
    <n v="16928"/>
    <n v="20056"/>
    <n v="3128"/>
  </r>
  <r>
    <x v="97"/>
    <x v="2"/>
    <x v="4"/>
    <x v="8"/>
    <s v="Female"/>
    <n v="27"/>
    <n v="828"/>
    <n v="1008"/>
    <n v="22356"/>
    <n v="27216"/>
    <n v="4860"/>
  </r>
  <r>
    <x v="98"/>
    <x v="2"/>
    <x v="4"/>
    <x v="18"/>
    <s v="Female"/>
    <n v="28"/>
    <n v="901"/>
    <n v="1260"/>
    <n v="25228"/>
    <n v="35280"/>
    <n v="10052"/>
  </r>
  <r>
    <x v="99"/>
    <x v="2"/>
    <x v="4"/>
    <x v="19"/>
    <s v="Female"/>
    <n v="28"/>
    <n v="796"/>
    <n v="1407"/>
    <n v="22288"/>
    <n v="39396"/>
    <n v="17108"/>
  </r>
  <r>
    <x v="100"/>
    <x v="2"/>
    <x v="4"/>
    <x v="0"/>
    <s v="Male"/>
    <n v="27"/>
    <n v="794"/>
    <n v="905"/>
    <n v="21438"/>
    <n v="24435"/>
    <n v="2997"/>
  </r>
  <r>
    <x v="101"/>
    <x v="2"/>
    <x v="4"/>
    <x v="1"/>
    <s v="Male"/>
    <n v="20"/>
    <n v="812"/>
    <n v="1248"/>
    <n v="16240"/>
    <n v="24960"/>
    <n v="8720"/>
  </r>
  <r>
    <x v="102"/>
    <x v="2"/>
    <x v="4"/>
    <x v="2"/>
    <s v="Male"/>
    <n v="20"/>
    <n v="908"/>
    <n v="1130"/>
    <n v="18160"/>
    <n v="22600"/>
    <n v="4440"/>
  </r>
  <r>
    <x v="103"/>
    <x v="2"/>
    <x v="4"/>
    <x v="3"/>
    <s v="Male"/>
    <n v="23"/>
    <n v="846"/>
    <n v="1143"/>
    <n v="19458"/>
    <n v="26289"/>
    <n v="6831"/>
  </r>
  <r>
    <x v="104"/>
    <x v="2"/>
    <x v="4"/>
    <x v="3"/>
    <s v="Female"/>
    <n v="25"/>
    <n v="627"/>
    <n v="1071"/>
    <n v="15675"/>
    <n v="26775"/>
    <n v="11100"/>
  </r>
  <r>
    <x v="106"/>
    <x v="2"/>
    <x v="6"/>
    <x v="4"/>
    <s v="Female"/>
    <n v="27"/>
    <n v="817"/>
    <n v="977"/>
    <n v="22059"/>
    <n v="26379"/>
    <n v="4320"/>
  </r>
  <r>
    <x v="66"/>
    <x v="2"/>
    <x v="6"/>
    <x v="7"/>
    <s v="Female"/>
    <n v="29"/>
    <n v="929"/>
    <n v="1429"/>
    <n v="26941"/>
    <n v="41441"/>
    <n v="14500"/>
  </r>
  <r>
    <x v="107"/>
    <x v="2"/>
    <x v="6"/>
    <x v="5"/>
    <s v="Female"/>
    <n v="27"/>
    <n v="675"/>
    <n v="1138"/>
    <n v="18225"/>
    <n v="30726"/>
    <n v="12501"/>
  </r>
  <r>
    <x v="109"/>
    <x v="2"/>
    <x v="6"/>
    <x v="3"/>
    <s v="Female"/>
    <n v="22"/>
    <n v="695"/>
    <n v="830"/>
    <n v="15290"/>
    <n v="18260"/>
    <n v="2970"/>
  </r>
  <r>
    <x v="110"/>
    <x v="2"/>
    <x v="6"/>
    <x v="15"/>
    <s v="Female"/>
    <n v="21"/>
    <n v="781"/>
    <n v="816"/>
    <n v="16401"/>
    <n v="17136"/>
    <n v="735"/>
  </r>
  <r>
    <x v="111"/>
    <x v="2"/>
    <x v="6"/>
    <x v="14"/>
    <s v="Female"/>
    <n v="25"/>
    <n v="517"/>
    <n v="939"/>
    <n v="12925"/>
    <n v="23475"/>
    <n v="10550"/>
  </r>
  <r>
    <x v="112"/>
    <x v="2"/>
    <x v="6"/>
    <x v="8"/>
    <s v="Female"/>
    <n v="24"/>
    <n v="730"/>
    <n v="886"/>
    <n v="17520"/>
    <n v="21264"/>
    <n v="3744"/>
  </r>
  <r>
    <x v="114"/>
    <x v="2"/>
    <x v="6"/>
    <x v="3"/>
    <s v="Female"/>
    <n v="23"/>
    <n v="811"/>
    <n v="1142"/>
    <n v="18653"/>
    <n v="26266"/>
    <n v="7613"/>
  </r>
  <r>
    <x v="115"/>
    <x v="2"/>
    <x v="6"/>
    <x v="13"/>
    <s v="Female"/>
    <n v="21"/>
    <n v="967"/>
    <n v="888"/>
    <n v="20307"/>
    <n v="18648"/>
    <n v="-1659"/>
  </r>
  <r>
    <x v="116"/>
    <x v="2"/>
    <x v="6"/>
    <x v="15"/>
    <s v="Female"/>
    <n v="29"/>
    <n v="655"/>
    <n v="950"/>
    <n v="18995"/>
    <n v="27550"/>
    <n v="8555"/>
  </r>
  <r>
    <x v="118"/>
    <x v="2"/>
    <x v="6"/>
    <x v="16"/>
    <s v="Male"/>
    <n v="30"/>
    <n v="616"/>
    <n v="804"/>
    <n v="18480"/>
    <n v="24120"/>
    <n v="5640"/>
  </r>
  <r>
    <x v="120"/>
    <x v="2"/>
    <x v="6"/>
    <x v="6"/>
    <s v="Male"/>
    <n v="30"/>
    <n v="709"/>
    <n v="1209"/>
    <n v="21270"/>
    <n v="36270"/>
    <n v="15000"/>
  </r>
  <r>
    <x v="121"/>
    <x v="2"/>
    <x v="6"/>
    <x v="8"/>
    <s v="Male"/>
    <n v="23"/>
    <n v="875"/>
    <n v="843"/>
    <n v="20125"/>
    <n v="19389"/>
    <n v="-736"/>
  </r>
  <r>
    <x v="122"/>
    <x v="2"/>
    <x v="6"/>
    <x v="7"/>
    <s v="Male"/>
    <n v="26"/>
    <n v="766"/>
    <n v="836"/>
    <n v="19916"/>
    <n v="21736"/>
    <n v="1820"/>
  </r>
  <r>
    <x v="123"/>
    <x v="2"/>
    <x v="6"/>
    <x v="13"/>
    <s v="Male"/>
    <n v="23"/>
    <n v="589"/>
    <n v="982"/>
    <n v="13547"/>
    <n v="22586"/>
    <n v="9039"/>
  </r>
  <r>
    <x v="124"/>
    <x v="2"/>
    <x v="6"/>
    <x v="13"/>
    <s v="Male"/>
    <n v="24"/>
    <n v="718"/>
    <n v="1218"/>
    <n v="17232"/>
    <n v="29232"/>
    <n v="12000"/>
  </r>
  <r>
    <x v="125"/>
    <x v="2"/>
    <x v="6"/>
    <x v="12"/>
    <s v="Male"/>
    <n v="22"/>
    <n v="877"/>
    <n v="1120"/>
    <n v="19294"/>
    <n v="24640"/>
    <n v="5346"/>
  </r>
  <r>
    <x v="126"/>
    <x v="2"/>
    <x v="6"/>
    <x v="5"/>
    <s v="Female"/>
    <n v="23"/>
    <n v="641"/>
    <n v="1445"/>
    <n v="14743"/>
    <n v="33235"/>
    <n v="18492"/>
  </r>
  <r>
    <x v="127"/>
    <x v="2"/>
    <x v="6"/>
    <x v="17"/>
    <s v="Female"/>
    <n v="30"/>
    <n v="916"/>
    <n v="1497"/>
    <n v="27480"/>
    <n v="44910"/>
    <n v="17430"/>
  </r>
  <r>
    <x v="128"/>
    <x v="2"/>
    <x v="6"/>
    <x v="8"/>
    <s v="Female"/>
    <n v="28"/>
    <n v="588"/>
    <n v="784"/>
    <n v="16464"/>
    <n v="21952"/>
    <n v="5488"/>
  </r>
  <r>
    <x v="67"/>
    <x v="1"/>
    <x v="7"/>
    <x v="15"/>
    <s v="Male"/>
    <n v="60"/>
    <n v="642"/>
    <n v="1497"/>
    <n v="38520"/>
    <n v="89820"/>
    <n v="51300"/>
  </r>
  <r>
    <x v="130"/>
    <x v="2"/>
    <x v="6"/>
    <x v="18"/>
    <s v="Female"/>
    <n v="26"/>
    <n v="969"/>
    <n v="1087"/>
    <n v="25194"/>
    <n v="28262"/>
    <n v="3068"/>
  </r>
  <r>
    <x v="131"/>
    <x v="2"/>
    <x v="6"/>
    <x v="19"/>
    <s v="Female"/>
    <n v="25"/>
    <n v="839"/>
    <n v="1233"/>
    <n v="20975"/>
    <n v="30825"/>
    <n v="9850"/>
  </r>
  <r>
    <x v="133"/>
    <x v="2"/>
    <x v="6"/>
    <x v="0"/>
    <s v="Female"/>
    <n v="25"/>
    <n v="536"/>
    <n v="1407"/>
    <n v="13400"/>
    <n v="35175"/>
    <n v="21775"/>
  </r>
  <r>
    <x v="134"/>
    <x v="2"/>
    <x v="6"/>
    <x v="8"/>
    <s v="Male"/>
    <n v="27"/>
    <n v="966"/>
    <n v="1255"/>
    <n v="26082"/>
    <n v="33885"/>
    <n v="7803"/>
  </r>
  <r>
    <x v="68"/>
    <x v="0"/>
    <x v="2"/>
    <x v="6"/>
    <s v="Female"/>
    <n v="20"/>
    <n v="525"/>
    <n v="1122"/>
    <n v="10500"/>
    <n v="22440"/>
    <n v="11940"/>
  </r>
  <r>
    <x v="135"/>
    <x v="2"/>
    <x v="6"/>
    <x v="9"/>
    <s v="Male"/>
    <n v="23"/>
    <n v="694"/>
    <n v="1309"/>
    <n v="15962"/>
    <n v="30107"/>
    <n v="14145"/>
  </r>
  <r>
    <x v="136"/>
    <x v="2"/>
    <x v="6"/>
    <x v="4"/>
    <s v="Female"/>
    <n v="22"/>
    <n v="749"/>
    <n v="850"/>
    <n v="16478"/>
    <n v="18700"/>
    <n v="2222"/>
  </r>
  <r>
    <x v="138"/>
    <x v="2"/>
    <x v="6"/>
    <x v="11"/>
    <s v="Male"/>
    <n v="24"/>
    <n v="845"/>
    <n v="1429"/>
    <n v="20280"/>
    <n v="34296"/>
    <n v="14016"/>
  </r>
  <r>
    <x v="139"/>
    <x v="2"/>
    <x v="6"/>
    <x v="6"/>
    <s v="Male"/>
    <n v="29"/>
    <n v="872"/>
    <n v="1351"/>
    <n v="25288"/>
    <n v="39179"/>
    <n v="13891"/>
  </r>
  <r>
    <x v="141"/>
    <x v="2"/>
    <x v="6"/>
    <x v="7"/>
    <s v="Male"/>
    <n v="27"/>
    <n v="674"/>
    <n v="1119"/>
    <n v="18198"/>
    <n v="30213"/>
    <n v="12015"/>
  </r>
  <r>
    <x v="142"/>
    <x v="2"/>
    <x v="6"/>
    <x v="7"/>
    <s v="Female"/>
    <n v="27"/>
    <n v="583"/>
    <n v="1379"/>
    <n v="15741"/>
    <n v="37233"/>
    <n v="21492"/>
  </r>
  <r>
    <x v="143"/>
    <x v="2"/>
    <x v="6"/>
    <x v="13"/>
    <s v="Female"/>
    <n v="21"/>
    <n v="929"/>
    <n v="910"/>
    <n v="19509"/>
    <n v="19110"/>
    <n v="-399"/>
  </r>
  <r>
    <x v="69"/>
    <x v="2"/>
    <x v="6"/>
    <x v="10"/>
    <s v="Male"/>
    <n v="23"/>
    <n v="884"/>
    <n v="1392"/>
    <n v="20332"/>
    <n v="32016"/>
    <n v="11684"/>
  </r>
  <r>
    <x v="144"/>
    <x v="2"/>
    <x v="6"/>
    <x v="12"/>
    <s v="Female"/>
    <n v="28"/>
    <n v="873"/>
    <n v="809"/>
    <n v="24444"/>
    <n v="22652"/>
    <n v="-1792"/>
  </r>
  <r>
    <x v="146"/>
    <x v="2"/>
    <x v="8"/>
    <x v="12"/>
    <s v="Female"/>
    <n v="21"/>
    <n v="541"/>
    <n v="1339"/>
    <n v="11361"/>
    <n v="28119"/>
    <n v="16758"/>
  </r>
  <r>
    <x v="147"/>
    <x v="2"/>
    <x v="8"/>
    <x v="5"/>
    <s v="Male"/>
    <n v="22"/>
    <n v="725"/>
    <n v="1268"/>
    <n v="15950"/>
    <n v="27896"/>
    <n v="11946"/>
  </r>
  <r>
    <x v="148"/>
    <x v="2"/>
    <x v="3"/>
    <x v="0"/>
    <s v="Male"/>
    <n v="21"/>
    <n v="596"/>
    <n v="838"/>
    <n v="12516"/>
    <n v="17598"/>
    <n v="5082"/>
  </r>
  <r>
    <x v="150"/>
    <x v="2"/>
    <x v="3"/>
    <x v="1"/>
    <s v="Male"/>
    <n v="30"/>
    <n v="910"/>
    <n v="1290"/>
    <n v="27300"/>
    <n v="38700"/>
    <n v="11400"/>
  </r>
  <r>
    <x v="70"/>
    <x v="2"/>
    <x v="6"/>
    <x v="13"/>
    <s v="Female"/>
    <n v="20"/>
    <n v="997"/>
    <n v="784"/>
    <n v="19940"/>
    <n v="15680"/>
    <n v="-4260"/>
  </r>
  <r>
    <x v="152"/>
    <x v="2"/>
    <x v="3"/>
    <x v="2"/>
    <s v="Male"/>
    <n v="25"/>
    <n v="532"/>
    <n v="1358"/>
    <n v="13300"/>
    <n v="33950"/>
    <n v="20650"/>
  </r>
  <r>
    <x v="153"/>
    <x v="2"/>
    <x v="3"/>
    <x v="3"/>
    <s v="Female"/>
    <n v="29"/>
    <n v="813"/>
    <n v="1241"/>
    <n v="23577"/>
    <n v="35989"/>
    <n v="12412"/>
  </r>
  <r>
    <x v="154"/>
    <x v="2"/>
    <x v="3"/>
    <x v="3"/>
    <s v="Female"/>
    <n v="28"/>
    <n v="858"/>
    <n v="1127"/>
    <n v="24024"/>
    <n v="31556"/>
    <n v="7532"/>
  </r>
  <r>
    <x v="155"/>
    <x v="2"/>
    <x v="3"/>
    <x v="4"/>
    <s v="Female"/>
    <n v="24"/>
    <n v="641"/>
    <n v="1337"/>
    <n v="15384"/>
    <n v="32088"/>
    <n v="16704"/>
  </r>
  <r>
    <x v="157"/>
    <x v="2"/>
    <x v="4"/>
    <x v="15"/>
    <s v="Male"/>
    <n v="25"/>
    <n v="709"/>
    <n v="1386"/>
    <n v="17725"/>
    <n v="34650"/>
    <n v="16925"/>
  </r>
  <r>
    <x v="158"/>
    <x v="2"/>
    <x v="4"/>
    <x v="6"/>
    <s v="Male"/>
    <n v="25"/>
    <n v="802"/>
    <n v="1126"/>
    <n v="20050"/>
    <n v="28150"/>
    <n v="8100"/>
  </r>
  <r>
    <x v="159"/>
    <x v="2"/>
    <x v="4"/>
    <x v="8"/>
    <s v="Male"/>
    <n v="23"/>
    <n v="893"/>
    <n v="761"/>
    <n v="20539"/>
    <n v="17503"/>
    <n v="-3036"/>
  </r>
  <r>
    <x v="160"/>
    <x v="2"/>
    <x v="4"/>
    <x v="12"/>
    <s v="Male"/>
    <n v="29"/>
    <n v="852"/>
    <n v="1452"/>
    <n v="24708"/>
    <n v="42108"/>
    <n v="17400"/>
  </r>
  <r>
    <x v="71"/>
    <x v="1"/>
    <x v="5"/>
    <x v="1"/>
    <s v="Male"/>
    <n v="64"/>
    <n v="580"/>
    <n v="1164"/>
    <n v="37120"/>
    <n v="74496"/>
    <n v="37376"/>
  </r>
  <r>
    <x v="161"/>
    <x v="2"/>
    <x v="4"/>
    <x v="7"/>
    <s v="Female"/>
    <n v="23"/>
    <n v="747"/>
    <n v="1340"/>
    <n v="17181"/>
    <n v="30820"/>
    <n v="13639"/>
  </r>
  <r>
    <x v="162"/>
    <x v="2"/>
    <x v="4"/>
    <x v="8"/>
    <s v="Male"/>
    <n v="26"/>
    <n v="625"/>
    <n v="1298"/>
    <n v="16250"/>
    <n v="33748"/>
    <n v="17498"/>
  </r>
  <r>
    <x v="164"/>
    <x v="2"/>
    <x v="4"/>
    <x v="4"/>
    <s v="Male"/>
    <n v="23"/>
    <n v="706"/>
    <n v="988"/>
    <n v="16238"/>
    <n v="22724"/>
    <n v="6486"/>
  </r>
  <r>
    <x v="166"/>
    <x v="2"/>
    <x v="4"/>
    <x v="8"/>
    <s v="Male"/>
    <n v="28"/>
    <n v="858"/>
    <n v="1113"/>
    <n v="24024"/>
    <n v="31164"/>
    <n v="7140"/>
  </r>
  <r>
    <x v="72"/>
    <x v="1"/>
    <x v="7"/>
    <x v="5"/>
    <s v="Female"/>
    <n v="52"/>
    <n v="893"/>
    <n v="1055"/>
    <n v="46436"/>
    <n v="54860"/>
    <n v="8424"/>
  </r>
  <r>
    <x v="168"/>
    <x v="2"/>
    <x v="4"/>
    <x v="9"/>
    <s v="Male"/>
    <n v="24"/>
    <n v="736"/>
    <n v="1406"/>
    <n v="17664"/>
    <n v="33744"/>
    <n v="16080"/>
  </r>
  <r>
    <x v="169"/>
    <x v="2"/>
    <x v="4"/>
    <x v="4"/>
    <s v="Male"/>
    <n v="20"/>
    <n v="599"/>
    <n v="1023"/>
    <n v="11980"/>
    <n v="20460"/>
    <n v="8480"/>
  </r>
  <r>
    <x v="170"/>
    <x v="2"/>
    <x v="4"/>
    <x v="10"/>
    <s v="Female"/>
    <n v="22"/>
    <n v="524"/>
    <n v="1147"/>
    <n v="11528"/>
    <n v="25234"/>
    <n v="13706"/>
  </r>
  <r>
    <x v="171"/>
    <x v="2"/>
    <x v="4"/>
    <x v="11"/>
    <s v="Female"/>
    <n v="27"/>
    <n v="744"/>
    <n v="1253"/>
    <n v="20088"/>
    <n v="33831"/>
    <n v="13743"/>
  </r>
  <r>
    <x v="172"/>
    <x v="2"/>
    <x v="6"/>
    <x v="6"/>
    <s v="Female"/>
    <n v="27"/>
    <n v="826"/>
    <n v="917"/>
    <n v="22302"/>
    <n v="24759"/>
    <n v="2457"/>
  </r>
  <r>
    <x v="173"/>
    <x v="2"/>
    <x v="6"/>
    <x v="7"/>
    <s v="Female"/>
    <n v="27"/>
    <n v="573"/>
    <n v="1266"/>
    <n v="15471"/>
    <n v="34182"/>
    <n v="18711"/>
  </r>
  <r>
    <x v="175"/>
    <x v="2"/>
    <x v="6"/>
    <x v="13"/>
    <s v="Female"/>
    <n v="28"/>
    <n v="798"/>
    <n v="1131"/>
    <n v="22344"/>
    <n v="31668"/>
    <n v="9324"/>
  </r>
  <r>
    <x v="176"/>
    <x v="2"/>
    <x v="6"/>
    <x v="13"/>
    <s v="Female"/>
    <n v="25"/>
    <n v="982"/>
    <n v="1479"/>
    <n v="24550"/>
    <n v="36975"/>
    <n v="12425"/>
  </r>
  <r>
    <x v="73"/>
    <x v="0"/>
    <x v="2"/>
    <x v="6"/>
    <s v="Female"/>
    <n v="19"/>
    <n v="938"/>
    <n v="1348"/>
    <n v="17822"/>
    <n v="25612"/>
    <n v="7790"/>
  </r>
  <r>
    <x v="177"/>
    <x v="2"/>
    <x v="6"/>
    <x v="7"/>
    <s v="Male"/>
    <n v="29"/>
    <n v="841"/>
    <n v="854"/>
    <n v="24389"/>
    <n v="24766"/>
    <n v="377"/>
  </r>
  <r>
    <x v="178"/>
    <x v="2"/>
    <x v="6"/>
    <x v="5"/>
    <s v="Male"/>
    <n v="21"/>
    <n v="691"/>
    <n v="1142"/>
    <n v="14511"/>
    <n v="23982"/>
    <n v="9471"/>
  </r>
  <r>
    <x v="179"/>
    <x v="2"/>
    <x v="6"/>
    <x v="17"/>
    <s v="Male"/>
    <n v="24"/>
    <n v="526"/>
    <n v="808"/>
    <n v="12624"/>
    <n v="19392"/>
    <n v="6768"/>
  </r>
  <r>
    <x v="181"/>
    <x v="2"/>
    <x v="6"/>
    <x v="8"/>
    <s v="Female"/>
    <n v="29"/>
    <n v="932"/>
    <n v="1316"/>
    <n v="27028"/>
    <n v="38164"/>
    <n v="11136"/>
  </r>
  <r>
    <x v="74"/>
    <x v="0"/>
    <x v="2"/>
    <x v="7"/>
    <s v="Male"/>
    <n v="17"/>
    <n v="614"/>
    <n v="1273"/>
    <n v="10438"/>
    <n v="21641"/>
    <n v="11203"/>
  </r>
  <r>
    <x v="182"/>
    <x v="2"/>
    <x v="6"/>
    <x v="19"/>
    <s v="Male"/>
    <n v="22"/>
    <n v="603"/>
    <n v="794"/>
    <n v="13266"/>
    <n v="17468"/>
    <n v="4202"/>
  </r>
  <r>
    <x v="183"/>
    <x v="2"/>
    <x v="6"/>
    <x v="8"/>
    <s v="Female"/>
    <n v="30"/>
    <n v="946"/>
    <n v="1109"/>
    <n v="28380"/>
    <n v="33270"/>
    <n v="4890"/>
  </r>
  <r>
    <x v="184"/>
    <x v="2"/>
    <x v="6"/>
    <x v="18"/>
    <s v="Female"/>
    <n v="24"/>
    <n v="580"/>
    <n v="809"/>
    <n v="13920"/>
    <n v="19416"/>
    <n v="5496"/>
  </r>
  <r>
    <x v="185"/>
    <x v="2"/>
    <x v="6"/>
    <x v="19"/>
    <s v="Female"/>
    <n v="30"/>
    <n v="732"/>
    <n v="944"/>
    <n v="21960"/>
    <n v="28320"/>
    <n v="6360"/>
  </r>
  <r>
    <x v="187"/>
    <x v="2"/>
    <x v="6"/>
    <x v="0"/>
    <s v="Male"/>
    <n v="20"/>
    <n v="552"/>
    <n v="1261"/>
    <n v="11040"/>
    <n v="25220"/>
    <n v="14180"/>
  </r>
  <r>
    <x v="188"/>
    <x v="2"/>
    <x v="6"/>
    <x v="1"/>
    <s v="Male"/>
    <n v="21"/>
    <n v="876"/>
    <n v="1452"/>
    <n v="18396"/>
    <n v="30492"/>
    <n v="12096"/>
  </r>
  <r>
    <x v="189"/>
    <x v="2"/>
    <x v="6"/>
    <x v="2"/>
    <s v="Male"/>
    <n v="27"/>
    <n v="636"/>
    <n v="1284"/>
    <n v="17172"/>
    <n v="34668"/>
    <n v="17496"/>
  </r>
  <r>
    <x v="191"/>
    <x v="2"/>
    <x v="6"/>
    <x v="3"/>
    <s v="Male"/>
    <n v="21"/>
    <n v="974"/>
    <n v="1363"/>
    <n v="20454"/>
    <n v="28623"/>
    <n v="8169"/>
  </r>
  <r>
    <x v="75"/>
    <x v="0"/>
    <x v="0"/>
    <x v="7"/>
    <s v="Female"/>
    <n v="10"/>
    <n v="572"/>
    <n v="801"/>
    <n v="5720"/>
    <n v="8010"/>
    <n v="2290"/>
  </r>
  <r>
    <x v="192"/>
    <x v="2"/>
    <x v="6"/>
    <x v="3"/>
    <s v="Male"/>
    <n v="30"/>
    <n v="518"/>
    <n v="858"/>
    <n v="15540"/>
    <n v="25740"/>
    <n v="10200"/>
  </r>
  <r>
    <x v="76"/>
    <x v="0"/>
    <x v="0"/>
    <x v="13"/>
    <s v="Female"/>
    <n v="12"/>
    <n v="674"/>
    <n v="1265"/>
    <n v="8088"/>
    <n v="15180"/>
    <n v="7092"/>
  </r>
  <r>
    <x v="193"/>
    <x v="2"/>
    <x v="6"/>
    <x v="4"/>
    <s v="Female"/>
    <n v="21"/>
    <n v="531"/>
    <n v="955"/>
    <n v="11151"/>
    <n v="20055"/>
    <n v="8904"/>
  </r>
  <r>
    <x v="194"/>
    <x v="2"/>
    <x v="6"/>
    <x v="6"/>
    <s v="Female"/>
    <n v="26"/>
    <n v="842"/>
    <n v="1074"/>
    <n v="21892"/>
    <n v="27924"/>
    <n v="6032"/>
  </r>
  <r>
    <x v="198"/>
    <x v="1"/>
    <x v="1"/>
    <x v="15"/>
    <s v="Male"/>
    <n v="95"/>
    <n v="936"/>
    <n v="1350"/>
    <n v="88920"/>
    <n v="128250"/>
    <n v="39330"/>
  </r>
  <r>
    <x v="199"/>
    <x v="1"/>
    <x v="1"/>
    <x v="16"/>
    <s v="Male"/>
    <n v="84"/>
    <n v="784"/>
    <n v="965"/>
    <n v="65856"/>
    <n v="81060"/>
    <n v="15204"/>
  </r>
  <r>
    <x v="200"/>
    <x v="1"/>
    <x v="1"/>
    <x v="8"/>
    <s v="Male"/>
    <n v="51"/>
    <n v="847"/>
    <n v="972"/>
    <n v="43197"/>
    <n v="49572"/>
    <n v="6375"/>
  </r>
  <r>
    <x v="77"/>
    <x v="1"/>
    <x v="5"/>
    <x v="8"/>
    <s v="Female"/>
    <n v="52"/>
    <n v="546"/>
    <n v="1482"/>
    <n v="28392"/>
    <n v="77064"/>
    <n v="48672"/>
  </r>
  <r>
    <x v="201"/>
    <x v="1"/>
    <x v="9"/>
    <x v="8"/>
    <s v="Female"/>
    <n v="68"/>
    <n v="534"/>
    <n v="1085"/>
    <n v="36312"/>
    <n v="73780"/>
    <n v="37468"/>
  </r>
  <r>
    <x v="202"/>
    <x v="1"/>
    <x v="9"/>
    <x v="9"/>
    <s v="Female"/>
    <n v="68"/>
    <n v="575"/>
    <n v="1242"/>
    <n v="39100"/>
    <n v="84456"/>
    <n v="45356"/>
  </r>
  <r>
    <x v="203"/>
    <x v="1"/>
    <x v="9"/>
    <x v="4"/>
    <s v="Female"/>
    <n v="79"/>
    <n v="537"/>
    <n v="850"/>
    <n v="42423"/>
    <n v="67150"/>
    <n v="24727"/>
  </r>
  <r>
    <x v="204"/>
    <x v="1"/>
    <x v="9"/>
    <x v="10"/>
    <s v="Female"/>
    <n v="65"/>
    <n v="935"/>
    <n v="752"/>
    <n v="60775"/>
    <n v="48880"/>
    <n v="-11895"/>
  </r>
  <r>
    <x v="205"/>
    <x v="1"/>
    <x v="9"/>
    <x v="11"/>
    <s v="Female"/>
    <n v="66"/>
    <n v="709"/>
    <n v="1021"/>
    <n v="46794"/>
    <n v="67386"/>
    <n v="20592"/>
  </r>
  <r>
    <x v="206"/>
    <x v="1"/>
    <x v="9"/>
    <x v="6"/>
    <s v="Male"/>
    <n v="70"/>
    <n v="751"/>
    <n v="1485"/>
    <n v="52570"/>
    <n v="103950"/>
    <n v="51380"/>
  </r>
  <r>
    <x v="81"/>
    <x v="1"/>
    <x v="7"/>
    <x v="3"/>
    <s v="Male"/>
    <n v="86"/>
    <n v="717"/>
    <n v="1445"/>
    <n v="61662"/>
    <n v="124270"/>
    <n v="62608"/>
  </r>
  <r>
    <x v="207"/>
    <x v="1"/>
    <x v="9"/>
    <x v="7"/>
    <s v="Male"/>
    <n v="75"/>
    <n v="686"/>
    <n v="1254"/>
    <n v="51450"/>
    <n v="94050"/>
    <n v="42600"/>
  </r>
  <r>
    <x v="208"/>
    <x v="1"/>
    <x v="5"/>
    <x v="12"/>
    <s v="Male"/>
    <n v="91"/>
    <n v="518"/>
    <n v="1465"/>
    <n v="47138"/>
    <n v="133315"/>
    <n v="86177"/>
  </r>
  <r>
    <x v="209"/>
    <x v="1"/>
    <x v="5"/>
    <x v="7"/>
    <s v="Female"/>
    <n v="96"/>
    <n v="791"/>
    <n v="931"/>
    <n v="75936"/>
    <n v="89376"/>
    <n v="13440"/>
  </r>
  <r>
    <x v="210"/>
    <x v="1"/>
    <x v="5"/>
    <x v="7"/>
    <s v="Female"/>
    <n v="69"/>
    <n v="864"/>
    <n v="935"/>
    <n v="59616"/>
    <n v="64515"/>
    <n v="4899"/>
  </r>
  <r>
    <x v="86"/>
    <x v="0"/>
    <x v="2"/>
    <x v="11"/>
    <s v="Female"/>
    <n v="20"/>
    <n v="784"/>
    <n v="1320"/>
    <n v="15680"/>
    <n v="26400"/>
    <n v="10720"/>
  </r>
  <r>
    <x v="211"/>
    <x v="1"/>
    <x v="5"/>
    <x v="8"/>
    <s v="Female"/>
    <n v="55"/>
    <n v="782"/>
    <n v="1335"/>
    <n v="43010"/>
    <n v="73425"/>
    <n v="30415"/>
  </r>
  <r>
    <x v="212"/>
    <x v="1"/>
    <x v="5"/>
    <x v="4"/>
    <s v="Female"/>
    <n v="71"/>
    <n v="653"/>
    <n v="963"/>
    <n v="46363"/>
    <n v="68373"/>
    <n v="22010"/>
  </r>
  <r>
    <x v="89"/>
    <x v="0"/>
    <x v="2"/>
    <x v="7"/>
    <s v="Female"/>
    <n v="19"/>
    <n v="664"/>
    <n v="1091"/>
    <n v="12616"/>
    <n v="20729"/>
    <n v="8113"/>
  </r>
  <r>
    <x v="213"/>
    <x v="1"/>
    <x v="5"/>
    <x v="8"/>
    <s v="Female"/>
    <n v="88"/>
    <n v="959"/>
    <n v="985"/>
    <n v="84392"/>
    <n v="86680"/>
    <n v="2288"/>
  </r>
  <r>
    <x v="91"/>
    <x v="2"/>
    <x v="3"/>
    <x v="13"/>
    <s v="Female"/>
    <n v="26"/>
    <n v="674"/>
    <n v="857"/>
    <n v="17524"/>
    <n v="22282"/>
    <n v="4758"/>
  </r>
  <r>
    <x v="214"/>
    <x v="1"/>
    <x v="5"/>
    <x v="9"/>
    <s v="Female"/>
    <n v="72"/>
    <n v="805"/>
    <n v="826"/>
    <n v="57960"/>
    <n v="59472"/>
    <n v="1512"/>
  </r>
  <r>
    <x v="93"/>
    <x v="2"/>
    <x v="8"/>
    <x v="7"/>
    <s v="Male"/>
    <n v="29"/>
    <n v="774"/>
    <n v="793"/>
    <n v="22446"/>
    <n v="22997"/>
    <n v="551"/>
  </r>
  <r>
    <x v="215"/>
    <x v="1"/>
    <x v="5"/>
    <x v="4"/>
    <s v="Female"/>
    <n v="53"/>
    <n v="665"/>
    <n v="1206"/>
    <n v="35245"/>
    <n v="63918"/>
    <n v="28673"/>
  </r>
  <r>
    <x v="216"/>
    <x v="1"/>
    <x v="5"/>
    <x v="10"/>
    <s v="Male"/>
    <n v="88"/>
    <n v="607"/>
    <n v="1268"/>
    <n v="53416"/>
    <n v="111584"/>
    <n v="58168"/>
  </r>
  <r>
    <x v="217"/>
    <x v="1"/>
    <x v="5"/>
    <x v="6"/>
    <s v="Male"/>
    <n v="99"/>
    <n v="657"/>
    <n v="1033"/>
    <n v="65043"/>
    <n v="102267"/>
    <n v="37224"/>
  </r>
  <r>
    <x v="218"/>
    <x v="1"/>
    <x v="7"/>
    <x v="7"/>
    <s v="Male"/>
    <n v="88"/>
    <n v="977"/>
    <n v="1402"/>
    <n v="85976"/>
    <n v="123376"/>
    <n v="37400"/>
  </r>
  <r>
    <x v="219"/>
    <x v="1"/>
    <x v="7"/>
    <x v="7"/>
    <s v="Female"/>
    <n v="81"/>
    <n v="528"/>
    <n v="872"/>
    <n v="42768"/>
    <n v="70632"/>
    <n v="27864"/>
  </r>
  <r>
    <x v="220"/>
    <x v="1"/>
    <x v="7"/>
    <x v="13"/>
    <s v="Male"/>
    <n v="74"/>
    <n v="870"/>
    <n v="1490"/>
    <n v="64380"/>
    <n v="110260"/>
    <n v="45880"/>
  </r>
  <r>
    <x v="221"/>
    <x v="1"/>
    <x v="7"/>
    <x v="13"/>
    <s v="Male"/>
    <n v="83"/>
    <n v="655"/>
    <n v="1422"/>
    <n v="54365"/>
    <n v="118026"/>
    <n v="63661"/>
  </r>
  <r>
    <x v="222"/>
    <x v="1"/>
    <x v="7"/>
    <x v="12"/>
    <s v="Male"/>
    <n v="99"/>
    <n v="649"/>
    <n v="1415"/>
    <n v="64251"/>
    <n v="140085"/>
    <n v="75834"/>
  </r>
  <r>
    <x v="223"/>
    <x v="1"/>
    <x v="7"/>
    <x v="7"/>
    <s v="Male"/>
    <n v="97"/>
    <n v="917"/>
    <n v="844"/>
    <n v="88949"/>
    <n v="81868"/>
    <n v="-7081"/>
  </r>
  <r>
    <x v="224"/>
    <x v="1"/>
    <x v="7"/>
    <x v="5"/>
    <s v="Female"/>
    <n v="57"/>
    <n v="793"/>
    <n v="761"/>
    <n v="45201"/>
    <n v="43377"/>
    <n v="-1824"/>
  </r>
  <r>
    <x v="225"/>
    <x v="1"/>
    <x v="7"/>
    <x v="17"/>
    <s v="Female"/>
    <n v="84"/>
    <n v="931"/>
    <n v="1475"/>
    <n v="78204"/>
    <n v="123900"/>
    <n v="45696"/>
  </r>
  <r>
    <x v="105"/>
    <x v="1"/>
    <x v="9"/>
    <x v="5"/>
    <s v="Female"/>
    <n v="74"/>
    <n v="714"/>
    <n v="1148"/>
    <n v="52836"/>
    <n v="84952"/>
    <n v="32116"/>
  </r>
  <r>
    <x v="226"/>
    <x v="1"/>
    <x v="7"/>
    <x v="8"/>
    <s v="Female"/>
    <n v="76"/>
    <n v="901"/>
    <n v="1471"/>
    <n v="68476"/>
    <n v="111796"/>
    <n v="43320"/>
  </r>
  <r>
    <x v="227"/>
    <x v="1"/>
    <x v="7"/>
    <x v="18"/>
    <s v="Female"/>
    <n v="93"/>
    <n v="658"/>
    <n v="1303"/>
    <n v="61194"/>
    <n v="121179"/>
    <n v="59985"/>
  </r>
  <r>
    <x v="108"/>
    <x v="1"/>
    <x v="9"/>
    <x v="14"/>
    <s v="Female"/>
    <n v="73"/>
    <n v="957"/>
    <n v="814"/>
    <n v="69861"/>
    <n v="59422"/>
    <n v="-10439"/>
  </r>
  <r>
    <x v="228"/>
    <x v="1"/>
    <x v="7"/>
    <x v="19"/>
    <s v="Female"/>
    <n v="68"/>
    <n v="651"/>
    <n v="1061"/>
    <n v="44268"/>
    <n v="72148"/>
    <n v="27880"/>
  </r>
  <r>
    <x v="229"/>
    <x v="1"/>
    <x v="5"/>
    <x v="3"/>
    <s v="Male"/>
    <n v="98"/>
    <n v="596"/>
    <n v="1155"/>
    <n v="58408"/>
    <n v="113190"/>
    <n v="54782"/>
  </r>
  <r>
    <x v="230"/>
    <x v="1"/>
    <x v="5"/>
    <x v="15"/>
    <s v="Male"/>
    <n v="84"/>
    <n v="911"/>
    <n v="1370"/>
    <n v="76524"/>
    <n v="115080"/>
    <n v="38556"/>
  </r>
  <r>
    <x v="231"/>
    <x v="1"/>
    <x v="5"/>
    <x v="14"/>
    <s v="Male"/>
    <n v="81"/>
    <n v="702"/>
    <n v="1494"/>
    <n v="56862"/>
    <n v="121014"/>
    <n v="64152"/>
  </r>
  <r>
    <x v="113"/>
    <x v="2"/>
    <x v="4"/>
    <x v="16"/>
    <s v="Male"/>
    <n v="24"/>
    <n v="553"/>
    <n v="964"/>
    <n v="13272"/>
    <n v="23136"/>
    <n v="9864"/>
  </r>
  <r>
    <x v="232"/>
    <x v="1"/>
    <x v="5"/>
    <x v="3"/>
    <s v="Female"/>
    <n v="58"/>
    <n v="510"/>
    <n v="1456"/>
    <n v="29580"/>
    <n v="84448"/>
    <n v="54868"/>
  </r>
  <r>
    <x v="233"/>
    <x v="1"/>
    <x v="7"/>
    <x v="13"/>
    <s v="Female"/>
    <n v="59"/>
    <n v="506"/>
    <n v="1498"/>
    <n v="29854"/>
    <n v="88382"/>
    <n v="58528"/>
  </r>
  <r>
    <x v="234"/>
    <x v="1"/>
    <x v="7"/>
    <x v="15"/>
    <s v="Male"/>
    <n v="51"/>
    <n v="868"/>
    <n v="938"/>
    <n v="44268"/>
    <n v="47838"/>
    <n v="3570"/>
  </r>
  <r>
    <x v="117"/>
    <x v="2"/>
    <x v="4"/>
    <x v="6"/>
    <s v="Female"/>
    <n v="22"/>
    <n v="688"/>
    <n v="985"/>
    <n v="15136"/>
    <n v="21670"/>
    <n v="6534"/>
  </r>
  <r>
    <x v="235"/>
    <x v="1"/>
    <x v="7"/>
    <x v="16"/>
    <s v="Male"/>
    <n v="76"/>
    <n v="602"/>
    <n v="1356"/>
    <n v="45752"/>
    <n v="103056"/>
    <n v="57304"/>
  </r>
  <r>
    <x v="119"/>
    <x v="2"/>
    <x v="4"/>
    <x v="7"/>
    <s v="Female"/>
    <n v="27"/>
    <n v="933"/>
    <n v="983"/>
    <n v="25191"/>
    <n v="26541"/>
    <n v="1350"/>
  </r>
  <r>
    <x v="236"/>
    <x v="1"/>
    <x v="7"/>
    <x v="6"/>
    <s v="Male"/>
    <n v="55"/>
    <n v="928"/>
    <n v="1264"/>
    <n v="51040"/>
    <n v="69520"/>
    <n v="18480"/>
  </r>
  <r>
    <x v="237"/>
    <x v="1"/>
    <x v="7"/>
    <x v="8"/>
    <s v="Male"/>
    <n v="74"/>
    <n v="758"/>
    <n v="765"/>
    <n v="56092"/>
    <n v="56610"/>
    <n v="518"/>
  </r>
  <r>
    <x v="238"/>
    <x v="1"/>
    <x v="7"/>
    <x v="12"/>
    <s v="Male"/>
    <n v="88"/>
    <n v="566"/>
    <n v="1093"/>
    <n v="49808"/>
    <n v="96184"/>
    <n v="46376"/>
  </r>
  <r>
    <x v="239"/>
    <x v="1"/>
    <x v="5"/>
    <x v="1"/>
    <s v="Female"/>
    <n v="58"/>
    <n v="898"/>
    <n v="1068"/>
    <n v="52084"/>
    <n v="61944"/>
    <n v="9860"/>
  </r>
  <r>
    <x v="240"/>
    <x v="1"/>
    <x v="5"/>
    <x v="2"/>
    <s v="Female"/>
    <n v="83"/>
    <n v="943"/>
    <n v="867"/>
    <n v="78269"/>
    <n v="71961"/>
    <n v="-6308"/>
  </r>
  <r>
    <x v="241"/>
    <x v="1"/>
    <x v="5"/>
    <x v="3"/>
    <s v="Female"/>
    <n v="85"/>
    <n v="641"/>
    <n v="892"/>
    <n v="54485"/>
    <n v="75820"/>
    <n v="21335"/>
  </r>
  <r>
    <x v="242"/>
    <x v="1"/>
    <x v="5"/>
    <x v="3"/>
    <s v="Female"/>
    <n v="57"/>
    <n v="784"/>
    <n v="859"/>
    <n v="44688"/>
    <n v="48963"/>
    <n v="4275"/>
  </r>
  <r>
    <x v="243"/>
    <x v="1"/>
    <x v="5"/>
    <x v="4"/>
    <s v="Female"/>
    <n v="98"/>
    <n v="579"/>
    <n v="1046"/>
    <n v="56742"/>
    <n v="102508"/>
    <n v="45766"/>
  </r>
  <r>
    <x v="244"/>
    <x v="1"/>
    <x v="5"/>
    <x v="5"/>
    <s v="Female"/>
    <n v="98"/>
    <n v="605"/>
    <n v="1155"/>
    <n v="59290"/>
    <n v="113190"/>
    <n v="53900"/>
  </r>
  <r>
    <x v="129"/>
    <x v="2"/>
    <x v="6"/>
    <x v="7"/>
    <s v="Female"/>
    <n v="20"/>
    <n v="989"/>
    <n v="1298"/>
    <n v="19780"/>
    <n v="25960"/>
    <n v="6180"/>
  </r>
  <r>
    <x v="245"/>
    <x v="1"/>
    <x v="5"/>
    <x v="3"/>
    <s v="Female"/>
    <n v="63"/>
    <n v="952"/>
    <n v="824"/>
    <n v="59976"/>
    <n v="51912"/>
    <n v="-8064"/>
  </r>
  <r>
    <x v="246"/>
    <x v="1"/>
    <x v="5"/>
    <x v="15"/>
    <s v="Female"/>
    <n v="91"/>
    <n v="938"/>
    <n v="1156"/>
    <n v="85358"/>
    <n v="105196"/>
    <n v="19838"/>
  </r>
  <r>
    <x v="132"/>
    <x v="2"/>
    <x v="6"/>
    <x v="12"/>
    <s v="Male"/>
    <n v="26"/>
    <n v="870"/>
    <n v="1123"/>
    <n v="22620"/>
    <n v="29198"/>
    <n v="6578"/>
  </r>
  <r>
    <x v="247"/>
    <x v="1"/>
    <x v="5"/>
    <x v="14"/>
    <s v="Male"/>
    <n v="66"/>
    <n v="512"/>
    <n v="1208"/>
    <n v="33792"/>
    <n v="79728"/>
    <n v="45936"/>
  </r>
  <r>
    <x v="248"/>
    <x v="1"/>
    <x v="5"/>
    <x v="8"/>
    <s v="Male"/>
    <n v="88"/>
    <n v="691"/>
    <n v="1394"/>
    <n v="60808"/>
    <n v="122672"/>
    <n v="61864"/>
  </r>
  <r>
    <x v="249"/>
    <x v="1"/>
    <x v="5"/>
    <x v="3"/>
    <s v="Male"/>
    <n v="54"/>
    <n v="518"/>
    <n v="1106"/>
    <n v="27972"/>
    <n v="59724"/>
    <n v="31752"/>
  </r>
  <r>
    <x v="250"/>
    <x v="1"/>
    <x v="5"/>
    <x v="13"/>
    <s v="Male"/>
    <n v="67"/>
    <n v="780"/>
    <n v="864"/>
    <n v="52260"/>
    <n v="57888"/>
    <n v="5628"/>
  </r>
  <r>
    <x v="137"/>
    <x v="2"/>
    <x v="6"/>
    <x v="18"/>
    <s v="Male"/>
    <n v="23"/>
    <n v="945"/>
    <n v="1268"/>
    <n v="21735"/>
    <n v="29164"/>
    <n v="7429"/>
  </r>
  <r>
    <x v="251"/>
    <x v="1"/>
    <x v="7"/>
    <x v="16"/>
    <s v="Female"/>
    <n v="85"/>
    <n v="853"/>
    <n v="1453"/>
    <n v="72505"/>
    <n v="123505"/>
    <n v="51000"/>
  </r>
  <r>
    <x v="252"/>
    <x v="1"/>
    <x v="7"/>
    <x v="6"/>
    <s v="Female"/>
    <n v="69"/>
    <n v="745"/>
    <n v="1075"/>
    <n v="51405"/>
    <n v="74175"/>
    <n v="22770"/>
  </r>
  <r>
    <x v="140"/>
    <x v="1"/>
    <x v="5"/>
    <x v="1"/>
    <s v="Male"/>
    <n v="78"/>
    <n v="522"/>
    <n v="1064"/>
    <n v="40716"/>
    <n v="82992"/>
    <n v="42276"/>
  </r>
  <r>
    <x v="253"/>
    <x v="1"/>
    <x v="5"/>
    <x v="7"/>
    <s v="Female"/>
    <n v="63"/>
    <n v="525"/>
    <n v="1182"/>
    <n v="33075"/>
    <n v="74466"/>
    <n v="41391"/>
  </r>
  <r>
    <x v="254"/>
    <x v="1"/>
    <x v="5"/>
    <x v="5"/>
    <s v="Female"/>
    <n v="73"/>
    <n v="709"/>
    <n v="1344"/>
    <n v="51757"/>
    <n v="98112"/>
    <n v="46355"/>
  </r>
  <r>
    <x v="255"/>
    <x v="1"/>
    <x v="5"/>
    <x v="17"/>
    <s v="Female"/>
    <n v="74"/>
    <n v="914"/>
    <n v="1031"/>
    <n v="67636"/>
    <n v="76294"/>
    <n v="8658"/>
  </r>
  <r>
    <x v="256"/>
    <x v="1"/>
    <x v="5"/>
    <x v="8"/>
    <s v="Female"/>
    <n v="84"/>
    <n v="558"/>
    <n v="1477"/>
    <n v="46872"/>
    <n v="124068"/>
    <n v="77196"/>
  </r>
  <r>
    <x v="145"/>
    <x v="1"/>
    <x v="5"/>
    <x v="7"/>
    <s v="Female"/>
    <n v="60"/>
    <n v="642"/>
    <n v="1110"/>
    <n v="38520"/>
    <n v="66600"/>
    <n v="28080"/>
  </r>
  <r>
    <x v="257"/>
    <x v="1"/>
    <x v="5"/>
    <x v="18"/>
    <s v="Female"/>
    <n v="99"/>
    <n v="934"/>
    <n v="1318"/>
    <n v="92466"/>
    <n v="130482"/>
    <n v="38016"/>
  </r>
  <r>
    <x v="258"/>
    <x v="1"/>
    <x v="5"/>
    <x v="19"/>
    <s v="Female"/>
    <n v="52"/>
    <n v="576"/>
    <n v="1419"/>
    <n v="29952"/>
    <n v="73788"/>
    <n v="43836"/>
  </r>
  <r>
    <x v="259"/>
    <x v="1"/>
    <x v="5"/>
    <x v="0"/>
    <s v="Male"/>
    <n v="98"/>
    <n v="769"/>
    <n v="1277"/>
    <n v="75362"/>
    <n v="125146"/>
    <n v="49784"/>
  </r>
  <r>
    <x v="149"/>
    <x v="1"/>
    <x v="5"/>
    <x v="7"/>
    <s v="Female"/>
    <n v="86"/>
    <n v="668"/>
    <n v="1278"/>
    <n v="57448"/>
    <n v="109908"/>
    <n v="52460"/>
  </r>
  <r>
    <x v="260"/>
    <x v="1"/>
    <x v="5"/>
    <x v="2"/>
    <s v="Male"/>
    <n v="73"/>
    <n v="627"/>
    <n v="769"/>
    <n v="45771"/>
    <n v="56137"/>
    <n v="10366"/>
  </r>
  <r>
    <x v="151"/>
    <x v="1"/>
    <x v="7"/>
    <x v="17"/>
    <s v="Female"/>
    <n v="57"/>
    <n v="995"/>
    <n v="912"/>
    <n v="56715"/>
    <n v="51984"/>
    <n v="-4731"/>
  </r>
  <r>
    <x v="261"/>
    <x v="1"/>
    <x v="7"/>
    <x v="3"/>
    <s v="Male"/>
    <n v="93"/>
    <n v="847"/>
    <n v="1258"/>
    <n v="78771"/>
    <n v="116994"/>
    <n v="38223"/>
  </r>
  <r>
    <x v="262"/>
    <x v="1"/>
    <x v="7"/>
    <x v="3"/>
    <s v="Male"/>
    <n v="84"/>
    <n v="522"/>
    <n v="929"/>
    <n v="43848"/>
    <n v="78036"/>
    <n v="34188"/>
  </r>
  <r>
    <x v="263"/>
    <x v="1"/>
    <x v="7"/>
    <x v="4"/>
    <s v="Female"/>
    <n v="85"/>
    <n v="564"/>
    <n v="1049"/>
    <n v="47940"/>
    <n v="89165"/>
    <n v="41225"/>
  </r>
  <r>
    <x v="264"/>
    <x v="1"/>
    <x v="7"/>
    <x v="3"/>
    <s v="Female"/>
    <n v="93"/>
    <n v="579"/>
    <n v="1402"/>
    <n v="53847"/>
    <n v="130386"/>
    <n v="76539"/>
  </r>
  <r>
    <x v="156"/>
    <x v="1"/>
    <x v="7"/>
    <x v="1"/>
    <s v="Male"/>
    <n v="93"/>
    <n v="886"/>
    <n v="1199"/>
    <n v="82398"/>
    <n v="111507"/>
    <n v="29109"/>
  </r>
  <r>
    <x v="265"/>
    <x v="1"/>
    <x v="7"/>
    <x v="15"/>
    <s v="Male"/>
    <n v="56"/>
    <n v="724"/>
    <n v="1391"/>
    <n v="40544"/>
    <n v="77896"/>
    <n v="37352"/>
  </r>
  <r>
    <x v="266"/>
    <x v="1"/>
    <x v="7"/>
    <x v="8"/>
    <s v="Male"/>
    <n v="60"/>
    <n v="783"/>
    <n v="881"/>
    <n v="46980"/>
    <n v="52860"/>
    <n v="5880"/>
  </r>
  <r>
    <x v="267"/>
    <x v="1"/>
    <x v="7"/>
    <x v="4"/>
    <s v="Male"/>
    <n v="81"/>
    <n v="948"/>
    <n v="904"/>
    <n v="76788"/>
    <n v="73224"/>
    <n v="-3564"/>
  </r>
  <r>
    <x v="268"/>
    <x v="1"/>
    <x v="7"/>
    <x v="8"/>
    <s v="Male"/>
    <n v="80"/>
    <n v="771"/>
    <n v="1090"/>
    <n v="61680"/>
    <n v="87200"/>
    <n v="25520"/>
  </r>
  <r>
    <x v="269"/>
    <x v="1"/>
    <x v="7"/>
    <x v="9"/>
    <s v="Female"/>
    <n v="88"/>
    <n v="943"/>
    <n v="1082"/>
    <n v="82984"/>
    <n v="95216"/>
    <n v="12232"/>
  </r>
  <r>
    <x v="270"/>
    <x v="1"/>
    <x v="7"/>
    <x v="4"/>
    <s v="Male"/>
    <n v="68"/>
    <n v="909"/>
    <n v="1329"/>
    <n v="61812"/>
    <n v="90372"/>
    <n v="28560"/>
  </r>
  <r>
    <x v="163"/>
    <x v="0"/>
    <x v="0"/>
    <x v="15"/>
    <s v="Female"/>
    <n v="11"/>
    <n v="676"/>
    <n v="1050"/>
    <n v="7436"/>
    <n v="11550"/>
    <n v="4114"/>
  </r>
  <r>
    <x v="271"/>
    <x v="1"/>
    <x v="7"/>
    <x v="10"/>
    <s v="Male"/>
    <n v="65"/>
    <n v="568"/>
    <n v="1482"/>
    <n v="36920"/>
    <n v="96330"/>
    <n v="59410"/>
  </r>
  <r>
    <x v="165"/>
    <x v="0"/>
    <x v="0"/>
    <x v="8"/>
    <s v="Female"/>
    <n v="13"/>
    <n v="521"/>
    <n v="1433"/>
    <n v="6773"/>
    <n v="18629"/>
    <n v="11856"/>
  </r>
  <r>
    <x v="272"/>
    <x v="1"/>
    <x v="7"/>
    <x v="11"/>
    <s v="Male"/>
    <n v="58"/>
    <n v="758"/>
    <n v="1241"/>
    <n v="43964"/>
    <n v="71978"/>
    <n v="28014"/>
  </r>
  <r>
    <x v="167"/>
    <x v="0"/>
    <x v="0"/>
    <x v="2"/>
    <s v="Female"/>
    <n v="16"/>
    <n v="887"/>
    <n v="1059"/>
    <n v="14192"/>
    <n v="16944"/>
    <n v="2752"/>
  </r>
  <r>
    <x v="273"/>
    <x v="1"/>
    <x v="5"/>
    <x v="5"/>
    <s v="Female"/>
    <n v="61"/>
    <n v="604"/>
    <n v="1251"/>
    <n v="36844"/>
    <n v="76311"/>
    <n v="39467"/>
  </r>
  <r>
    <x v="274"/>
    <x v="1"/>
    <x v="5"/>
    <x v="17"/>
    <s v="Female"/>
    <n v="62"/>
    <n v="641"/>
    <n v="869"/>
    <n v="39742"/>
    <n v="53878"/>
    <n v="14136"/>
  </r>
  <r>
    <x v="275"/>
    <x v="1"/>
    <x v="5"/>
    <x v="18"/>
    <s v="Female"/>
    <n v="53"/>
    <n v="913"/>
    <n v="1369"/>
    <n v="48389"/>
    <n v="72557"/>
    <n v="24168"/>
  </r>
  <r>
    <x v="276"/>
    <x v="1"/>
    <x v="5"/>
    <x v="19"/>
    <s v="Female"/>
    <n v="56"/>
    <n v="840"/>
    <n v="1353"/>
    <n v="47040"/>
    <n v="75768"/>
    <n v="28728"/>
  </r>
  <r>
    <x v="277"/>
    <x v="1"/>
    <x v="7"/>
    <x v="0"/>
    <s v="Female"/>
    <n v="85"/>
    <n v="541"/>
    <n v="1331"/>
    <n v="45985"/>
    <n v="113135"/>
    <n v="67150"/>
  </r>
  <r>
    <x v="278"/>
    <x v="1"/>
    <x v="7"/>
    <x v="1"/>
    <s v="Female"/>
    <n v="56"/>
    <n v="611"/>
    <n v="1240"/>
    <n v="34216"/>
    <n v="69440"/>
    <n v="35224"/>
  </r>
  <r>
    <x v="174"/>
    <x v="1"/>
    <x v="7"/>
    <x v="12"/>
    <s v="Male"/>
    <n v="90"/>
    <n v="554"/>
    <n v="940"/>
    <n v="49860"/>
    <n v="84600"/>
    <n v="34740"/>
  </r>
  <r>
    <x v="279"/>
    <x v="1"/>
    <x v="7"/>
    <x v="2"/>
    <s v="Female"/>
    <n v="91"/>
    <n v="867"/>
    <n v="957"/>
    <n v="78897"/>
    <n v="87087"/>
    <n v="8190"/>
  </r>
  <r>
    <x v="280"/>
    <x v="1"/>
    <x v="7"/>
    <x v="3"/>
    <s v="Female"/>
    <n v="95"/>
    <n v="508"/>
    <n v="783"/>
    <n v="48260"/>
    <n v="74385"/>
    <n v="26125"/>
  </r>
  <r>
    <x v="281"/>
    <x v="1"/>
    <x v="7"/>
    <x v="4"/>
    <s v="Male"/>
    <n v="75"/>
    <n v="549"/>
    <n v="1108"/>
    <n v="41175"/>
    <n v="83100"/>
    <n v="41925"/>
  </r>
  <r>
    <x v="282"/>
    <x v="1"/>
    <x v="1"/>
    <x v="17"/>
    <s v="Male"/>
    <n v="95"/>
    <n v="845"/>
    <n v="1102"/>
    <n v="80275"/>
    <n v="104690"/>
    <n v="24415"/>
  </r>
  <r>
    <x v="283"/>
    <x v="1"/>
    <x v="1"/>
    <x v="8"/>
    <s v="Male"/>
    <n v="86"/>
    <n v="949"/>
    <n v="924"/>
    <n v="81614"/>
    <n v="79464"/>
    <n v="-2150"/>
  </r>
  <r>
    <x v="180"/>
    <x v="0"/>
    <x v="2"/>
    <x v="19"/>
    <s v="Female"/>
    <n v="11"/>
    <n v="587"/>
    <n v="1386"/>
    <n v="6457"/>
    <n v="15246"/>
    <n v="8789"/>
  </r>
  <r>
    <x v="284"/>
    <x v="1"/>
    <x v="1"/>
    <x v="18"/>
    <s v="Female"/>
    <n v="73"/>
    <n v="801"/>
    <n v="1092"/>
    <n v="58473"/>
    <n v="79716"/>
    <n v="21243"/>
  </r>
  <r>
    <x v="285"/>
    <x v="1"/>
    <x v="1"/>
    <x v="19"/>
    <s v="Male"/>
    <n v="70"/>
    <n v="699"/>
    <n v="1090"/>
    <n v="48930"/>
    <n v="76300"/>
    <n v="27370"/>
  </r>
  <r>
    <x v="286"/>
    <x v="1"/>
    <x v="9"/>
    <x v="3"/>
    <s v="Female"/>
    <n v="67"/>
    <n v="674"/>
    <n v="1413"/>
    <n v="45158"/>
    <n v="94671"/>
    <n v="49513"/>
  </r>
  <r>
    <x v="287"/>
    <x v="1"/>
    <x v="9"/>
    <x v="15"/>
    <s v="Female"/>
    <n v="55"/>
    <n v="599"/>
    <n v="1482"/>
    <n v="32945"/>
    <n v="81510"/>
    <n v="48565"/>
  </r>
  <r>
    <x v="288"/>
    <x v="1"/>
    <x v="9"/>
    <x v="8"/>
    <s v="Female"/>
    <n v="90"/>
    <n v="962"/>
    <n v="1495"/>
    <n v="86580"/>
    <n v="134550"/>
    <n v="47970"/>
  </r>
  <r>
    <x v="186"/>
    <x v="0"/>
    <x v="2"/>
    <x v="4"/>
    <s v="Female"/>
    <n v="18"/>
    <n v="910"/>
    <n v="1065"/>
    <n v="16380"/>
    <n v="19170"/>
    <n v="2790"/>
  </r>
  <r>
    <x v="289"/>
    <x v="1"/>
    <x v="9"/>
    <x v="3"/>
    <s v="Female"/>
    <n v="71"/>
    <n v="739"/>
    <n v="1353"/>
    <n v="52469"/>
    <n v="96063"/>
    <n v="43594"/>
  </r>
  <r>
    <x v="290"/>
    <x v="1"/>
    <x v="9"/>
    <x v="13"/>
    <s v="Female"/>
    <n v="63"/>
    <n v="691"/>
    <n v="1058"/>
    <n v="43533"/>
    <n v="66654"/>
    <n v="23121"/>
  </r>
  <r>
    <x v="291"/>
    <x v="1"/>
    <x v="5"/>
    <x v="0"/>
    <s v="Male"/>
    <n v="99"/>
    <n v="705"/>
    <n v="1356"/>
    <n v="69795"/>
    <n v="134244"/>
    <n v="64449"/>
  </r>
  <r>
    <x v="190"/>
    <x v="0"/>
    <x v="2"/>
    <x v="5"/>
    <s v="Male"/>
    <n v="11"/>
    <n v="543"/>
    <n v="1153"/>
    <n v="5973"/>
    <n v="12683"/>
    <n v="6710"/>
  </r>
  <r>
    <x v="292"/>
    <x v="1"/>
    <x v="5"/>
    <x v="2"/>
    <s v="Female"/>
    <n v="74"/>
    <n v="922"/>
    <n v="970"/>
    <n v="68228"/>
    <n v="71780"/>
    <n v="3552"/>
  </r>
  <r>
    <x v="293"/>
    <x v="1"/>
    <x v="5"/>
    <x v="3"/>
    <s v="Female"/>
    <n v="72"/>
    <n v="560"/>
    <n v="918"/>
    <n v="40320"/>
    <n v="66096"/>
    <n v="25776"/>
  </r>
  <r>
    <x v="294"/>
    <x v="1"/>
    <x v="5"/>
    <x v="6"/>
    <s v="Female"/>
    <n v="59"/>
    <n v="834"/>
    <n v="951"/>
    <n v="49206"/>
    <n v="56109"/>
    <n v="6903"/>
  </r>
  <r>
    <x v="295"/>
    <x v="1"/>
    <x v="5"/>
    <x v="7"/>
    <s v="Female"/>
    <n v="83"/>
    <n v="840"/>
    <n v="828"/>
    <n v="69720"/>
    <n v="68724"/>
    <n v="-996"/>
  </r>
  <r>
    <x v="296"/>
    <x v="1"/>
    <x v="5"/>
    <x v="13"/>
    <s v="Female"/>
    <n v="64"/>
    <n v="965"/>
    <n v="1357"/>
    <n v="61760"/>
    <n v="86848"/>
    <n v="25088"/>
  </r>
  <r>
    <x v="297"/>
    <x v="1"/>
    <x v="5"/>
    <x v="13"/>
    <s v="Female"/>
    <n v="59"/>
    <n v="671"/>
    <n v="1410"/>
    <n v="39589"/>
    <n v="83190"/>
    <n v="43601"/>
  </r>
  <r>
    <x v="298"/>
    <x v="1"/>
    <x v="5"/>
    <x v="12"/>
    <s v="Female"/>
    <n v="85"/>
    <n v="761"/>
    <n v="926"/>
    <n v="64685"/>
    <n v="78710"/>
    <n v="14025"/>
  </r>
  <r>
    <x v="299"/>
    <x v="1"/>
    <x v="5"/>
    <x v="5"/>
    <s v="Female"/>
    <n v="81"/>
    <n v="522"/>
    <n v="1238"/>
    <n v="42282"/>
    <n v="100278"/>
    <n v="57996"/>
  </r>
  <r>
    <x v="300"/>
    <x v="1"/>
    <x v="7"/>
    <x v="8"/>
    <s v="Female"/>
    <n v="72"/>
    <n v="943"/>
    <n v="1233"/>
    <n v="67896"/>
    <n v="88776"/>
    <n v="20880"/>
  </r>
  <r>
    <x v="301"/>
    <x v="1"/>
    <x v="7"/>
    <x v="18"/>
    <s v="Female"/>
    <n v="67"/>
    <n v="801"/>
    <n v="1220"/>
    <n v="53667"/>
    <n v="81740"/>
    <n v="28073"/>
  </r>
  <r>
    <x v="195"/>
    <x v="2"/>
    <x v="6"/>
    <x v="5"/>
    <s v="Female"/>
    <n v="29"/>
    <n v="725"/>
    <n v="792"/>
    <n v="21025"/>
    <n v="22968"/>
    <n v="1943"/>
  </r>
  <r>
    <x v="302"/>
    <x v="1"/>
    <x v="7"/>
    <x v="19"/>
    <s v="Female"/>
    <n v="57"/>
    <n v="647"/>
    <n v="905"/>
    <n v="36879"/>
    <n v="51585"/>
    <n v="14706"/>
  </r>
  <r>
    <x v="303"/>
    <x v="1"/>
    <x v="7"/>
    <x v="0"/>
    <s v="Female"/>
    <n v="91"/>
    <n v="906"/>
    <n v="925"/>
    <n v="82446"/>
    <n v="84175"/>
    <n v="1729"/>
  </r>
  <r>
    <x v="304"/>
    <x v="1"/>
    <x v="7"/>
    <x v="2"/>
    <s v="Male"/>
    <n v="82"/>
    <n v="955"/>
    <n v="1218"/>
    <n v="78310"/>
    <n v="99876"/>
    <n v="21566"/>
  </r>
  <r>
    <x v="196"/>
    <x v="1"/>
    <x v="5"/>
    <x v="13"/>
    <s v="Female"/>
    <n v="59"/>
    <n v="725"/>
    <n v="1113"/>
    <n v="42775"/>
    <n v="65667"/>
    <n v="22892"/>
  </r>
  <r>
    <x v="305"/>
    <x v="1"/>
    <x v="7"/>
    <x v="3"/>
    <s v="Male"/>
    <n v="72"/>
    <n v="829"/>
    <n v="1165"/>
    <n v="59688"/>
    <n v="83880"/>
    <n v="24192"/>
  </r>
  <r>
    <x v="306"/>
    <x v="1"/>
    <x v="7"/>
    <x v="3"/>
    <s v="Male"/>
    <n v="62"/>
    <n v="680"/>
    <n v="912"/>
    <n v="42160"/>
    <n v="56544"/>
    <n v="14384"/>
  </r>
  <r>
    <x v="307"/>
    <x v="1"/>
    <x v="7"/>
    <x v="4"/>
    <s v="Male"/>
    <n v="67"/>
    <n v="600"/>
    <n v="1328"/>
    <n v="40200"/>
    <n v="88976"/>
    <n v="48776"/>
  </r>
  <r>
    <x v="308"/>
    <x v="1"/>
    <x v="7"/>
    <x v="5"/>
    <s v="Female"/>
    <n v="97"/>
    <n v="946"/>
    <n v="1297"/>
    <n v="91762"/>
    <n v="125809"/>
    <n v="34047"/>
  </r>
  <r>
    <x v="309"/>
    <x v="1"/>
    <x v="5"/>
    <x v="6"/>
    <s v="Male"/>
    <n v="62"/>
    <n v="800"/>
    <n v="882"/>
    <n v="49600"/>
    <n v="54684"/>
    <n v="5084"/>
  </r>
  <r>
    <x v="310"/>
    <x v="1"/>
    <x v="5"/>
    <x v="7"/>
    <s v="Male"/>
    <n v="65"/>
    <n v="875"/>
    <n v="1361"/>
    <n v="56875"/>
    <n v="88465"/>
    <n v="31590"/>
  </r>
  <r>
    <x v="197"/>
    <x v="1"/>
    <x v="5"/>
    <x v="18"/>
    <s v="Male"/>
    <n v="100"/>
    <n v="831"/>
    <n v="1466"/>
    <n v="83100"/>
    <n v="146600"/>
    <n v="63500"/>
  </r>
  <r>
    <x v="311"/>
    <x v="1"/>
    <x v="5"/>
    <x v="7"/>
    <s v="Male"/>
    <n v="88"/>
    <n v="823"/>
    <n v="1026"/>
    <n v="72424"/>
    <n v="90288"/>
    <n v="17864"/>
  </r>
  <r>
    <x v="312"/>
    <x v="1"/>
    <x v="5"/>
    <x v="13"/>
    <s v="Female"/>
    <n v="54"/>
    <n v="664"/>
    <n v="761"/>
    <n v="35856"/>
    <n v="41094"/>
    <n v="5238"/>
  </r>
  <r>
    <x v="313"/>
    <x v="1"/>
    <x v="5"/>
    <x v="13"/>
    <s v="Male"/>
    <n v="52"/>
    <n v="538"/>
    <n v="1257"/>
    <n v="27976"/>
    <n v="65364"/>
    <n v="37388"/>
  </r>
  <r>
    <x v="314"/>
    <x v="1"/>
    <x v="7"/>
    <x v="7"/>
    <s v="Male"/>
    <n v="81"/>
    <n v="556"/>
    <n v="1345"/>
    <n v="45036"/>
    <n v="108945"/>
    <n v="63909"/>
  </r>
  <r>
    <x v="315"/>
    <x v="1"/>
    <x v="7"/>
    <x v="5"/>
    <s v="Male"/>
    <n v="72"/>
    <n v="608"/>
    <n v="1209"/>
    <n v="43776"/>
    <n v="87048"/>
    <n v="43272"/>
  </r>
  <r>
    <x v="316"/>
    <x v="1"/>
    <x v="7"/>
    <x v="17"/>
    <s v="Female"/>
    <n v="61"/>
    <n v="994"/>
    <n v="886"/>
    <n v="60634"/>
    <n v="54046"/>
    <n v="-6588"/>
  </r>
  <r>
    <x v="317"/>
    <x v="1"/>
    <x v="7"/>
    <x v="8"/>
    <s v="Female"/>
    <n v="57"/>
    <n v="566"/>
    <n v="830"/>
    <n v="32262"/>
    <n v="47310"/>
    <n v="15048"/>
  </r>
  <r>
    <x v="318"/>
    <x v="1"/>
    <x v="7"/>
    <x v="18"/>
    <s v="Female"/>
    <n v="50"/>
    <n v="714"/>
    <n v="1071"/>
    <n v="35700"/>
    <n v="53550"/>
    <n v="17850"/>
  </r>
  <r>
    <x v="319"/>
    <x v="1"/>
    <x v="5"/>
    <x v="7"/>
    <s v="Female"/>
    <n v="80"/>
    <n v="636"/>
    <n v="1259"/>
    <n v="50880"/>
    <n v="100720"/>
    <n v="49840"/>
  </r>
  <r>
    <x v="320"/>
    <x v="1"/>
    <x v="5"/>
    <x v="7"/>
    <s v="Female"/>
    <n v="50"/>
    <n v="581"/>
    <n v="1380"/>
    <n v="29050"/>
    <n v="69000"/>
    <n v="39950"/>
  </r>
  <r>
    <x v="6"/>
    <x v="1"/>
    <x v="1"/>
    <x v="6"/>
    <s v="Male"/>
    <n v="78"/>
    <n v="655"/>
    <n v="790"/>
    <n v="51090"/>
    <n v="61620"/>
    <n v="10530"/>
  </r>
  <r>
    <x v="321"/>
    <x v="1"/>
    <x v="5"/>
    <x v="13"/>
    <s v="Female"/>
    <n v="78"/>
    <n v="964"/>
    <n v="1264"/>
    <n v="75192"/>
    <n v="98592"/>
    <n v="23400"/>
  </r>
  <r>
    <x v="322"/>
    <x v="1"/>
    <x v="5"/>
    <x v="12"/>
    <s v="Male"/>
    <n v="97"/>
    <n v="982"/>
    <n v="1243"/>
    <n v="95254"/>
    <n v="120571"/>
    <n v="25317"/>
  </r>
  <r>
    <x v="323"/>
    <x v="1"/>
    <x v="5"/>
    <x v="7"/>
    <s v="Male"/>
    <n v="93"/>
    <n v="736"/>
    <n v="864"/>
    <n v="68448"/>
    <n v="80352"/>
    <n v="11904"/>
  </r>
  <r>
    <x v="324"/>
    <x v="1"/>
    <x v="5"/>
    <x v="5"/>
    <s v="Male"/>
    <n v="51"/>
    <n v="608"/>
    <n v="1179"/>
    <n v="31008"/>
    <n v="60129"/>
    <n v="29121"/>
  </r>
  <r>
    <x v="325"/>
    <x v="1"/>
    <x v="5"/>
    <x v="17"/>
    <s v="Male"/>
    <n v="95"/>
    <n v="642"/>
    <n v="796"/>
    <n v="60990"/>
    <n v="75620"/>
    <n v="14630"/>
  </r>
  <r>
    <x v="12"/>
    <x v="2"/>
    <x v="3"/>
    <x v="8"/>
    <s v="Female"/>
    <n v="22"/>
    <n v="755"/>
    <n v="996"/>
    <n v="16610"/>
    <n v="21912"/>
    <n v="5302"/>
  </r>
  <r>
    <x v="326"/>
    <x v="1"/>
    <x v="5"/>
    <x v="8"/>
    <s v="Female"/>
    <n v="90"/>
    <n v="713"/>
    <n v="1148"/>
    <n v="64170"/>
    <n v="103320"/>
    <n v="39150"/>
  </r>
  <r>
    <x v="327"/>
    <x v="1"/>
    <x v="5"/>
    <x v="19"/>
    <s v="Male"/>
    <n v="81"/>
    <n v="813"/>
    <n v="1428"/>
    <n v="65853"/>
    <n v="115668"/>
    <n v="49815"/>
  </r>
  <r>
    <x v="328"/>
    <x v="1"/>
    <x v="5"/>
    <x v="0"/>
    <s v="Male"/>
    <n v="57"/>
    <n v="912"/>
    <n v="1246"/>
    <n v="51984"/>
    <n v="71022"/>
    <n v="19038"/>
  </r>
  <r>
    <x v="329"/>
    <x v="1"/>
    <x v="7"/>
    <x v="1"/>
    <s v="Male"/>
    <n v="61"/>
    <n v="565"/>
    <n v="1212"/>
    <n v="34465"/>
    <n v="73932"/>
    <n v="39467"/>
  </r>
  <r>
    <x v="330"/>
    <x v="1"/>
    <x v="10"/>
    <x v="1"/>
    <s v="Male"/>
    <n v="62"/>
    <n v="805"/>
    <n v="1163"/>
    <n v="49910"/>
    <n v="72106"/>
    <n v="22196"/>
  </r>
  <r>
    <x v="198"/>
    <x v="1"/>
    <x v="1"/>
    <x v="15"/>
    <s v="Male"/>
    <n v="74"/>
    <n v="743"/>
    <n v="1265"/>
    <n v="54982"/>
    <n v="93610"/>
    <n v="38628"/>
  </r>
  <r>
    <x v="199"/>
    <x v="1"/>
    <x v="1"/>
    <x v="16"/>
    <s v="Male"/>
    <n v="83"/>
    <n v="594"/>
    <n v="852"/>
    <n v="49302"/>
    <n v="70716"/>
    <n v="21414"/>
  </r>
  <r>
    <x v="200"/>
    <x v="1"/>
    <x v="1"/>
    <x v="8"/>
    <s v="Male"/>
    <n v="70"/>
    <n v="878"/>
    <n v="844"/>
    <n v="61460"/>
    <n v="59080"/>
    <n v="-2380"/>
  </r>
  <r>
    <x v="201"/>
    <x v="1"/>
    <x v="9"/>
    <x v="8"/>
    <s v="Female"/>
    <n v="57"/>
    <n v="724"/>
    <n v="839"/>
    <n v="41268"/>
    <n v="47823"/>
    <n v="6555"/>
  </r>
  <r>
    <x v="22"/>
    <x v="2"/>
    <x v="4"/>
    <x v="13"/>
    <s v="Male"/>
    <n v="23"/>
    <n v="627"/>
    <n v="855"/>
    <n v="14421"/>
    <n v="19665"/>
    <n v="5244"/>
  </r>
  <r>
    <x v="202"/>
    <x v="1"/>
    <x v="9"/>
    <x v="9"/>
    <s v="Female"/>
    <n v="50"/>
    <n v="537"/>
    <n v="1172"/>
    <n v="26850"/>
    <n v="58600"/>
    <n v="31750"/>
  </r>
  <r>
    <x v="24"/>
    <x v="2"/>
    <x v="4"/>
    <x v="12"/>
    <s v="Female"/>
    <n v="23"/>
    <n v="938"/>
    <n v="1336"/>
    <n v="21574"/>
    <n v="30728"/>
    <n v="9154"/>
  </r>
  <r>
    <x v="203"/>
    <x v="1"/>
    <x v="9"/>
    <x v="4"/>
    <s v="Female"/>
    <n v="67"/>
    <n v="989"/>
    <n v="956"/>
    <n v="66263"/>
    <n v="64052"/>
    <n v="-2211"/>
  </r>
  <r>
    <x v="204"/>
    <x v="1"/>
    <x v="9"/>
    <x v="10"/>
    <s v="Female"/>
    <n v="83"/>
    <n v="917"/>
    <n v="989"/>
    <n v="76111"/>
    <n v="82087"/>
    <n v="5976"/>
  </r>
  <r>
    <x v="205"/>
    <x v="1"/>
    <x v="9"/>
    <x v="11"/>
    <s v="Female"/>
    <n v="74"/>
    <n v="645"/>
    <n v="879"/>
    <n v="47730"/>
    <n v="65046"/>
    <n v="17316"/>
  </r>
  <r>
    <x v="206"/>
    <x v="1"/>
    <x v="9"/>
    <x v="6"/>
    <s v="Male"/>
    <n v="76"/>
    <n v="943"/>
    <n v="1394"/>
    <n v="71668"/>
    <n v="105944"/>
    <n v="34276"/>
  </r>
  <r>
    <x v="207"/>
    <x v="1"/>
    <x v="9"/>
    <x v="7"/>
    <s v="Male"/>
    <n v="85"/>
    <n v="505"/>
    <n v="1435"/>
    <n v="42925"/>
    <n v="121975"/>
    <n v="79050"/>
  </r>
  <r>
    <x v="208"/>
    <x v="1"/>
    <x v="5"/>
    <x v="12"/>
    <s v="Male"/>
    <n v="82"/>
    <n v="928"/>
    <n v="1428"/>
    <n v="76096"/>
    <n v="117096"/>
    <n v="41000"/>
  </r>
  <r>
    <x v="209"/>
    <x v="1"/>
    <x v="5"/>
    <x v="7"/>
    <s v="Female"/>
    <n v="72"/>
    <n v="605"/>
    <n v="1081"/>
    <n v="43560"/>
    <n v="77832"/>
    <n v="34272"/>
  </r>
  <r>
    <x v="210"/>
    <x v="1"/>
    <x v="5"/>
    <x v="7"/>
    <s v="Female"/>
    <n v="82"/>
    <n v="993"/>
    <n v="823"/>
    <n v="81426"/>
    <n v="67486"/>
    <n v="-13940"/>
  </r>
  <r>
    <x v="211"/>
    <x v="1"/>
    <x v="5"/>
    <x v="8"/>
    <s v="Female"/>
    <n v="53"/>
    <n v="803"/>
    <n v="1335"/>
    <n v="42559"/>
    <n v="70755"/>
    <n v="28196"/>
  </r>
  <r>
    <x v="212"/>
    <x v="1"/>
    <x v="5"/>
    <x v="4"/>
    <s v="Female"/>
    <n v="87"/>
    <n v="742"/>
    <n v="856"/>
    <n v="64554"/>
    <n v="74472"/>
    <n v="9918"/>
  </r>
  <r>
    <x v="213"/>
    <x v="1"/>
    <x v="5"/>
    <x v="8"/>
    <s v="Female"/>
    <n v="70"/>
    <n v="605"/>
    <n v="1489"/>
    <n v="42350"/>
    <n v="104230"/>
    <n v="61880"/>
  </r>
  <r>
    <x v="214"/>
    <x v="1"/>
    <x v="5"/>
    <x v="9"/>
    <s v="Female"/>
    <n v="94"/>
    <n v="754"/>
    <n v="1354"/>
    <n v="70876"/>
    <n v="127276"/>
    <n v="56400"/>
  </r>
  <r>
    <x v="215"/>
    <x v="1"/>
    <x v="5"/>
    <x v="4"/>
    <s v="Female"/>
    <n v="80"/>
    <n v="622"/>
    <n v="1168"/>
    <n v="49760"/>
    <n v="93440"/>
    <n v="43680"/>
  </r>
  <r>
    <x v="216"/>
    <x v="1"/>
    <x v="5"/>
    <x v="10"/>
    <s v="Male"/>
    <n v="88"/>
    <n v="625"/>
    <n v="1324"/>
    <n v="55000"/>
    <n v="116512"/>
    <n v="61512"/>
  </r>
  <r>
    <x v="217"/>
    <x v="1"/>
    <x v="5"/>
    <x v="6"/>
    <s v="Male"/>
    <n v="67"/>
    <n v="760"/>
    <n v="1006"/>
    <n v="50920"/>
    <n v="67402"/>
    <n v="16482"/>
  </r>
  <r>
    <x v="218"/>
    <x v="1"/>
    <x v="7"/>
    <x v="7"/>
    <s v="Male"/>
    <n v="75"/>
    <n v="966"/>
    <n v="1355"/>
    <n v="72450"/>
    <n v="101625"/>
    <n v="29175"/>
  </r>
  <r>
    <x v="219"/>
    <x v="1"/>
    <x v="7"/>
    <x v="7"/>
    <s v="Female"/>
    <n v="51"/>
    <n v="749"/>
    <n v="1060"/>
    <n v="38199"/>
    <n v="54060"/>
    <n v="15861"/>
  </r>
  <r>
    <x v="220"/>
    <x v="1"/>
    <x v="7"/>
    <x v="13"/>
    <s v="Male"/>
    <n v="94"/>
    <n v="721"/>
    <n v="996"/>
    <n v="67774"/>
    <n v="93624"/>
    <n v="25850"/>
  </r>
  <r>
    <x v="221"/>
    <x v="1"/>
    <x v="7"/>
    <x v="13"/>
    <s v="Male"/>
    <n v="71"/>
    <n v="869"/>
    <n v="753"/>
    <n v="61699"/>
    <n v="53463"/>
    <n v="-8236"/>
  </r>
  <r>
    <x v="222"/>
    <x v="1"/>
    <x v="7"/>
    <x v="12"/>
    <s v="Male"/>
    <n v="52"/>
    <n v="550"/>
    <n v="869"/>
    <n v="28600"/>
    <n v="45188"/>
    <n v="16588"/>
  </r>
  <r>
    <x v="223"/>
    <x v="1"/>
    <x v="7"/>
    <x v="7"/>
    <s v="Male"/>
    <n v="77"/>
    <n v="513"/>
    <n v="871"/>
    <n v="39501"/>
    <n v="67067"/>
    <n v="27566"/>
  </r>
  <r>
    <x v="224"/>
    <x v="1"/>
    <x v="7"/>
    <x v="5"/>
    <s v="Female"/>
    <n v="84"/>
    <n v="739"/>
    <n v="1161"/>
    <n v="62076"/>
    <n v="97524"/>
    <n v="35448"/>
  </r>
  <r>
    <x v="225"/>
    <x v="1"/>
    <x v="7"/>
    <x v="17"/>
    <s v="Female"/>
    <n v="71"/>
    <n v="923"/>
    <n v="996"/>
    <n v="65533"/>
    <n v="70716"/>
    <n v="5183"/>
  </r>
  <r>
    <x v="226"/>
    <x v="1"/>
    <x v="7"/>
    <x v="8"/>
    <s v="Female"/>
    <n v="59"/>
    <n v="862"/>
    <n v="1233"/>
    <n v="50858"/>
    <n v="72747"/>
    <n v="21889"/>
  </r>
  <r>
    <x v="49"/>
    <x v="1"/>
    <x v="5"/>
    <x v="6"/>
    <s v="Male"/>
    <n v="90"/>
    <n v="718"/>
    <n v="1353"/>
    <n v="64620"/>
    <n v="121770"/>
    <n v="57150"/>
  </r>
  <r>
    <x v="227"/>
    <x v="1"/>
    <x v="7"/>
    <x v="18"/>
    <s v="Female"/>
    <n v="77"/>
    <n v="882"/>
    <n v="914"/>
    <n v="67914"/>
    <n v="70378"/>
    <n v="2464"/>
  </r>
  <r>
    <x v="228"/>
    <x v="1"/>
    <x v="7"/>
    <x v="19"/>
    <s v="Female"/>
    <n v="90"/>
    <n v="862"/>
    <n v="902"/>
    <n v="77580"/>
    <n v="81180"/>
    <n v="3600"/>
  </r>
  <r>
    <x v="229"/>
    <x v="1"/>
    <x v="5"/>
    <x v="3"/>
    <s v="Male"/>
    <n v="73"/>
    <n v="541"/>
    <n v="1114"/>
    <n v="39493"/>
    <n v="81322"/>
    <n v="41829"/>
  </r>
  <r>
    <x v="230"/>
    <x v="1"/>
    <x v="5"/>
    <x v="15"/>
    <s v="Male"/>
    <n v="94"/>
    <n v="772"/>
    <n v="1390"/>
    <n v="72568"/>
    <n v="130660"/>
    <n v="58092"/>
  </r>
  <r>
    <x v="231"/>
    <x v="1"/>
    <x v="5"/>
    <x v="14"/>
    <s v="Male"/>
    <n v="66"/>
    <n v="771"/>
    <n v="1419"/>
    <n v="50886"/>
    <n v="93654"/>
    <n v="42768"/>
  </r>
  <r>
    <x v="232"/>
    <x v="1"/>
    <x v="5"/>
    <x v="3"/>
    <s v="Female"/>
    <n v="65"/>
    <n v="762"/>
    <n v="1394"/>
    <n v="49530"/>
    <n v="90610"/>
    <n v="41080"/>
  </r>
  <r>
    <x v="233"/>
    <x v="1"/>
    <x v="7"/>
    <x v="13"/>
    <s v="Female"/>
    <n v="78"/>
    <n v="918"/>
    <n v="1469"/>
    <n v="71604"/>
    <n v="114582"/>
    <n v="42978"/>
  </r>
  <r>
    <x v="234"/>
    <x v="1"/>
    <x v="7"/>
    <x v="15"/>
    <s v="Male"/>
    <n v="76"/>
    <n v="624"/>
    <n v="899"/>
    <n v="47424"/>
    <n v="68324"/>
    <n v="20900"/>
  </r>
  <r>
    <x v="58"/>
    <x v="1"/>
    <x v="5"/>
    <x v="11"/>
    <s v="Male"/>
    <n v="59"/>
    <n v="716"/>
    <n v="1257"/>
    <n v="42244"/>
    <n v="74163"/>
    <n v="31919"/>
  </r>
  <r>
    <x v="235"/>
    <x v="1"/>
    <x v="7"/>
    <x v="16"/>
    <s v="Male"/>
    <n v="99"/>
    <n v="598"/>
    <n v="1404"/>
    <n v="59202"/>
    <n v="138996"/>
    <n v="79794"/>
  </r>
  <r>
    <x v="236"/>
    <x v="1"/>
    <x v="7"/>
    <x v="6"/>
    <s v="Male"/>
    <n v="78"/>
    <n v="761"/>
    <n v="1174"/>
    <n v="59358"/>
    <n v="91572"/>
    <n v="32214"/>
  </r>
  <r>
    <x v="237"/>
    <x v="1"/>
    <x v="7"/>
    <x v="8"/>
    <s v="Male"/>
    <n v="96"/>
    <n v="512"/>
    <n v="970"/>
    <n v="49152"/>
    <n v="93120"/>
    <n v="43968"/>
  </r>
  <r>
    <x v="238"/>
    <x v="1"/>
    <x v="7"/>
    <x v="12"/>
    <s v="Male"/>
    <n v="85"/>
    <n v="765"/>
    <n v="1024"/>
    <n v="65025"/>
    <n v="87040"/>
    <n v="22015"/>
  </r>
  <r>
    <x v="239"/>
    <x v="1"/>
    <x v="5"/>
    <x v="1"/>
    <s v="Female"/>
    <n v="59"/>
    <n v="663"/>
    <n v="872"/>
    <n v="39117"/>
    <n v="51448"/>
    <n v="12331"/>
  </r>
  <r>
    <x v="240"/>
    <x v="1"/>
    <x v="5"/>
    <x v="2"/>
    <s v="Female"/>
    <n v="75"/>
    <n v="871"/>
    <n v="1274"/>
    <n v="65325"/>
    <n v="95550"/>
    <n v="30225"/>
  </r>
  <r>
    <x v="241"/>
    <x v="1"/>
    <x v="5"/>
    <x v="3"/>
    <s v="Female"/>
    <n v="87"/>
    <n v="869"/>
    <n v="1247"/>
    <n v="75603"/>
    <n v="108489"/>
    <n v="32886"/>
  </r>
  <r>
    <x v="242"/>
    <x v="1"/>
    <x v="5"/>
    <x v="3"/>
    <s v="Female"/>
    <n v="100"/>
    <n v="605"/>
    <n v="1249"/>
    <n v="60500"/>
    <n v="124900"/>
    <n v="64400"/>
  </r>
  <r>
    <x v="243"/>
    <x v="1"/>
    <x v="5"/>
    <x v="4"/>
    <s v="Female"/>
    <n v="51"/>
    <n v="798"/>
    <n v="910"/>
    <n v="40698"/>
    <n v="46410"/>
    <n v="5712"/>
  </r>
  <r>
    <x v="244"/>
    <x v="1"/>
    <x v="5"/>
    <x v="5"/>
    <s v="Female"/>
    <n v="52"/>
    <n v="984"/>
    <n v="992"/>
    <n v="51168"/>
    <n v="51584"/>
    <n v="416"/>
  </r>
  <r>
    <x v="245"/>
    <x v="1"/>
    <x v="5"/>
    <x v="3"/>
    <s v="Female"/>
    <n v="97"/>
    <n v="565"/>
    <n v="995"/>
    <n v="54805"/>
    <n v="96515"/>
    <n v="41710"/>
  </r>
  <r>
    <x v="246"/>
    <x v="1"/>
    <x v="5"/>
    <x v="15"/>
    <s v="Female"/>
    <n v="58"/>
    <n v="799"/>
    <n v="1273"/>
    <n v="46342"/>
    <n v="73834"/>
    <n v="27492"/>
  </r>
  <r>
    <x v="247"/>
    <x v="1"/>
    <x v="5"/>
    <x v="14"/>
    <s v="Male"/>
    <n v="69"/>
    <n v="524"/>
    <n v="893"/>
    <n v="36156"/>
    <n v="61617"/>
    <n v="25461"/>
  </r>
  <r>
    <x v="248"/>
    <x v="1"/>
    <x v="5"/>
    <x v="8"/>
    <s v="Male"/>
    <n v="81"/>
    <n v="903"/>
    <n v="1306"/>
    <n v="73143"/>
    <n v="105786"/>
    <n v="32643"/>
  </r>
  <r>
    <x v="249"/>
    <x v="1"/>
    <x v="5"/>
    <x v="3"/>
    <s v="Male"/>
    <n v="89"/>
    <n v="584"/>
    <n v="777"/>
    <n v="51976"/>
    <n v="69153"/>
    <n v="17177"/>
  </r>
  <r>
    <x v="250"/>
    <x v="1"/>
    <x v="5"/>
    <x v="13"/>
    <s v="Male"/>
    <n v="75"/>
    <n v="906"/>
    <n v="954"/>
    <n v="67950"/>
    <n v="71550"/>
    <n v="3600"/>
  </r>
  <r>
    <x v="63"/>
    <x v="0"/>
    <x v="0"/>
    <x v="3"/>
    <s v="Female"/>
    <n v="17"/>
    <n v="901"/>
    <n v="1283"/>
    <n v="15317"/>
    <n v="21811"/>
    <n v="6494"/>
  </r>
  <r>
    <x v="251"/>
    <x v="1"/>
    <x v="7"/>
    <x v="16"/>
    <s v="Female"/>
    <n v="98"/>
    <n v="925"/>
    <n v="904"/>
    <n v="90650"/>
    <n v="88592"/>
    <n v="-2058"/>
  </r>
  <r>
    <x v="252"/>
    <x v="1"/>
    <x v="7"/>
    <x v="6"/>
    <s v="Female"/>
    <n v="73"/>
    <n v="508"/>
    <n v="1324"/>
    <n v="37084"/>
    <n v="96652"/>
    <n v="59568"/>
  </r>
  <r>
    <x v="253"/>
    <x v="1"/>
    <x v="5"/>
    <x v="7"/>
    <s v="Female"/>
    <n v="87"/>
    <n v="876"/>
    <n v="880"/>
    <n v="76212"/>
    <n v="76560"/>
    <n v="348"/>
  </r>
  <r>
    <x v="254"/>
    <x v="1"/>
    <x v="5"/>
    <x v="5"/>
    <s v="Female"/>
    <n v="69"/>
    <n v="993"/>
    <n v="862"/>
    <n v="68517"/>
    <n v="59478"/>
    <n v="-9039"/>
  </r>
  <r>
    <x v="255"/>
    <x v="1"/>
    <x v="5"/>
    <x v="17"/>
    <s v="Female"/>
    <n v="62"/>
    <n v="781"/>
    <n v="946"/>
    <n v="48422"/>
    <n v="58652"/>
    <n v="10230"/>
  </r>
  <r>
    <x v="64"/>
    <x v="1"/>
    <x v="5"/>
    <x v="8"/>
    <s v="Female"/>
    <n v="83"/>
    <n v="889"/>
    <n v="1075"/>
    <n v="73787"/>
    <n v="89225"/>
    <n v="15438"/>
  </r>
  <r>
    <x v="256"/>
    <x v="1"/>
    <x v="5"/>
    <x v="8"/>
    <s v="Female"/>
    <n v="63"/>
    <n v="718"/>
    <n v="1047"/>
    <n v="45234"/>
    <n v="65961"/>
    <n v="20727"/>
  </r>
  <r>
    <x v="257"/>
    <x v="1"/>
    <x v="5"/>
    <x v="18"/>
    <s v="Female"/>
    <n v="72"/>
    <n v="673"/>
    <n v="1027"/>
    <n v="48456"/>
    <n v="73944"/>
    <n v="25488"/>
  </r>
  <r>
    <x v="258"/>
    <x v="1"/>
    <x v="5"/>
    <x v="19"/>
    <s v="Female"/>
    <n v="76"/>
    <n v="567"/>
    <n v="897"/>
    <n v="43092"/>
    <n v="68172"/>
    <n v="25080"/>
  </r>
  <r>
    <x v="259"/>
    <x v="1"/>
    <x v="5"/>
    <x v="0"/>
    <s v="Male"/>
    <n v="70"/>
    <n v="751"/>
    <n v="1026"/>
    <n v="52570"/>
    <n v="71820"/>
    <n v="19250"/>
  </r>
  <r>
    <x v="260"/>
    <x v="1"/>
    <x v="5"/>
    <x v="2"/>
    <s v="Male"/>
    <n v="56"/>
    <n v="559"/>
    <n v="1151"/>
    <n v="31304"/>
    <n v="64456"/>
    <n v="33152"/>
  </r>
  <r>
    <x v="261"/>
    <x v="1"/>
    <x v="7"/>
    <x v="3"/>
    <s v="Male"/>
    <n v="72"/>
    <n v="719"/>
    <n v="911"/>
    <n v="51768"/>
    <n v="65592"/>
    <n v="13824"/>
  </r>
  <r>
    <x v="262"/>
    <x v="1"/>
    <x v="7"/>
    <x v="3"/>
    <s v="Male"/>
    <n v="89"/>
    <n v="703"/>
    <n v="795"/>
    <n v="62567"/>
    <n v="70755"/>
    <n v="8188"/>
  </r>
  <r>
    <x v="263"/>
    <x v="1"/>
    <x v="7"/>
    <x v="4"/>
    <s v="Female"/>
    <n v="77"/>
    <n v="780"/>
    <n v="967"/>
    <n v="60060"/>
    <n v="74459"/>
    <n v="14399"/>
  </r>
  <r>
    <x v="264"/>
    <x v="1"/>
    <x v="7"/>
    <x v="3"/>
    <s v="Female"/>
    <n v="54"/>
    <n v="762"/>
    <n v="1186"/>
    <n v="41148"/>
    <n v="64044"/>
    <n v="22896"/>
  </r>
  <r>
    <x v="265"/>
    <x v="1"/>
    <x v="7"/>
    <x v="15"/>
    <s v="Male"/>
    <n v="91"/>
    <n v="647"/>
    <n v="1073"/>
    <n v="58877"/>
    <n v="97643"/>
    <n v="38766"/>
  </r>
  <r>
    <x v="65"/>
    <x v="0"/>
    <x v="2"/>
    <x v="8"/>
    <s v="Female"/>
    <n v="14"/>
    <n v="684"/>
    <n v="1483"/>
    <n v="9576"/>
    <n v="20762"/>
    <n v="11186"/>
  </r>
  <r>
    <x v="266"/>
    <x v="1"/>
    <x v="7"/>
    <x v="8"/>
    <s v="Male"/>
    <n v="63"/>
    <n v="720"/>
    <n v="1458"/>
    <n v="45360"/>
    <n v="91854"/>
    <n v="46494"/>
  </r>
  <r>
    <x v="267"/>
    <x v="1"/>
    <x v="7"/>
    <x v="4"/>
    <s v="Male"/>
    <n v="66"/>
    <n v="958"/>
    <n v="1017"/>
    <n v="63228"/>
    <n v="67122"/>
    <n v="3894"/>
  </r>
  <r>
    <x v="268"/>
    <x v="1"/>
    <x v="7"/>
    <x v="8"/>
    <s v="Male"/>
    <n v="54"/>
    <n v="663"/>
    <n v="943"/>
    <n v="35802"/>
    <n v="50922"/>
    <n v="15120"/>
  </r>
  <r>
    <x v="269"/>
    <x v="1"/>
    <x v="7"/>
    <x v="9"/>
    <s v="Female"/>
    <n v="73"/>
    <n v="540"/>
    <n v="1397"/>
    <n v="39420"/>
    <n v="101981"/>
    <n v="62561"/>
  </r>
  <r>
    <x v="270"/>
    <x v="1"/>
    <x v="7"/>
    <x v="4"/>
    <s v="Male"/>
    <n v="76"/>
    <n v="744"/>
    <n v="1145"/>
    <n v="56544"/>
    <n v="87020"/>
    <n v="30476"/>
  </r>
  <r>
    <x v="271"/>
    <x v="1"/>
    <x v="7"/>
    <x v="10"/>
    <s v="Male"/>
    <n v="94"/>
    <n v="874"/>
    <n v="895"/>
    <n v="82156"/>
    <n v="84130"/>
    <n v="1974"/>
  </r>
  <r>
    <x v="272"/>
    <x v="1"/>
    <x v="7"/>
    <x v="11"/>
    <s v="Male"/>
    <n v="97"/>
    <n v="752"/>
    <n v="1286"/>
    <n v="72944"/>
    <n v="124742"/>
    <n v="51798"/>
  </r>
  <r>
    <x v="273"/>
    <x v="1"/>
    <x v="5"/>
    <x v="5"/>
    <s v="Female"/>
    <n v="77"/>
    <n v="951"/>
    <n v="1432"/>
    <n v="73227"/>
    <n v="110264"/>
    <n v="37037"/>
  </r>
  <r>
    <x v="274"/>
    <x v="1"/>
    <x v="5"/>
    <x v="17"/>
    <s v="Female"/>
    <n v="52"/>
    <n v="633"/>
    <n v="1226"/>
    <n v="32916"/>
    <n v="63752"/>
    <n v="30836"/>
  </r>
  <r>
    <x v="275"/>
    <x v="1"/>
    <x v="5"/>
    <x v="18"/>
    <s v="Female"/>
    <n v="80"/>
    <n v="982"/>
    <n v="1224"/>
    <n v="78560"/>
    <n v="97920"/>
    <n v="19360"/>
  </r>
  <r>
    <x v="276"/>
    <x v="1"/>
    <x v="5"/>
    <x v="19"/>
    <s v="Female"/>
    <n v="81"/>
    <n v="917"/>
    <n v="1344"/>
    <n v="74277"/>
    <n v="108864"/>
    <n v="34587"/>
  </r>
  <r>
    <x v="277"/>
    <x v="1"/>
    <x v="7"/>
    <x v="0"/>
    <s v="Female"/>
    <n v="63"/>
    <n v="747"/>
    <n v="778"/>
    <n v="47061"/>
    <n v="49014"/>
    <n v="1953"/>
  </r>
  <r>
    <x v="66"/>
    <x v="2"/>
    <x v="6"/>
    <x v="7"/>
    <s v="Female"/>
    <n v="23"/>
    <n v="559"/>
    <n v="1456"/>
    <n v="12857"/>
    <n v="33488"/>
    <n v="20631"/>
  </r>
  <r>
    <x v="278"/>
    <x v="1"/>
    <x v="7"/>
    <x v="1"/>
    <s v="Female"/>
    <n v="88"/>
    <n v="978"/>
    <n v="1231"/>
    <n v="86064"/>
    <n v="108328"/>
    <n v="22264"/>
  </r>
  <r>
    <x v="279"/>
    <x v="1"/>
    <x v="7"/>
    <x v="2"/>
    <s v="Female"/>
    <n v="82"/>
    <n v="652"/>
    <n v="994"/>
    <n v="53464"/>
    <n v="81508"/>
    <n v="28044"/>
  </r>
  <r>
    <x v="280"/>
    <x v="1"/>
    <x v="7"/>
    <x v="3"/>
    <s v="Female"/>
    <n v="80"/>
    <n v="841"/>
    <n v="1490"/>
    <n v="67280"/>
    <n v="119200"/>
    <n v="51920"/>
  </r>
  <r>
    <x v="281"/>
    <x v="1"/>
    <x v="7"/>
    <x v="4"/>
    <s v="Male"/>
    <n v="70"/>
    <n v="798"/>
    <n v="1318"/>
    <n v="55860"/>
    <n v="92260"/>
    <n v="36400"/>
  </r>
  <r>
    <x v="282"/>
    <x v="1"/>
    <x v="1"/>
    <x v="17"/>
    <s v="Male"/>
    <n v="69"/>
    <n v="921"/>
    <n v="1177"/>
    <n v="63549"/>
    <n v="81213"/>
    <n v="17664"/>
  </r>
  <r>
    <x v="283"/>
    <x v="1"/>
    <x v="1"/>
    <x v="8"/>
    <s v="Male"/>
    <n v="60"/>
    <n v="729"/>
    <n v="759"/>
    <n v="43740"/>
    <n v="45540"/>
    <n v="1800"/>
  </r>
  <r>
    <x v="284"/>
    <x v="1"/>
    <x v="1"/>
    <x v="18"/>
    <s v="Female"/>
    <n v="99"/>
    <n v="880"/>
    <n v="1318"/>
    <n v="87120"/>
    <n v="130482"/>
    <n v="43362"/>
  </r>
  <r>
    <x v="285"/>
    <x v="1"/>
    <x v="1"/>
    <x v="19"/>
    <s v="Male"/>
    <n v="88"/>
    <n v="552"/>
    <n v="1422"/>
    <n v="48576"/>
    <n v="125136"/>
    <n v="76560"/>
  </r>
  <r>
    <x v="286"/>
    <x v="1"/>
    <x v="9"/>
    <x v="3"/>
    <s v="Female"/>
    <n v="60"/>
    <n v="827"/>
    <n v="762"/>
    <n v="49620"/>
    <n v="45720"/>
    <n v="-3900"/>
  </r>
  <r>
    <x v="287"/>
    <x v="1"/>
    <x v="9"/>
    <x v="15"/>
    <s v="Female"/>
    <n v="64"/>
    <n v="529"/>
    <n v="1195"/>
    <n v="33856"/>
    <n v="76480"/>
    <n v="42624"/>
  </r>
  <r>
    <x v="288"/>
    <x v="1"/>
    <x v="9"/>
    <x v="8"/>
    <s v="Female"/>
    <n v="51"/>
    <n v="859"/>
    <n v="1243"/>
    <n v="43809"/>
    <n v="63393"/>
    <n v="19584"/>
  </r>
  <r>
    <x v="289"/>
    <x v="1"/>
    <x v="9"/>
    <x v="3"/>
    <s v="Female"/>
    <n v="68"/>
    <n v="756"/>
    <n v="887"/>
    <n v="51408"/>
    <n v="60316"/>
    <n v="8908"/>
  </r>
  <r>
    <x v="290"/>
    <x v="1"/>
    <x v="9"/>
    <x v="13"/>
    <s v="Female"/>
    <n v="87"/>
    <n v="882"/>
    <n v="1211"/>
    <n v="76734"/>
    <n v="105357"/>
    <n v="28623"/>
  </r>
  <r>
    <x v="291"/>
    <x v="1"/>
    <x v="5"/>
    <x v="0"/>
    <s v="Male"/>
    <n v="51"/>
    <n v="685"/>
    <n v="1224"/>
    <n v="34935"/>
    <n v="62424"/>
    <n v="27489"/>
  </r>
  <r>
    <x v="292"/>
    <x v="1"/>
    <x v="5"/>
    <x v="2"/>
    <s v="Female"/>
    <n v="72"/>
    <n v="765"/>
    <n v="1368"/>
    <n v="55080"/>
    <n v="98496"/>
    <n v="43416"/>
  </r>
  <r>
    <x v="293"/>
    <x v="1"/>
    <x v="5"/>
    <x v="3"/>
    <s v="Female"/>
    <n v="54"/>
    <n v="702"/>
    <n v="930"/>
    <n v="37908"/>
    <n v="50220"/>
    <n v="12312"/>
  </r>
  <r>
    <x v="294"/>
    <x v="1"/>
    <x v="5"/>
    <x v="6"/>
    <s v="Female"/>
    <n v="97"/>
    <n v="917"/>
    <n v="1203"/>
    <n v="88949"/>
    <n v="116691"/>
    <n v="27742"/>
  </r>
  <r>
    <x v="295"/>
    <x v="1"/>
    <x v="5"/>
    <x v="7"/>
    <s v="Female"/>
    <n v="84"/>
    <n v="516"/>
    <n v="820"/>
    <n v="43344"/>
    <n v="68880"/>
    <n v="25536"/>
  </r>
  <r>
    <x v="67"/>
    <x v="1"/>
    <x v="7"/>
    <x v="15"/>
    <s v="Male"/>
    <n v="66"/>
    <n v="715"/>
    <n v="1460"/>
    <n v="47190"/>
    <n v="96360"/>
    <n v="49170"/>
  </r>
  <r>
    <x v="296"/>
    <x v="1"/>
    <x v="5"/>
    <x v="13"/>
    <s v="Female"/>
    <n v="92"/>
    <n v="789"/>
    <n v="1229"/>
    <n v="72588"/>
    <n v="113068"/>
    <n v="40480"/>
  </r>
  <r>
    <x v="297"/>
    <x v="1"/>
    <x v="5"/>
    <x v="13"/>
    <s v="Female"/>
    <n v="53"/>
    <n v="962"/>
    <n v="1442"/>
    <n v="50986"/>
    <n v="76426"/>
    <n v="25440"/>
  </r>
  <r>
    <x v="298"/>
    <x v="1"/>
    <x v="5"/>
    <x v="12"/>
    <s v="Female"/>
    <n v="81"/>
    <n v="565"/>
    <n v="1224"/>
    <n v="45765"/>
    <n v="99144"/>
    <n v="53379"/>
  </r>
  <r>
    <x v="299"/>
    <x v="1"/>
    <x v="5"/>
    <x v="5"/>
    <s v="Female"/>
    <n v="96"/>
    <n v="715"/>
    <n v="1171"/>
    <n v="68640"/>
    <n v="112416"/>
    <n v="43776"/>
  </r>
  <r>
    <x v="68"/>
    <x v="0"/>
    <x v="2"/>
    <x v="6"/>
    <s v="Female"/>
    <n v="10"/>
    <n v="812"/>
    <n v="1112"/>
    <n v="8120"/>
    <n v="11120"/>
    <n v="3000"/>
  </r>
  <r>
    <x v="300"/>
    <x v="1"/>
    <x v="7"/>
    <x v="8"/>
    <s v="Female"/>
    <n v="69"/>
    <n v="699"/>
    <n v="835"/>
    <n v="48231"/>
    <n v="57615"/>
    <n v="9384"/>
  </r>
  <r>
    <x v="301"/>
    <x v="1"/>
    <x v="7"/>
    <x v="18"/>
    <s v="Female"/>
    <n v="58"/>
    <n v="924"/>
    <n v="990"/>
    <n v="53592"/>
    <n v="57420"/>
    <n v="3828"/>
  </r>
  <r>
    <x v="302"/>
    <x v="1"/>
    <x v="7"/>
    <x v="19"/>
    <s v="Female"/>
    <n v="83"/>
    <n v="790"/>
    <n v="1164"/>
    <n v="65570"/>
    <n v="96612"/>
    <n v="31042"/>
  </r>
  <r>
    <x v="303"/>
    <x v="1"/>
    <x v="7"/>
    <x v="0"/>
    <s v="Female"/>
    <n v="60"/>
    <n v="867"/>
    <n v="854"/>
    <n v="52020"/>
    <n v="51240"/>
    <n v="-780"/>
  </r>
  <r>
    <x v="304"/>
    <x v="1"/>
    <x v="7"/>
    <x v="2"/>
    <s v="Male"/>
    <n v="89"/>
    <n v="702"/>
    <n v="1314"/>
    <n v="62478"/>
    <n v="116946"/>
    <n v="54468"/>
  </r>
  <r>
    <x v="305"/>
    <x v="1"/>
    <x v="7"/>
    <x v="3"/>
    <s v="Male"/>
    <n v="91"/>
    <n v="805"/>
    <n v="1361"/>
    <n v="73255"/>
    <n v="123851"/>
    <n v="50596"/>
  </r>
  <r>
    <x v="306"/>
    <x v="1"/>
    <x v="7"/>
    <x v="3"/>
    <s v="Male"/>
    <n v="78"/>
    <n v="682"/>
    <n v="962"/>
    <n v="53196"/>
    <n v="75036"/>
    <n v="21840"/>
  </r>
  <r>
    <x v="69"/>
    <x v="2"/>
    <x v="6"/>
    <x v="10"/>
    <s v="Male"/>
    <n v="22"/>
    <n v="888"/>
    <n v="1284"/>
    <n v="19536"/>
    <n v="28248"/>
    <n v="8712"/>
  </r>
  <r>
    <x v="307"/>
    <x v="1"/>
    <x v="7"/>
    <x v="4"/>
    <s v="Male"/>
    <n v="54"/>
    <n v="990"/>
    <n v="970"/>
    <n v="53460"/>
    <n v="52380"/>
    <n v="-1080"/>
  </r>
  <r>
    <x v="308"/>
    <x v="1"/>
    <x v="7"/>
    <x v="5"/>
    <s v="Female"/>
    <n v="72"/>
    <n v="749"/>
    <n v="1262"/>
    <n v="53928"/>
    <n v="90864"/>
    <n v="36936"/>
  </r>
  <r>
    <x v="309"/>
    <x v="1"/>
    <x v="5"/>
    <x v="6"/>
    <s v="Male"/>
    <n v="51"/>
    <n v="925"/>
    <n v="750"/>
    <n v="47175"/>
    <n v="38250"/>
    <n v="-8925"/>
  </r>
  <r>
    <x v="310"/>
    <x v="1"/>
    <x v="5"/>
    <x v="7"/>
    <s v="Male"/>
    <n v="56"/>
    <n v="782"/>
    <n v="1353"/>
    <n v="43792"/>
    <n v="75768"/>
    <n v="31976"/>
  </r>
  <r>
    <x v="311"/>
    <x v="1"/>
    <x v="5"/>
    <x v="7"/>
    <s v="Male"/>
    <n v="92"/>
    <n v="978"/>
    <n v="1062"/>
    <n v="89976"/>
    <n v="97704"/>
    <n v="7728"/>
  </r>
  <r>
    <x v="70"/>
    <x v="2"/>
    <x v="6"/>
    <x v="13"/>
    <s v="Female"/>
    <n v="29"/>
    <n v="818"/>
    <n v="999"/>
    <n v="23722"/>
    <n v="28971"/>
    <n v="5249"/>
  </r>
  <r>
    <x v="312"/>
    <x v="1"/>
    <x v="5"/>
    <x v="13"/>
    <s v="Female"/>
    <n v="75"/>
    <n v="539"/>
    <n v="1068"/>
    <n v="40425"/>
    <n v="80100"/>
    <n v="39675"/>
  </r>
  <r>
    <x v="313"/>
    <x v="1"/>
    <x v="5"/>
    <x v="13"/>
    <s v="Male"/>
    <n v="78"/>
    <n v="608"/>
    <n v="1496"/>
    <n v="47424"/>
    <n v="116688"/>
    <n v="69264"/>
  </r>
  <r>
    <x v="314"/>
    <x v="1"/>
    <x v="7"/>
    <x v="7"/>
    <s v="Male"/>
    <n v="66"/>
    <n v="831"/>
    <n v="787"/>
    <n v="54846"/>
    <n v="51942"/>
    <n v="-2904"/>
  </r>
  <r>
    <x v="315"/>
    <x v="1"/>
    <x v="7"/>
    <x v="5"/>
    <s v="Male"/>
    <n v="86"/>
    <n v="855"/>
    <n v="930"/>
    <n v="73530"/>
    <n v="79980"/>
    <n v="6450"/>
  </r>
  <r>
    <x v="316"/>
    <x v="1"/>
    <x v="7"/>
    <x v="17"/>
    <s v="Female"/>
    <n v="84"/>
    <n v="948"/>
    <n v="1156"/>
    <n v="79632"/>
    <n v="97104"/>
    <n v="17472"/>
  </r>
  <r>
    <x v="317"/>
    <x v="1"/>
    <x v="7"/>
    <x v="8"/>
    <s v="Female"/>
    <n v="90"/>
    <n v="962"/>
    <n v="970"/>
    <n v="86580"/>
    <n v="87300"/>
    <n v="720"/>
  </r>
  <r>
    <x v="318"/>
    <x v="1"/>
    <x v="7"/>
    <x v="18"/>
    <s v="Female"/>
    <n v="84"/>
    <n v="521"/>
    <n v="1320"/>
    <n v="43764"/>
    <n v="110880"/>
    <n v="67116"/>
  </r>
  <r>
    <x v="319"/>
    <x v="1"/>
    <x v="5"/>
    <x v="7"/>
    <s v="Female"/>
    <n v="85"/>
    <n v="938"/>
    <n v="802"/>
    <n v="79730"/>
    <n v="68170"/>
    <n v="-11560"/>
  </r>
  <r>
    <x v="71"/>
    <x v="1"/>
    <x v="5"/>
    <x v="1"/>
    <s v="Male"/>
    <n v="60"/>
    <n v="645"/>
    <n v="936"/>
    <n v="38700"/>
    <n v="56160"/>
    <n v="17460"/>
  </r>
  <r>
    <x v="320"/>
    <x v="1"/>
    <x v="5"/>
    <x v="7"/>
    <s v="Female"/>
    <n v="62"/>
    <n v="562"/>
    <n v="884"/>
    <n v="34844"/>
    <n v="54808"/>
    <n v="19964"/>
  </r>
  <r>
    <x v="321"/>
    <x v="1"/>
    <x v="5"/>
    <x v="13"/>
    <s v="Female"/>
    <n v="50"/>
    <n v="887"/>
    <n v="1068"/>
    <n v="44350"/>
    <n v="53400"/>
    <n v="9050"/>
  </r>
  <r>
    <x v="322"/>
    <x v="1"/>
    <x v="5"/>
    <x v="12"/>
    <s v="Male"/>
    <n v="66"/>
    <n v="771"/>
    <n v="1492"/>
    <n v="50886"/>
    <n v="98472"/>
    <n v="47586"/>
  </r>
  <r>
    <x v="323"/>
    <x v="1"/>
    <x v="5"/>
    <x v="7"/>
    <s v="Male"/>
    <n v="61"/>
    <n v="529"/>
    <n v="1419"/>
    <n v="32269"/>
    <n v="86559"/>
    <n v="54290"/>
  </r>
  <r>
    <x v="72"/>
    <x v="1"/>
    <x v="7"/>
    <x v="5"/>
    <s v="Female"/>
    <n v="68"/>
    <n v="777"/>
    <n v="1433"/>
    <n v="52836"/>
    <n v="97444"/>
    <n v="44608"/>
  </r>
  <r>
    <x v="324"/>
    <x v="1"/>
    <x v="5"/>
    <x v="5"/>
    <s v="Male"/>
    <n v="78"/>
    <n v="511"/>
    <n v="1368"/>
    <n v="39858"/>
    <n v="106704"/>
    <n v="66846"/>
  </r>
  <r>
    <x v="325"/>
    <x v="1"/>
    <x v="5"/>
    <x v="17"/>
    <s v="Male"/>
    <n v="96"/>
    <n v="790"/>
    <n v="1335"/>
    <n v="75840"/>
    <n v="128160"/>
    <n v="52320"/>
  </r>
  <r>
    <x v="326"/>
    <x v="1"/>
    <x v="5"/>
    <x v="8"/>
    <s v="Female"/>
    <n v="63"/>
    <n v="722"/>
    <n v="1374"/>
    <n v="45486"/>
    <n v="86562"/>
    <n v="41076"/>
  </r>
  <r>
    <x v="327"/>
    <x v="1"/>
    <x v="5"/>
    <x v="19"/>
    <s v="Male"/>
    <n v="92"/>
    <n v="521"/>
    <n v="1414"/>
    <n v="47932"/>
    <n v="130088"/>
    <n v="82156"/>
  </r>
  <r>
    <x v="328"/>
    <x v="1"/>
    <x v="5"/>
    <x v="0"/>
    <s v="Male"/>
    <n v="65"/>
    <n v="661"/>
    <n v="1425"/>
    <n v="42965"/>
    <n v="92625"/>
    <n v="49660"/>
  </r>
  <r>
    <x v="329"/>
    <x v="1"/>
    <x v="7"/>
    <x v="1"/>
    <s v="Male"/>
    <n v="77"/>
    <n v="595"/>
    <n v="1470"/>
    <n v="45815"/>
    <n v="113190"/>
    <n v="67375"/>
  </r>
  <r>
    <x v="330"/>
    <x v="1"/>
    <x v="10"/>
    <x v="1"/>
    <s v="Male"/>
    <n v="62"/>
    <n v="774"/>
    <n v="1050"/>
    <n v="47988"/>
    <n v="65100"/>
    <n v="17112"/>
  </r>
  <r>
    <x v="198"/>
    <x v="1"/>
    <x v="1"/>
    <x v="15"/>
    <s v="Male"/>
    <n v="65"/>
    <n v="816"/>
    <n v="1347"/>
    <n v="53040"/>
    <n v="87555"/>
    <n v="34515"/>
  </r>
  <r>
    <x v="73"/>
    <x v="0"/>
    <x v="2"/>
    <x v="6"/>
    <s v="Female"/>
    <n v="19"/>
    <n v="576"/>
    <n v="1181"/>
    <n v="10944"/>
    <n v="22439"/>
    <n v="11495"/>
  </r>
  <r>
    <x v="199"/>
    <x v="1"/>
    <x v="1"/>
    <x v="16"/>
    <s v="Male"/>
    <n v="100"/>
    <n v="893"/>
    <n v="1460"/>
    <n v="89300"/>
    <n v="146000"/>
    <n v="56700"/>
  </r>
  <r>
    <x v="200"/>
    <x v="1"/>
    <x v="1"/>
    <x v="8"/>
    <s v="Male"/>
    <n v="79"/>
    <n v="632"/>
    <n v="1271"/>
    <n v="49928"/>
    <n v="100409"/>
    <n v="50481"/>
  </r>
  <r>
    <x v="201"/>
    <x v="1"/>
    <x v="9"/>
    <x v="8"/>
    <s v="Female"/>
    <n v="74"/>
    <n v="859"/>
    <n v="1315"/>
    <n v="63566"/>
    <n v="97310"/>
    <n v="33744"/>
  </r>
  <r>
    <x v="202"/>
    <x v="1"/>
    <x v="9"/>
    <x v="9"/>
    <s v="Female"/>
    <n v="77"/>
    <n v="579"/>
    <n v="1178"/>
    <n v="44583"/>
    <n v="90706"/>
    <n v="46123"/>
  </r>
  <r>
    <x v="74"/>
    <x v="0"/>
    <x v="2"/>
    <x v="7"/>
    <s v="Male"/>
    <n v="16"/>
    <n v="689"/>
    <n v="1068"/>
    <n v="11024"/>
    <n v="17088"/>
    <n v="6064"/>
  </r>
  <r>
    <x v="203"/>
    <x v="1"/>
    <x v="9"/>
    <x v="4"/>
    <s v="Female"/>
    <n v="61"/>
    <n v="865"/>
    <n v="894"/>
    <n v="52765"/>
    <n v="54534"/>
    <n v="1769"/>
  </r>
  <r>
    <x v="204"/>
    <x v="1"/>
    <x v="9"/>
    <x v="10"/>
    <s v="Female"/>
    <n v="57"/>
    <n v="881"/>
    <n v="1185"/>
    <n v="50217"/>
    <n v="67545"/>
    <n v="17328"/>
  </r>
  <r>
    <x v="205"/>
    <x v="1"/>
    <x v="9"/>
    <x v="11"/>
    <s v="Female"/>
    <n v="57"/>
    <n v="548"/>
    <n v="1306"/>
    <n v="31236"/>
    <n v="74442"/>
    <n v="43206"/>
  </r>
  <r>
    <x v="206"/>
    <x v="1"/>
    <x v="9"/>
    <x v="6"/>
    <s v="Male"/>
    <n v="84"/>
    <n v="702"/>
    <n v="787"/>
    <n v="58968"/>
    <n v="66108"/>
    <n v="7140"/>
  </r>
  <r>
    <x v="207"/>
    <x v="1"/>
    <x v="9"/>
    <x v="7"/>
    <s v="Male"/>
    <n v="76"/>
    <n v="875"/>
    <n v="1268"/>
    <n v="66500"/>
    <n v="96368"/>
    <n v="29868"/>
  </r>
  <r>
    <x v="208"/>
    <x v="1"/>
    <x v="5"/>
    <x v="12"/>
    <s v="Male"/>
    <n v="50"/>
    <n v="885"/>
    <n v="927"/>
    <n v="44250"/>
    <n v="46350"/>
    <n v="2100"/>
  </r>
  <r>
    <x v="209"/>
    <x v="1"/>
    <x v="5"/>
    <x v="7"/>
    <s v="Female"/>
    <n v="53"/>
    <n v="950"/>
    <n v="875"/>
    <n v="50350"/>
    <n v="46375"/>
    <n v="-3975"/>
  </r>
  <r>
    <x v="210"/>
    <x v="1"/>
    <x v="5"/>
    <x v="7"/>
    <s v="Female"/>
    <n v="62"/>
    <n v="623"/>
    <n v="1253"/>
    <n v="38626"/>
    <n v="77686"/>
    <n v="39060"/>
  </r>
  <r>
    <x v="75"/>
    <x v="0"/>
    <x v="0"/>
    <x v="7"/>
    <s v="Female"/>
    <n v="18"/>
    <n v="835"/>
    <n v="1234"/>
    <n v="15030"/>
    <n v="22212"/>
    <n v="7182"/>
  </r>
  <r>
    <x v="211"/>
    <x v="1"/>
    <x v="5"/>
    <x v="8"/>
    <s v="Female"/>
    <n v="72"/>
    <n v="920"/>
    <n v="753"/>
    <n v="66240"/>
    <n v="54216"/>
    <n v="-12024"/>
  </r>
  <r>
    <x v="76"/>
    <x v="0"/>
    <x v="0"/>
    <x v="13"/>
    <s v="Female"/>
    <n v="13"/>
    <n v="855"/>
    <n v="951"/>
    <n v="11115"/>
    <n v="12363"/>
    <n v="1248"/>
  </r>
  <r>
    <x v="212"/>
    <x v="1"/>
    <x v="5"/>
    <x v="4"/>
    <s v="Female"/>
    <n v="69"/>
    <n v="860"/>
    <n v="1081"/>
    <n v="59340"/>
    <n v="74589"/>
    <n v="15249"/>
  </r>
  <r>
    <x v="213"/>
    <x v="1"/>
    <x v="5"/>
    <x v="8"/>
    <s v="Female"/>
    <n v="80"/>
    <n v="765"/>
    <n v="924"/>
    <n v="61200"/>
    <n v="73920"/>
    <n v="12720"/>
  </r>
  <r>
    <x v="214"/>
    <x v="1"/>
    <x v="5"/>
    <x v="9"/>
    <s v="Female"/>
    <n v="75"/>
    <n v="690"/>
    <n v="817"/>
    <n v="51750"/>
    <n v="61275"/>
    <n v="9525"/>
  </r>
  <r>
    <x v="215"/>
    <x v="1"/>
    <x v="5"/>
    <x v="4"/>
    <s v="Female"/>
    <n v="100"/>
    <n v="795"/>
    <n v="1136"/>
    <n v="79500"/>
    <n v="113600"/>
    <n v="34100"/>
  </r>
  <r>
    <x v="216"/>
    <x v="1"/>
    <x v="5"/>
    <x v="10"/>
    <s v="Male"/>
    <n v="85"/>
    <n v="845"/>
    <n v="1155"/>
    <n v="71825"/>
    <n v="98175"/>
    <n v="26350"/>
  </r>
  <r>
    <x v="77"/>
    <x v="1"/>
    <x v="5"/>
    <x v="8"/>
    <s v="Female"/>
    <n v="79"/>
    <n v="683"/>
    <n v="1444"/>
    <n v="53957"/>
    <n v="114076"/>
    <n v="60119"/>
  </r>
  <r>
    <x v="217"/>
    <x v="1"/>
    <x v="5"/>
    <x v="6"/>
    <s v="Male"/>
    <n v="51"/>
    <n v="876"/>
    <n v="1252"/>
    <n v="44676"/>
    <n v="63852"/>
    <n v="19176"/>
  </r>
  <r>
    <x v="218"/>
    <x v="1"/>
    <x v="7"/>
    <x v="7"/>
    <s v="Male"/>
    <n v="55"/>
    <n v="793"/>
    <n v="1045"/>
    <n v="43615"/>
    <n v="57475"/>
    <n v="13860"/>
  </r>
  <r>
    <x v="219"/>
    <x v="1"/>
    <x v="7"/>
    <x v="7"/>
    <s v="Female"/>
    <n v="82"/>
    <n v="641"/>
    <n v="809"/>
    <n v="52562"/>
    <n v="66338"/>
    <n v="13776"/>
  </r>
  <r>
    <x v="220"/>
    <x v="1"/>
    <x v="7"/>
    <x v="13"/>
    <s v="Male"/>
    <n v="80"/>
    <n v="678"/>
    <n v="1016"/>
    <n v="54240"/>
    <n v="81280"/>
    <n v="27040"/>
  </r>
  <r>
    <x v="221"/>
    <x v="1"/>
    <x v="7"/>
    <x v="13"/>
    <s v="Male"/>
    <n v="76"/>
    <n v="585"/>
    <n v="1366"/>
    <n v="44460"/>
    <n v="103816"/>
    <n v="59356"/>
  </r>
  <r>
    <x v="222"/>
    <x v="1"/>
    <x v="7"/>
    <x v="12"/>
    <s v="Male"/>
    <n v="93"/>
    <n v="662"/>
    <n v="1319"/>
    <n v="61566"/>
    <n v="122667"/>
    <n v="61101"/>
  </r>
  <r>
    <x v="81"/>
    <x v="1"/>
    <x v="7"/>
    <x v="3"/>
    <s v="Male"/>
    <n v="67"/>
    <n v="711"/>
    <n v="1280"/>
    <n v="47637"/>
    <n v="85760"/>
    <n v="38123"/>
  </r>
  <r>
    <x v="223"/>
    <x v="1"/>
    <x v="7"/>
    <x v="7"/>
    <s v="Male"/>
    <n v="51"/>
    <n v="744"/>
    <n v="782"/>
    <n v="37944"/>
    <n v="39882"/>
    <n v="1938"/>
  </r>
  <r>
    <x v="224"/>
    <x v="1"/>
    <x v="7"/>
    <x v="5"/>
    <s v="Female"/>
    <n v="88"/>
    <n v="820"/>
    <n v="1241"/>
    <n v="72160"/>
    <n v="109208"/>
    <n v="37048"/>
  </r>
  <r>
    <x v="225"/>
    <x v="1"/>
    <x v="7"/>
    <x v="17"/>
    <s v="Female"/>
    <n v="72"/>
    <n v="937"/>
    <n v="1154"/>
    <n v="67464"/>
    <n v="83088"/>
    <n v="15624"/>
  </r>
  <r>
    <x v="226"/>
    <x v="1"/>
    <x v="7"/>
    <x v="8"/>
    <s v="Female"/>
    <n v="55"/>
    <n v="685"/>
    <n v="824"/>
    <n v="37675"/>
    <n v="45320"/>
    <n v="7645"/>
  </r>
  <r>
    <x v="86"/>
    <x v="0"/>
    <x v="2"/>
    <x v="11"/>
    <s v="Female"/>
    <n v="20"/>
    <n v="963"/>
    <n v="865"/>
    <n v="19260"/>
    <n v="17300"/>
    <n v="-1960"/>
  </r>
  <r>
    <x v="227"/>
    <x v="1"/>
    <x v="7"/>
    <x v="18"/>
    <s v="Female"/>
    <n v="55"/>
    <n v="661"/>
    <n v="1133"/>
    <n v="36355"/>
    <n v="62315"/>
    <n v="25960"/>
  </r>
  <r>
    <x v="228"/>
    <x v="1"/>
    <x v="7"/>
    <x v="19"/>
    <s v="Female"/>
    <n v="72"/>
    <n v="804"/>
    <n v="833"/>
    <n v="57888"/>
    <n v="59976"/>
    <n v="2088"/>
  </r>
  <r>
    <x v="89"/>
    <x v="0"/>
    <x v="2"/>
    <x v="7"/>
    <s v="Female"/>
    <n v="14"/>
    <n v="913"/>
    <n v="1155"/>
    <n v="12782"/>
    <n v="16170"/>
    <n v="3388"/>
  </r>
  <r>
    <x v="229"/>
    <x v="1"/>
    <x v="5"/>
    <x v="3"/>
    <s v="Male"/>
    <n v="87"/>
    <n v="616"/>
    <n v="1447"/>
    <n v="53592"/>
    <n v="125889"/>
    <n v="72297"/>
  </r>
  <r>
    <x v="91"/>
    <x v="2"/>
    <x v="3"/>
    <x v="13"/>
    <s v="Female"/>
    <n v="23"/>
    <n v="616"/>
    <n v="919"/>
    <n v="14168"/>
    <n v="21137"/>
    <n v="6969"/>
  </r>
  <r>
    <x v="230"/>
    <x v="1"/>
    <x v="5"/>
    <x v="15"/>
    <s v="Male"/>
    <n v="57"/>
    <n v="724"/>
    <n v="1432"/>
    <n v="41268"/>
    <n v="81624"/>
    <n v="40356"/>
  </r>
  <r>
    <x v="93"/>
    <x v="2"/>
    <x v="8"/>
    <x v="7"/>
    <s v="Male"/>
    <n v="28"/>
    <n v="539"/>
    <n v="1106"/>
    <n v="15092"/>
    <n v="30968"/>
    <n v="15876"/>
  </r>
  <r>
    <x v="231"/>
    <x v="1"/>
    <x v="5"/>
    <x v="14"/>
    <s v="Male"/>
    <n v="85"/>
    <n v="639"/>
    <n v="1447"/>
    <n v="54315"/>
    <n v="122995"/>
    <n v="68680"/>
  </r>
  <r>
    <x v="232"/>
    <x v="1"/>
    <x v="5"/>
    <x v="3"/>
    <s v="Female"/>
    <n v="81"/>
    <n v="776"/>
    <n v="895"/>
    <n v="62856"/>
    <n v="72495"/>
    <n v="9639"/>
  </r>
  <r>
    <x v="233"/>
    <x v="1"/>
    <x v="7"/>
    <x v="13"/>
    <s v="Female"/>
    <n v="86"/>
    <n v="705"/>
    <n v="1483"/>
    <n v="60630"/>
    <n v="127538"/>
    <n v="66908"/>
  </r>
  <r>
    <x v="234"/>
    <x v="1"/>
    <x v="7"/>
    <x v="15"/>
    <s v="Male"/>
    <n v="80"/>
    <n v="901"/>
    <n v="1109"/>
    <n v="72080"/>
    <n v="88720"/>
    <n v="16640"/>
  </r>
  <r>
    <x v="235"/>
    <x v="1"/>
    <x v="7"/>
    <x v="16"/>
    <s v="Male"/>
    <n v="59"/>
    <n v="502"/>
    <n v="1212"/>
    <n v="29618"/>
    <n v="71508"/>
    <n v="41890"/>
  </r>
  <r>
    <x v="236"/>
    <x v="1"/>
    <x v="7"/>
    <x v="6"/>
    <s v="Male"/>
    <n v="52"/>
    <n v="556"/>
    <n v="1402"/>
    <n v="28912"/>
    <n v="72904"/>
    <n v="43992"/>
  </r>
  <r>
    <x v="237"/>
    <x v="1"/>
    <x v="7"/>
    <x v="8"/>
    <s v="Male"/>
    <n v="92"/>
    <n v="953"/>
    <n v="790"/>
    <n v="87676"/>
    <n v="72680"/>
    <n v="-14996"/>
  </r>
  <r>
    <x v="238"/>
    <x v="1"/>
    <x v="7"/>
    <x v="12"/>
    <s v="Male"/>
    <n v="96"/>
    <n v="961"/>
    <n v="1174"/>
    <n v="92256"/>
    <n v="112704"/>
    <n v="20448"/>
  </r>
  <r>
    <x v="239"/>
    <x v="1"/>
    <x v="5"/>
    <x v="1"/>
    <s v="Female"/>
    <n v="79"/>
    <n v="880"/>
    <n v="1403"/>
    <n v="69520"/>
    <n v="110837"/>
    <n v="41317"/>
  </r>
  <r>
    <x v="240"/>
    <x v="1"/>
    <x v="5"/>
    <x v="2"/>
    <s v="Female"/>
    <n v="62"/>
    <n v="936"/>
    <n v="1364"/>
    <n v="58032"/>
    <n v="84568"/>
    <n v="26536"/>
  </r>
  <r>
    <x v="241"/>
    <x v="1"/>
    <x v="5"/>
    <x v="3"/>
    <s v="Female"/>
    <n v="53"/>
    <n v="791"/>
    <n v="1253"/>
    <n v="41923"/>
    <n v="66409"/>
    <n v="24486"/>
  </r>
  <r>
    <x v="105"/>
    <x v="1"/>
    <x v="9"/>
    <x v="5"/>
    <s v="Female"/>
    <n v="74"/>
    <n v="636"/>
    <n v="955"/>
    <n v="47064"/>
    <n v="70670"/>
    <n v="23606"/>
  </r>
  <r>
    <x v="242"/>
    <x v="1"/>
    <x v="5"/>
    <x v="3"/>
    <s v="Female"/>
    <n v="56"/>
    <n v="740"/>
    <n v="1464"/>
    <n v="41440"/>
    <n v="81984"/>
    <n v="40544"/>
  </r>
  <r>
    <x v="243"/>
    <x v="1"/>
    <x v="5"/>
    <x v="4"/>
    <s v="Female"/>
    <n v="63"/>
    <n v="519"/>
    <n v="826"/>
    <n v="32697"/>
    <n v="52038"/>
    <n v="19341"/>
  </r>
  <r>
    <x v="108"/>
    <x v="1"/>
    <x v="9"/>
    <x v="14"/>
    <s v="Female"/>
    <n v="83"/>
    <n v="569"/>
    <n v="1232"/>
    <n v="47227"/>
    <n v="102256"/>
    <n v="55029"/>
  </r>
  <r>
    <x v="244"/>
    <x v="1"/>
    <x v="5"/>
    <x v="5"/>
    <s v="Female"/>
    <n v="73"/>
    <n v="857"/>
    <n v="1024"/>
    <n v="62561"/>
    <n v="74752"/>
    <n v="12191"/>
  </r>
  <r>
    <x v="245"/>
    <x v="1"/>
    <x v="5"/>
    <x v="3"/>
    <s v="Female"/>
    <n v="67"/>
    <n v="725"/>
    <n v="884"/>
    <n v="48575"/>
    <n v="59228"/>
    <n v="10653"/>
  </r>
  <r>
    <x v="246"/>
    <x v="1"/>
    <x v="5"/>
    <x v="15"/>
    <s v="Female"/>
    <n v="74"/>
    <n v="691"/>
    <n v="871"/>
    <n v="51134"/>
    <n v="64454"/>
    <n v="13320"/>
  </r>
  <r>
    <x v="247"/>
    <x v="1"/>
    <x v="5"/>
    <x v="14"/>
    <s v="Male"/>
    <n v="92"/>
    <n v="981"/>
    <n v="1157"/>
    <n v="90252"/>
    <n v="106444"/>
    <n v="16192"/>
  </r>
  <r>
    <x v="113"/>
    <x v="2"/>
    <x v="4"/>
    <x v="16"/>
    <s v="Male"/>
    <n v="23"/>
    <n v="663"/>
    <n v="1215"/>
    <n v="15249"/>
    <n v="27945"/>
    <n v="12696"/>
  </r>
  <r>
    <x v="248"/>
    <x v="1"/>
    <x v="5"/>
    <x v="8"/>
    <s v="Male"/>
    <n v="63"/>
    <n v="547"/>
    <n v="1150"/>
    <n v="34461"/>
    <n v="72450"/>
    <n v="37989"/>
  </r>
  <r>
    <x v="249"/>
    <x v="1"/>
    <x v="5"/>
    <x v="3"/>
    <s v="Male"/>
    <n v="69"/>
    <n v="531"/>
    <n v="1210"/>
    <n v="36639"/>
    <n v="83490"/>
    <n v="46851"/>
  </r>
  <r>
    <x v="250"/>
    <x v="1"/>
    <x v="5"/>
    <x v="13"/>
    <s v="Male"/>
    <n v="84"/>
    <n v="806"/>
    <n v="1242"/>
    <n v="67704"/>
    <n v="104328"/>
    <n v="36624"/>
  </r>
  <r>
    <x v="117"/>
    <x v="2"/>
    <x v="4"/>
    <x v="6"/>
    <s v="Female"/>
    <n v="26"/>
    <n v="878"/>
    <n v="1492"/>
    <n v="22828"/>
    <n v="38792"/>
    <n v="15964"/>
  </r>
  <r>
    <x v="251"/>
    <x v="1"/>
    <x v="7"/>
    <x v="16"/>
    <s v="Female"/>
    <n v="71"/>
    <n v="565"/>
    <n v="807"/>
    <n v="40115"/>
    <n v="57297"/>
    <n v="17182"/>
  </r>
  <r>
    <x v="119"/>
    <x v="2"/>
    <x v="4"/>
    <x v="7"/>
    <s v="Female"/>
    <n v="25"/>
    <n v="547"/>
    <n v="1342"/>
    <n v="13675"/>
    <n v="33550"/>
    <n v="19875"/>
  </r>
  <r>
    <x v="252"/>
    <x v="1"/>
    <x v="7"/>
    <x v="6"/>
    <s v="Female"/>
    <n v="90"/>
    <n v="634"/>
    <n v="1465"/>
    <n v="57060"/>
    <n v="131850"/>
    <n v="74790"/>
  </r>
  <r>
    <x v="253"/>
    <x v="1"/>
    <x v="5"/>
    <x v="7"/>
    <s v="Female"/>
    <n v="61"/>
    <n v="675"/>
    <n v="770"/>
    <n v="41175"/>
    <n v="46970"/>
    <n v="5795"/>
  </r>
  <r>
    <x v="254"/>
    <x v="1"/>
    <x v="5"/>
    <x v="5"/>
    <s v="Female"/>
    <n v="58"/>
    <n v="720"/>
    <n v="1356"/>
    <n v="41760"/>
    <n v="78648"/>
    <n v="36888"/>
  </r>
  <r>
    <x v="255"/>
    <x v="1"/>
    <x v="5"/>
    <x v="17"/>
    <s v="Female"/>
    <n v="60"/>
    <n v="676"/>
    <n v="768"/>
    <n v="40560"/>
    <n v="46080"/>
    <n v="5520"/>
  </r>
  <r>
    <x v="256"/>
    <x v="1"/>
    <x v="5"/>
    <x v="8"/>
    <s v="Female"/>
    <n v="91"/>
    <n v="808"/>
    <n v="928"/>
    <n v="73528"/>
    <n v="84448"/>
    <n v="10920"/>
  </r>
  <r>
    <x v="257"/>
    <x v="1"/>
    <x v="5"/>
    <x v="18"/>
    <s v="Female"/>
    <n v="99"/>
    <n v="528"/>
    <n v="985"/>
    <n v="52272"/>
    <n v="97515"/>
    <n v="45243"/>
  </r>
  <r>
    <x v="258"/>
    <x v="1"/>
    <x v="5"/>
    <x v="19"/>
    <s v="Female"/>
    <n v="73"/>
    <n v="783"/>
    <n v="903"/>
    <n v="57159"/>
    <n v="65919"/>
    <n v="8760"/>
  </r>
  <r>
    <x v="259"/>
    <x v="1"/>
    <x v="5"/>
    <x v="0"/>
    <s v="Male"/>
    <n v="59"/>
    <n v="638"/>
    <n v="1080"/>
    <n v="37642"/>
    <n v="63720"/>
    <n v="26078"/>
  </r>
  <r>
    <x v="260"/>
    <x v="1"/>
    <x v="5"/>
    <x v="2"/>
    <s v="Male"/>
    <n v="68"/>
    <n v="881"/>
    <n v="1266"/>
    <n v="59908"/>
    <n v="86088"/>
    <n v="26180"/>
  </r>
  <r>
    <x v="129"/>
    <x v="2"/>
    <x v="6"/>
    <x v="7"/>
    <s v="Female"/>
    <n v="22"/>
    <n v="606"/>
    <n v="1459"/>
    <n v="13332"/>
    <n v="32098"/>
    <n v="18766"/>
  </r>
  <r>
    <x v="261"/>
    <x v="1"/>
    <x v="7"/>
    <x v="3"/>
    <s v="Male"/>
    <n v="55"/>
    <n v="639"/>
    <n v="1311"/>
    <n v="35145"/>
    <n v="72105"/>
    <n v="36960"/>
  </r>
  <r>
    <x v="262"/>
    <x v="1"/>
    <x v="7"/>
    <x v="3"/>
    <s v="Male"/>
    <n v="52"/>
    <n v="718"/>
    <n v="919"/>
    <n v="37336"/>
    <n v="47788"/>
    <n v="10452"/>
  </r>
  <r>
    <x v="132"/>
    <x v="2"/>
    <x v="6"/>
    <x v="12"/>
    <s v="Male"/>
    <n v="28"/>
    <n v="507"/>
    <n v="1379"/>
    <n v="14196"/>
    <n v="38612"/>
    <n v="24416"/>
  </r>
  <r>
    <x v="263"/>
    <x v="1"/>
    <x v="7"/>
    <x v="4"/>
    <s v="Female"/>
    <n v="95"/>
    <n v="944"/>
    <n v="1263"/>
    <n v="89680"/>
    <n v="119985"/>
    <n v="30305"/>
  </r>
  <r>
    <x v="264"/>
    <x v="1"/>
    <x v="7"/>
    <x v="3"/>
    <s v="Female"/>
    <n v="99"/>
    <n v="523"/>
    <n v="1350"/>
    <n v="51777"/>
    <n v="133650"/>
    <n v="81873"/>
  </r>
  <r>
    <x v="265"/>
    <x v="1"/>
    <x v="7"/>
    <x v="15"/>
    <s v="Male"/>
    <n v="92"/>
    <n v="814"/>
    <n v="865"/>
    <n v="74888"/>
    <n v="79580"/>
    <n v="4692"/>
  </r>
  <r>
    <x v="266"/>
    <x v="1"/>
    <x v="7"/>
    <x v="8"/>
    <s v="Male"/>
    <n v="62"/>
    <n v="891"/>
    <n v="1170"/>
    <n v="55242"/>
    <n v="72540"/>
    <n v="17298"/>
  </r>
  <r>
    <x v="137"/>
    <x v="2"/>
    <x v="6"/>
    <x v="18"/>
    <s v="Male"/>
    <n v="29"/>
    <n v="989"/>
    <n v="836"/>
    <n v="28681"/>
    <n v="24244"/>
    <n v="-4437"/>
  </r>
  <r>
    <x v="267"/>
    <x v="1"/>
    <x v="7"/>
    <x v="4"/>
    <s v="Male"/>
    <n v="89"/>
    <n v="990"/>
    <n v="1047"/>
    <n v="88110"/>
    <n v="93183"/>
    <n v="5073"/>
  </r>
  <r>
    <x v="268"/>
    <x v="1"/>
    <x v="7"/>
    <x v="8"/>
    <s v="Male"/>
    <n v="61"/>
    <n v="907"/>
    <n v="1327"/>
    <n v="55327"/>
    <n v="80947"/>
    <n v="25620"/>
  </r>
  <r>
    <x v="140"/>
    <x v="1"/>
    <x v="5"/>
    <x v="1"/>
    <s v="Male"/>
    <n v="55"/>
    <n v="666"/>
    <n v="1358"/>
    <n v="36630"/>
    <n v="74690"/>
    <n v="38060"/>
  </r>
  <r>
    <x v="269"/>
    <x v="1"/>
    <x v="7"/>
    <x v="9"/>
    <s v="Female"/>
    <n v="52"/>
    <n v="766"/>
    <n v="1318"/>
    <n v="39832"/>
    <n v="68536"/>
    <n v="28704"/>
  </r>
  <r>
    <x v="270"/>
    <x v="1"/>
    <x v="7"/>
    <x v="4"/>
    <s v="Male"/>
    <n v="96"/>
    <n v="520"/>
    <n v="1208"/>
    <n v="49920"/>
    <n v="115968"/>
    <n v="66048"/>
  </r>
  <r>
    <x v="271"/>
    <x v="1"/>
    <x v="7"/>
    <x v="10"/>
    <s v="Male"/>
    <n v="90"/>
    <n v="792"/>
    <n v="818"/>
    <n v="71280"/>
    <n v="73620"/>
    <n v="2340"/>
  </r>
  <r>
    <x v="272"/>
    <x v="1"/>
    <x v="7"/>
    <x v="11"/>
    <s v="Male"/>
    <n v="98"/>
    <n v="711"/>
    <n v="1190"/>
    <n v="69678"/>
    <n v="116620"/>
    <n v="46942"/>
  </r>
  <r>
    <x v="145"/>
    <x v="1"/>
    <x v="5"/>
    <x v="7"/>
    <s v="Female"/>
    <n v="94"/>
    <n v="616"/>
    <n v="1200"/>
    <n v="57904"/>
    <n v="112800"/>
    <n v="54896"/>
  </r>
  <r>
    <x v="273"/>
    <x v="1"/>
    <x v="5"/>
    <x v="5"/>
    <s v="Female"/>
    <n v="93"/>
    <n v="660"/>
    <n v="880"/>
    <n v="61380"/>
    <n v="81840"/>
    <n v="20460"/>
  </r>
  <r>
    <x v="274"/>
    <x v="1"/>
    <x v="5"/>
    <x v="17"/>
    <s v="Female"/>
    <n v="59"/>
    <n v="623"/>
    <n v="1386"/>
    <n v="36757"/>
    <n v="81774"/>
    <n v="45017"/>
  </r>
  <r>
    <x v="275"/>
    <x v="1"/>
    <x v="5"/>
    <x v="18"/>
    <s v="Female"/>
    <n v="98"/>
    <n v="865"/>
    <n v="1260"/>
    <n v="84770"/>
    <n v="123480"/>
    <n v="38710"/>
  </r>
  <r>
    <x v="149"/>
    <x v="1"/>
    <x v="5"/>
    <x v="7"/>
    <s v="Female"/>
    <n v="67"/>
    <n v="898"/>
    <n v="1133"/>
    <n v="60166"/>
    <n v="75911"/>
    <n v="15745"/>
  </r>
  <r>
    <x v="276"/>
    <x v="1"/>
    <x v="5"/>
    <x v="19"/>
    <s v="Female"/>
    <n v="83"/>
    <n v="709"/>
    <n v="1206"/>
    <n v="58847"/>
    <n v="100098"/>
    <n v="41251"/>
  </r>
  <r>
    <x v="151"/>
    <x v="1"/>
    <x v="7"/>
    <x v="17"/>
    <s v="Female"/>
    <n v="72"/>
    <n v="603"/>
    <n v="941"/>
    <n v="43416"/>
    <n v="67752"/>
    <n v="24336"/>
  </r>
  <r>
    <x v="277"/>
    <x v="1"/>
    <x v="7"/>
    <x v="0"/>
    <s v="Female"/>
    <n v="69"/>
    <n v="657"/>
    <n v="1493"/>
    <n v="45333"/>
    <n v="103017"/>
    <n v="57684"/>
  </r>
  <r>
    <x v="278"/>
    <x v="1"/>
    <x v="7"/>
    <x v="1"/>
    <s v="Female"/>
    <n v="81"/>
    <n v="709"/>
    <n v="1180"/>
    <n v="57429"/>
    <n v="95580"/>
    <n v="38151"/>
  </r>
  <r>
    <x v="279"/>
    <x v="1"/>
    <x v="7"/>
    <x v="2"/>
    <s v="Female"/>
    <n v="61"/>
    <n v="547"/>
    <n v="1060"/>
    <n v="33367"/>
    <n v="64660"/>
    <n v="31293"/>
  </r>
  <r>
    <x v="280"/>
    <x v="1"/>
    <x v="7"/>
    <x v="3"/>
    <s v="Female"/>
    <n v="57"/>
    <n v="734"/>
    <n v="979"/>
    <n v="41838"/>
    <n v="55803"/>
    <n v="13965"/>
  </r>
  <r>
    <x v="156"/>
    <x v="1"/>
    <x v="7"/>
    <x v="1"/>
    <s v="Male"/>
    <n v="97"/>
    <n v="500"/>
    <n v="1417"/>
    <n v="48500"/>
    <n v="137449"/>
    <n v="88949"/>
  </r>
  <r>
    <x v="281"/>
    <x v="1"/>
    <x v="7"/>
    <x v="4"/>
    <s v="Male"/>
    <n v="60"/>
    <n v="937"/>
    <n v="948"/>
    <n v="56220"/>
    <n v="56880"/>
    <n v="660"/>
  </r>
  <r>
    <x v="282"/>
    <x v="1"/>
    <x v="1"/>
    <x v="17"/>
    <s v="Male"/>
    <n v="71"/>
    <n v="777"/>
    <n v="1034"/>
    <n v="55167"/>
    <n v="73414"/>
    <n v="18247"/>
  </r>
  <r>
    <x v="283"/>
    <x v="1"/>
    <x v="1"/>
    <x v="8"/>
    <s v="Male"/>
    <n v="52"/>
    <n v="509"/>
    <n v="764"/>
    <n v="26468"/>
    <n v="39728"/>
    <n v="13260"/>
  </r>
  <r>
    <x v="284"/>
    <x v="1"/>
    <x v="1"/>
    <x v="18"/>
    <s v="Female"/>
    <n v="66"/>
    <n v="701"/>
    <n v="1204"/>
    <n v="46266"/>
    <n v="79464"/>
    <n v="33198"/>
  </r>
  <r>
    <x v="285"/>
    <x v="1"/>
    <x v="1"/>
    <x v="19"/>
    <s v="Male"/>
    <n v="97"/>
    <n v="654"/>
    <n v="839"/>
    <n v="63438"/>
    <n v="81383"/>
    <n v="17945"/>
  </r>
  <r>
    <x v="286"/>
    <x v="1"/>
    <x v="9"/>
    <x v="3"/>
    <s v="Female"/>
    <n v="63"/>
    <n v="833"/>
    <n v="1040"/>
    <n v="52479"/>
    <n v="65520"/>
    <n v="13041"/>
  </r>
  <r>
    <x v="163"/>
    <x v="0"/>
    <x v="0"/>
    <x v="15"/>
    <s v="Female"/>
    <n v="12"/>
    <n v="864"/>
    <n v="953"/>
    <n v="10368"/>
    <n v="11436"/>
    <n v="1068"/>
  </r>
  <r>
    <x v="287"/>
    <x v="1"/>
    <x v="9"/>
    <x v="15"/>
    <s v="Female"/>
    <n v="74"/>
    <n v="743"/>
    <n v="974"/>
    <n v="54982"/>
    <n v="72076"/>
    <n v="17094"/>
  </r>
  <r>
    <x v="165"/>
    <x v="0"/>
    <x v="0"/>
    <x v="8"/>
    <s v="Female"/>
    <n v="13"/>
    <n v="839"/>
    <n v="1025"/>
    <n v="10907"/>
    <n v="13325"/>
    <n v="2418"/>
  </r>
  <r>
    <x v="288"/>
    <x v="1"/>
    <x v="9"/>
    <x v="8"/>
    <s v="Female"/>
    <n v="86"/>
    <n v="593"/>
    <n v="1425"/>
    <n v="50998"/>
    <n v="122550"/>
    <n v="71552"/>
  </r>
  <r>
    <x v="167"/>
    <x v="0"/>
    <x v="0"/>
    <x v="2"/>
    <s v="Female"/>
    <n v="11"/>
    <n v="944"/>
    <n v="949"/>
    <n v="10384"/>
    <n v="10439"/>
    <n v="55"/>
  </r>
  <r>
    <x v="289"/>
    <x v="1"/>
    <x v="9"/>
    <x v="3"/>
    <s v="Female"/>
    <n v="92"/>
    <n v="609"/>
    <n v="792"/>
    <n v="56028"/>
    <n v="72864"/>
    <n v="16836"/>
  </r>
  <r>
    <x v="290"/>
    <x v="1"/>
    <x v="9"/>
    <x v="13"/>
    <s v="Female"/>
    <n v="96"/>
    <n v="674"/>
    <n v="1178"/>
    <n v="64704"/>
    <n v="113088"/>
    <n v="48384"/>
  </r>
  <r>
    <x v="291"/>
    <x v="1"/>
    <x v="5"/>
    <x v="0"/>
    <s v="Male"/>
    <n v="65"/>
    <n v="804"/>
    <n v="876"/>
    <n v="52260"/>
    <n v="56940"/>
    <n v="4680"/>
  </r>
  <r>
    <x v="292"/>
    <x v="1"/>
    <x v="5"/>
    <x v="2"/>
    <s v="Female"/>
    <n v="83"/>
    <n v="541"/>
    <n v="1072"/>
    <n v="44903"/>
    <n v="88976"/>
    <n v="44073"/>
  </r>
  <r>
    <x v="293"/>
    <x v="1"/>
    <x v="5"/>
    <x v="3"/>
    <s v="Female"/>
    <n v="89"/>
    <n v="545"/>
    <n v="978"/>
    <n v="48505"/>
    <n v="87042"/>
    <n v="38537"/>
  </r>
  <r>
    <x v="294"/>
    <x v="1"/>
    <x v="5"/>
    <x v="6"/>
    <s v="Female"/>
    <n v="80"/>
    <n v="671"/>
    <n v="1251"/>
    <n v="53680"/>
    <n v="100080"/>
    <n v="46400"/>
  </r>
  <r>
    <x v="174"/>
    <x v="1"/>
    <x v="7"/>
    <x v="12"/>
    <s v="Male"/>
    <n v="82"/>
    <n v="822"/>
    <n v="1445"/>
    <n v="67404"/>
    <n v="118490"/>
    <n v="51086"/>
  </r>
  <r>
    <x v="295"/>
    <x v="1"/>
    <x v="5"/>
    <x v="7"/>
    <s v="Female"/>
    <n v="68"/>
    <n v="815"/>
    <n v="808"/>
    <n v="55420"/>
    <n v="54944"/>
    <n v="-476"/>
  </r>
  <r>
    <x v="296"/>
    <x v="1"/>
    <x v="5"/>
    <x v="13"/>
    <s v="Female"/>
    <n v="88"/>
    <n v="674"/>
    <n v="891"/>
    <n v="59312"/>
    <n v="78408"/>
    <n v="19096"/>
  </r>
  <r>
    <x v="297"/>
    <x v="1"/>
    <x v="5"/>
    <x v="13"/>
    <s v="Female"/>
    <n v="64"/>
    <n v="665"/>
    <n v="783"/>
    <n v="42560"/>
    <n v="50112"/>
    <n v="7552"/>
  </r>
  <r>
    <x v="298"/>
    <x v="1"/>
    <x v="5"/>
    <x v="12"/>
    <s v="Female"/>
    <n v="81"/>
    <n v="801"/>
    <n v="846"/>
    <n v="64881"/>
    <n v="68526"/>
    <n v="3645"/>
  </r>
  <r>
    <x v="299"/>
    <x v="1"/>
    <x v="5"/>
    <x v="5"/>
    <s v="Female"/>
    <n v="74"/>
    <n v="734"/>
    <n v="886"/>
    <n v="54316"/>
    <n v="65564"/>
    <n v="11248"/>
  </r>
  <r>
    <x v="180"/>
    <x v="0"/>
    <x v="2"/>
    <x v="19"/>
    <s v="Female"/>
    <n v="10"/>
    <n v="519"/>
    <n v="1420"/>
    <n v="5190"/>
    <n v="14200"/>
    <n v="9010"/>
  </r>
  <r>
    <x v="300"/>
    <x v="1"/>
    <x v="7"/>
    <x v="8"/>
    <s v="Female"/>
    <n v="94"/>
    <n v="564"/>
    <n v="941"/>
    <n v="53016"/>
    <n v="88454"/>
    <n v="35438"/>
  </r>
  <r>
    <x v="301"/>
    <x v="1"/>
    <x v="7"/>
    <x v="18"/>
    <s v="Female"/>
    <n v="50"/>
    <n v="545"/>
    <n v="1050"/>
    <n v="27250"/>
    <n v="52500"/>
    <n v="25250"/>
  </r>
  <r>
    <x v="302"/>
    <x v="1"/>
    <x v="7"/>
    <x v="19"/>
    <s v="Female"/>
    <n v="60"/>
    <n v="783"/>
    <n v="1422"/>
    <n v="46980"/>
    <n v="85320"/>
    <n v="38340"/>
  </r>
  <r>
    <x v="303"/>
    <x v="1"/>
    <x v="7"/>
    <x v="0"/>
    <s v="Female"/>
    <n v="63"/>
    <n v="746"/>
    <n v="1075"/>
    <n v="46998"/>
    <n v="67725"/>
    <n v="20727"/>
  </r>
  <r>
    <x v="304"/>
    <x v="1"/>
    <x v="7"/>
    <x v="2"/>
    <s v="Male"/>
    <n v="86"/>
    <n v="834"/>
    <n v="1372"/>
    <n v="71724"/>
    <n v="117992"/>
    <n v="46268"/>
  </r>
  <r>
    <x v="186"/>
    <x v="0"/>
    <x v="2"/>
    <x v="4"/>
    <s v="Female"/>
    <n v="17"/>
    <n v="922"/>
    <n v="899"/>
    <n v="15674"/>
    <n v="15283"/>
    <n v="-391"/>
  </r>
  <r>
    <x v="305"/>
    <x v="1"/>
    <x v="7"/>
    <x v="3"/>
    <s v="Male"/>
    <n v="51"/>
    <n v="944"/>
    <n v="1062"/>
    <n v="48144"/>
    <n v="54162"/>
    <n v="6018"/>
  </r>
  <r>
    <x v="306"/>
    <x v="1"/>
    <x v="7"/>
    <x v="3"/>
    <s v="Male"/>
    <n v="75"/>
    <n v="547"/>
    <n v="1203"/>
    <n v="41025"/>
    <n v="90225"/>
    <n v="49200"/>
  </r>
  <r>
    <x v="307"/>
    <x v="1"/>
    <x v="7"/>
    <x v="4"/>
    <s v="Male"/>
    <n v="64"/>
    <n v="918"/>
    <n v="907"/>
    <n v="58752"/>
    <n v="58048"/>
    <n v="-704"/>
  </r>
  <r>
    <x v="190"/>
    <x v="0"/>
    <x v="2"/>
    <x v="5"/>
    <s v="Male"/>
    <n v="12"/>
    <n v="519"/>
    <n v="1212"/>
    <n v="6228"/>
    <n v="14544"/>
    <n v="8316"/>
  </r>
  <r>
    <x v="308"/>
    <x v="1"/>
    <x v="7"/>
    <x v="5"/>
    <s v="Female"/>
    <n v="74"/>
    <n v="965"/>
    <n v="906"/>
    <n v="71410"/>
    <n v="67044"/>
    <n v="-4366"/>
  </r>
  <r>
    <x v="309"/>
    <x v="1"/>
    <x v="5"/>
    <x v="6"/>
    <s v="Male"/>
    <n v="100"/>
    <n v="667"/>
    <n v="1109"/>
    <n v="66700"/>
    <n v="110900"/>
    <n v="44200"/>
  </r>
  <r>
    <x v="310"/>
    <x v="1"/>
    <x v="5"/>
    <x v="7"/>
    <s v="Male"/>
    <n v="60"/>
    <n v="509"/>
    <n v="954"/>
    <n v="30540"/>
    <n v="57240"/>
    <n v="26700"/>
  </r>
  <r>
    <x v="311"/>
    <x v="1"/>
    <x v="5"/>
    <x v="7"/>
    <s v="Male"/>
    <n v="93"/>
    <n v="814"/>
    <n v="832"/>
    <n v="75702"/>
    <n v="77376"/>
    <n v="1674"/>
  </r>
  <r>
    <x v="312"/>
    <x v="1"/>
    <x v="5"/>
    <x v="13"/>
    <s v="Female"/>
    <n v="86"/>
    <n v="567"/>
    <n v="1491"/>
    <n v="48762"/>
    <n v="128226"/>
    <n v="79464"/>
  </r>
  <r>
    <x v="313"/>
    <x v="1"/>
    <x v="5"/>
    <x v="13"/>
    <s v="Male"/>
    <n v="54"/>
    <n v="674"/>
    <n v="787"/>
    <n v="36396"/>
    <n v="42498"/>
    <n v="6102"/>
  </r>
  <r>
    <x v="314"/>
    <x v="1"/>
    <x v="7"/>
    <x v="7"/>
    <s v="Male"/>
    <n v="98"/>
    <n v="950"/>
    <n v="1426"/>
    <n v="93100"/>
    <n v="139748"/>
    <n v="46648"/>
  </r>
  <r>
    <x v="315"/>
    <x v="1"/>
    <x v="7"/>
    <x v="5"/>
    <s v="Male"/>
    <n v="82"/>
    <n v="916"/>
    <n v="1461"/>
    <n v="75112"/>
    <n v="119802"/>
    <n v="44690"/>
  </r>
  <r>
    <x v="316"/>
    <x v="1"/>
    <x v="7"/>
    <x v="17"/>
    <s v="Female"/>
    <n v="66"/>
    <n v="710"/>
    <n v="1034"/>
    <n v="46860"/>
    <n v="68244"/>
    <n v="21384"/>
  </r>
  <r>
    <x v="317"/>
    <x v="1"/>
    <x v="7"/>
    <x v="8"/>
    <s v="Female"/>
    <n v="77"/>
    <n v="922"/>
    <n v="1400"/>
    <n v="70994"/>
    <n v="107800"/>
    <n v="36806"/>
  </r>
  <r>
    <x v="195"/>
    <x v="2"/>
    <x v="6"/>
    <x v="5"/>
    <s v="Female"/>
    <n v="22"/>
    <n v="745"/>
    <n v="1153"/>
    <n v="16390"/>
    <n v="25366"/>
    <n v="8976"/>
  </r>
  <r>
    <x v="318"/>
    <x v="1"/>
    <x v="7"/>
    <x v="18"/>
    <s v="Female"/>
    <n v="93"/>
    <n v="887"/>
    <n v="993"/>
    <n v="82491"/>
    <n v="92349"/>
    <n v="9858"/>
  </r>
  <r>
    <x v="319"/>
    <x v="1"/>
    <x v="5"/>
    <x v="7"/>
    <s v="Female"/>
    <n v="78"/>
    <n v="709"/>
    <n v="1494"/>
    <n v="55302"/>
    <n v="116532"/>
    <n v="61230"/>
  </r>
  <r>
    <x v="320"/>
    <x v="1"/>
    <x v="5"/>
    <x v="7"/>
    <s v="Female"/>
    <n v="87"/>
    <n v="714"/>
    <n v="926"/>
    <n v="62118"/>
    <n v="80562"/>
    <n v="18444"/>
  </r>
  <r>
    <x v="196"/>
    <x v="1"/>
    <x v="5"/>
    <x v="13"/>
    <s v="Female"/>
    <n v="90"/>
    <n v="983"/>
    <n v="924"/>
    <n v="88470"/>
    <n v="83160"/>
    <n v="-5310"/>
  </r>
  <r>
    <x v="321"/>
    <x v="1"/>
    <x v="5"/>
    <x v="13"/>
    <s v="Female"/>
    <n v="78"/>
    <n v="789"/>
    <n v="1064"/>
    <n v="61542"/>
    <n v="82992"/>
    <n v="21450"/>
  </r>
  <r>
    <x v="322"/>
    <x v="1"/>
    <x v="5"/>
    <x v="12"/>
    <s v="Male"/>
    <n v="74"/>
    <n v="835"/>
    <n v="1096"/>
    <n v="61790"/>
    <n v="81104"/>
    <n v="19314"/>
  </r>
  <r>
    <x v="323"/>
    <x v="1"/>
    <x v="5"/>
    <x v="7"/>
    <s v="Male"/>
    <n v="94"/>
    <n v="952"/>
    <n v="1425"/>
    <n v="89488"/>
    <n v="133950"/>
    <n v="44462"/>
  </r>
  <r>
    <x v="324"/>
    <x v="1"/>
    <x v="5"/>
    <x v="5"/>
    <s v="Male"/>
    <n v="55"/>
    <n v="558"/>
    <n v="1203"/>
    <n v="30690"/>
    <n v="66165"/>
    <n v="35475"/>
  </r>
  <r>
    <x v="325"/>
    <x v="1"/>
    <x v="5"/>
    <x v="17"/>
    <s v="Male"/>
    <n v="56"/>
    <n v="562"/>
    <n v="1341"/>
    <n v="31472"/>
    <n v="75096"/>
    <n v="43624"/>
  </r>
  <r>
    <x v="326"/>
    <x v="1"/>
    <x v="5"/>
    <x v="8"/>
    <s v="Female"/>
    <n v="94"/>
    <n v="513"/>
    <n v="1318"/>
    <n v="48222"/>
    <n v="123892"/>
    <n v="75670"/>
  </r>
  <r>
    <x v="197"/>
    <x v="1"/>
    <x v="5"/>
    <x v="18"/>
    <s v="Male"/>
    <n v="76"/>
    <n v="526"/>
    <n v="1260"/>
    <n v="39976"/>
    <n v="95760"/>
    <n v="55784"/>
  </r>
  <r>
    <x v="327"/>
    <x v="1"/>
    <x v="5"/>
    <x v="19"/>
    <s v="Male"/>
    <n v="61"/>
    <n v="545"/>
    <n v="915"/>
    <n v="33245"/>
    <n v="55815"/>
    <n v="22570"/>
  </r>
  <r>
    <x v="328"/>
    <x v="1"/>
    <x v="5"/>
    <x v="0"/>
    <s v="Male"/>
    <n v="99"/>
    <n v="943"/>
    <n v="823"/>
    <n v="93357"/>
    <n v="81477"/>
    <n v="-11880"/>
  </r>
  <r>
    <x v="329"/>
    <x v="1"/>
    <x v="7"/>
    <x v="1"/>
    <s v="Male"/>
    <n v="84"/>
    <n v="738"/>
    <n v="1080"/>
    <n v="61992"/>
    <n v="90720"/>
    <n v="287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560FCA-250C-402A-9C4F-D7AD26D62D19}" name="Total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4:B18" firstHeaderRow="1" firstDataRow="1" firstDataCol="1"/>
  <pivotFields count="14">
    <pivotField numFmtId="16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axis="axisRow" showAll="0">
      <items count="4">
        <item x="0"/>
        <item x="2"/>
        <item x="1"/>
        <item t="default"/>
      </items>
    </pivotField>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4">
    <i>
      <x/>
    </i>
    <i>
      <x v="1"/>
    </i>
    <i>
      <x v="2"/>
    </i>
    <i t="grand">
      <x/>
    </i>
  </rowItems>
  <colItems count="1">
    <i/>
  </colItems>
  <dataFields count="1">
    <dataField name="Sum of Sale Price" fld="9" baseField="0" baseItem="0"/>
  </dataField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56E5AC-B34B-4910-949F-23AF2465F1D0}" name="Total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14:L18" firstHeaderRow="1" firstDataRow="1" firstDataCol="1"/>
  <pivotFields count="14">
    <pivotField numFmtId="16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axis="axisRow" showAll="0">
      <items count="4">
        <item x="0"/>
        <item x="2"/>
        <item x="1"/>
        <item t="default"/>
      </items>
    </pivotField>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4">
    <i>
      <x/>
    </i>
    <i>
      <x v="1"/>
    </i>
    <i>
      <x v="2"/>
    </i>
    <i t="grand">
      <x/>
    </i>
  </rowItems>
  <colItems count="1">
    <i/>
  </colItems>
  <dataFields count="1">
    <dataField name="Sum of Profit" fld="10" baseField="0" baseItem="0"/>
  </dataFields>
  <chartFormats count="8">
    <chartFormat chart="5"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 chart="5" format="1">
      <pivotArea type="data" outline="0" fieldPosition="0">
        <references count="2">
          <reference field="4294967294" count="1" selected="0">
            <x v="0"/>
          </reference>
          <reference field="1" count="1" selected="0">
            <x v="1"/>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0786A5-DA9E-48F9-A393-CE20EE4360A9}" name="Total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14:G18" firstHeaderRow="1" firstDataRow="1" firstDataCol="1"/>
  <pivotFields count="14">
    <pivotField numFmtId="16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axis="axisRow" showAll="0">
      <items count="4">
        <item x="0"/>
        <item x="2"/>
        <item x="1"/>
        <item t="default"/>
      </items>
    </pivotField>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4">
    <i>
      <x/>
    </i>
    <i>
      <x v="1"/>
    </i>
    <i>
      <x v="2"/>
    </i>
    <i t="grand">
      <x/>
    </i>
  </rowItems>
  <colItems count="1">
    <i/>
  </colItems>
  <dataFields count="1">
    <dataField name="Sum of Purchase Cost" fld="8" baseField="0" baseItem="0"/>
  </dataFields>
  <chartFormats count="8">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3C1642-A0D3-443A-A58B-8295B9F86A13}" name="Month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D9:F21" firstHeaderRow="0" firstDataRow="1" firstDataCol="1"/>
  <pivotFields count="14">
    <pivotField numFmtId="16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items count="4">
        <item x="0"/>
        <item x="2"/>
        <item x="1"/>
        <item t="default"/>
      </items>
    </pivotField>
    <pivotField showAll="0"/>
    <pivotField showAll="0"/>
    <pivotField showAll="0"/>
    <pivotField showAll="0"/>
    <pivotField showAll="0"/>
    <pivotField showAll="0"/>
    <pivotField showAll="0"/>
    <pivotField dataFiel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12">
    <i>
      <x v="1"/>
    </i>
    <i>
      <x v="2"/>
    </i>
    <i>
      <x v="4"/>
    </i>
    <i>
      <x v="5"/>
    </i>
    <i>
      <x v="6"/>
    </i>
    <i>
      <x v="7"/>
    </i>
    <i>
      <x v="8"/>
    </i>
    <i>
      <x v="9"/>
    </i>
    <i>
      <x v="10"/>
    </i>
    <i>
      <x v="11"/>
    </i>
    <i>
      <x v="12"/>
    </i>
    <i t="grand">
      <x/>
    </i>
  </rowItems>
  <colFields count="1">
    <field x="-2"/>
  </colFields>
  <colItems count="2">
    <i>
      <x/>
    </i>
    <i i="1">
      <x v="1"/>
    </i>
  </colItems>
  <dataFields count="2">
    <dataField name="Sum of Sale Price" fld="9" baseField="0" baseItem="0"/>
    <dataField name="Sum of Profit" fld="10" showDataAs="percentOfTotal" baseField="0" baseItem="0" numFmtId="10"/>
  </dataFields>
  <chartFormats count="6">
    <chartFormat chart="20" format="9"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1"/>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43" format="4"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BCB1FB-1A8A-419E-9B22-C847D5133CCF}" name="Product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4:E16" firstHeaderRow="0" firstDataRow="1" firstDataCol="1"/>
  <pivotFields count="14">
    <pivotField numFmtId="16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items count="4">
        <item x="0"/>
        <item x="2"/>
        <item x="1"/>
        <item t="default"/>
      </items>
    </pivotField>
    <pivotField axis="axisRow" showAll="0">
      <items count="12">
        <item x="6"/>
        <item x="0"/>
        <item x="10"/>
        <item x="8"/>
        <item x="2"/>
        <item x="9"/>
        <item x="5"/>
        <item x="3"/>
        <item x="7"/>
        <item x="4"/>
        <item x="1"/>
        <item t="default"/>
      </items>
    </pivotField>
    <pivotField showAll="0"/>
    <pivotField showAll="0"/>
    <pivotField showAll="0"/>
    <pivotField showAll="0"/>
    <pivotField showAll="0"/>
    <pivotField showAll="0"/>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Sum of Sale Price" fld="9" baseField="0" baseItem="0"/>
    <dataField name="Sum of Profit" fld="10" showDataAs="percentOfTotal" baseField="0" baseItem="0" numFmtId="10"/>
  </dataFields>
  <chartFormats count="6">
    <chartFormat chart="7"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13E66D-CD50-44CF-A481-945B4A9B9853}" name="State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7:E28" firstHeaderRow="1" firstDataRow="1" firstDataCol="1"/>
  <pivotFields count="14">
    <pivotField numFmtId="16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items count="4">
        <item x="0"/>
        <item x="2"/>
        <item x="1"/>
        <item t="default"/>
      </items>
    </pivotField>
    <pivotField showAll="0">
      <items count="12">
        <item x="6"/>
        <item x="0"/>
        <item x="10"/>
        <item x="8"/>
        <item x="2"/>
        <item x="9"/>
        <item x="5"/>
        <item x="3"/>
        <item x="7"/>
        <item x="4"/>
        <item x="1"/>
        <item t="default"/>
      </items>
    </pivotField>
    <pivotField axis="axisRow" showAll="0">
      <items count="21">
        <item x="14"/>
        <item x="10"/>
        <item x="0"/>
        <item x="11"/>
        <item x="9"/>
        <item x="2"/>
        <item x="6"/>
        <item x="18"/>
        <item x="5"/>
        <item x="15"/>
        <item x="17"/>
        <item x="4"/>
        <item x="8"/>
        <item x="1"/>
        <item x="12"/>
        <item x="13"/>
        <item x="16"/>
        <item x="7"/>
        <item x="19"/>
        <item x="3"/>
        <item t="default"/>
      </items>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 Price" fld="9" baseField="0" baseItem="0"/>
  </dataFields>
  <chartFormats count="3">
    <chartFormat chart="7"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496DC81-A37D-42AC-85D6-177C89875FE3}" sourceName="Category">
  <pivotTables>
    <pivotTable tabId="2" name="Totalsale"/>
    <pivotTable tabId="2" name="Totalpurchase"/>
    <pivotTable tabId="2" name="Totalprofit"/>
    <pivotTable tabId="5" name="Monthwise"/>
    <pivotTable tabId="7" name="Productwise"/>
    <pivotTable tabId="8" name="Statewise"/>
  </pivotTables>
  <data>
    <tabular pivotCacheId="163302735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33C6EB0-4FCC-438E-A6E4-E7F1FFFC6DFE}"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2C1BF5E-D4A3-4E6E-BE31-BA941F86369B}"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5F044E-AEAD-45D5-802E-335184F1DC1D}" name="Table2" displayName="Table2" ref="A3:K995" totalsRowShown="0">
  <autoFilter ref="A3:K995" xr:uid="{2C5F044E-AEAD-45D5-802E-335184F1DC1D}"/>
  <tableColumns count="11">
    <tableColumn id="1" xr3:uid="{D118A3EC-1FE8-42DF-BEC7-3C993416AB73}" name="date" dataDxfId="25"/>
    <tableColumn id="2" xr3:uid="{93DC8D01-B976-4C80-B4DB-B8C514B151AF}" name="Category"/>
    <tableColumn id="3" xr3:uid="{2B278C29-033E-4512-9835-2186F06B70FB}" name="Product Name"/>
    <tableColumn id="4" xr3:uid="{90128295-4E99-455E-8EF0-630F3DDB1CCE}" name="State"/>
    <tableColumn id="5" xr3:uid="{D6709FF1-B53A-4BD4-81DE-60F8B0366B01}" name="Gender"/>
    <tableColumn id="6" xr3:uid="{0243AD6D-4AAC-417C-86AC-84390C957705}" name="Quantity"/>
    <tableColumn id="7" xr3:uid="{578E6BE2-5F10-4514-B189-9C64602386FF}" name="Cost"/>
    <tableColumn id="8" xr3:uid="{32C67C39-010E-4DAA-A54C-738193BE323A}" name="Price"/>
    <tableColumn id="9" xr3:uid="{EF966287-6C89-4133-88D9-4D51CDD02347}" name="Purchase Cost"/>
    <tableColumn id="10" xr3:uid="{4FAD96AA-7472-413B-BCF5-FC57204E4713}" name="Sale Price"/>
    <tableColumn id="11" xr3:uid="{7A34D470-C298-4B3D-8C52-FB02CC510BE4}"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91EBCC-FAE7-4922-ADFF-B604FAC0D775}" name="Table1" displayName="Table1" ref="A1:K993" totalsRowShown="0" headerRowDxfId="24" dataDxfId="22" headerRowBorderDxfId="23" tableBorderDxfId="21">
  <autoFilter ref="A1:K993" xr:uid="{6291EBCC-FAE7-4922-ADFF-B604FAC0D775}"/>
  <tableColumns count="11">
    <tableColumn id="1" xr3:uid="{5FABC31A-2BD5-4812-A509-C0C7994AF1C9}" name="date" dataDxfId="20"/>
    <tableColumn id="4" xr3:uid="{818BD14E-6934-4E99-817C-6637DE565A21}" name="Category" dataDxfId="19"/>
    <tableColumn id="5" xr3:uid="{8F4191F7-A88E-4710-AADF-16C85C30393F}" name="Product Name" dataDxfId="18"/>
    <tableColumn id="6" xr3:uid="{E6AF0F13-A033-4EDB-B2F8-57B466F25085}" name="State" dataDxfId="17"/>
    <tableColumn id="7" xr3:uid="{FE12FA81-033F-4B39-941E-B5BD049177EE}" name="Gender" dataDxfId="16"/>
    <tableColumn id="8" xr3:uid="{46E4FC49-4D61-4E26-9529-9DB5435D1C26}" name="Quantity" dataDxfId="15"/>
    <tableColumn id="9" xr3:uid="{6B787F17-9503-4243-922F-43FCA456D497}" name="Cost" dataDxfId="14"/>
    <tableColumn id="10" xr3:uid="{D247650F-92E2-42D4-99C6-A9DEF874CF13}" name="Price" dataDxfId="13"/>
    <tableColumn id="11" xr3:uid="{47D96CDF-2FEC-4EBC-9818-878D69814B2A}" name="Purchase Cost" dataDxfId="12">
      <calculatedColumnFormula>F2*G2</calculatedColumnFormula>
    </tableColumn>
    <tableColumn id="12" xr3:uid="{1A10EAEA-D808-4762-A166-11B1CE8CF6F9}" name="Sale Price" dataDxfId="11">
      <calculatedColumnFormula>F2*H2</calculatedColumnFormula>
    </tableColumn>
    <tableColumn id="13" xr3:uid="{2AEE2222-3A34-4C7A-A365-EBBBD3869F62}" name="Profit" dataDxfId="10">
      <calculatedColumnFormula>J2-I2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02F5A0-0B85-47E5-8093-071EA18FA261}" name="Table3" displayName="Table3" ref="H4:J15" totalsRowShown="0" headerRowDxfId="9" headerRowBorderDxfId="8">
  <autoFilter ref="H4:J15" xr:uid="{E202F5A0-0B85-47E5-8093-071EA18FA261}"/>
  <tableColumns count="3">
    <tableColumn id="1" xr3:uid="{177C55B3-ABBB-4EF5-AA77-07CF938CB87F}" name="Row Labels" dataDxfId="7"/>
    <tableColumn id="2" xr3:uid="{298CDA07-F44F-4FD5-AC7F-C2369EC16472}" name="Sum of Sale Price" dataDxfId="6">
      <calculatedColumnFormula>IFERROR(GETPIVOTDATA("Sum of Sale Price",$C$4,"Product Name",Table3[[#This Row],[Row Labels]]), " ")</calculatedColumnFormula>
    </tableColumn>
    <tableColumn id="3" xr3:uid="{3320FBFD-855D-4DA3-89F7-D037A035EB86}" name="Sum of Profit" dataDxfId="5">
      <calculatedColumnFormula>IFERROR(GETPIVOTDATA("Sum of Profit",$C$4,"Product Name",H5)," ")</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F74E5F9-5321-49FD-87C8-B392940045A1}" name="Table5" displayName="Table5" ref="H7:I27" totalsRowShown="0" headerRowDxfId="4" dataDxfId="2" headerRowBorderDxfId="3">
  <autoFilter ref="H7:I27" xr:uid="{DF74E5F9-5321-49FD-87C8-B392940045A1}"/>
  <tableColumns count="2">
    <tableColumn id="1" xr3:uid="{F5AE7122-404E-4C75-AC8F-2105A376A295}" name="Row Labels" dataDxfId="1"/>
    <tableColumn id="2" xr3:uid="{69CBC449-1EDC-4217-82A2-32201FC60507}" name="Sum of Sale Price" dataDxfId="0">
      <calculatedColumnFormula>IFERROR(GETPIVOTDATA("Sale Price",$D$7,"State",H8),"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523D8-7724-4A07-8E34-A966C2CFBE7D}">
  <dimension ref="A1:K995"/>
  <sheetViews>
    <sheetView workbookViewId="0">
      <selection activeCell="N17" sqref="N17"/>
    </sheetView>
  </sheetViews>
  <sheetFormatPr defaultRowHeight="14.4" x14ac:dyDescent="0.3"/>
  <cols>
    <col min="1" max="1" width="10.33203125" bestFit="1" customWidth="1"/>
    <col min="2" max="2" width="10.77734375" bestFit="1" customWidth="1"/>
    <col min="3" max="3" width="15.44140625" bestFit="1" customWidth="1"/>
    <col min="4" max="4" width="15.5546875" bestFit="1" customWidth="1"/>
    <col min="5" max="5" width="9.33203125" bestFit="1" customWidth="1"/>
    <col min="6" max="6" width="10.5546875" bestFit="1" customWidth="1"/>
    <col min="7" max="8" width="9" bestFit="1" customWidth="1"/>
    <col min="9" max="9" width="15" bestFit="1" customWidth="1"/>
    <col min="10" max="10" width="11.21875" bestFit="1" customWidth="1"/>
    <col min="11" max="11" width="9" bestFit="1" customWidth="1"/>
  </cols>
  <sheetData>
    <row r="1" spans="1:11" x14ac:dyDescent="0.3">
      <c r="A1" s="11" t="s">
        <v>48</v>
      </c>
    </row>
    <row r="3" spans="1:11" x14ac:dyDescent="0.3">
      <c r="A3" t="s">
        <v>0</v>
      </c>
      <c r="B3" t="s">
        <v>1</v>
      </c>
      <c r="C3" t="s">
        <v>2</v>
      </c>
      <c r="D3" t="s">
        <v>3</v>
      </c>
      <c r="E3" t="s">
        <v>4</v>
      </c>
      <c r="F3" t="s">
        <v>5</v>
      </c>
      <c r="G3" t="s">
        <v>6</v>
      </c>
      <c r="H3" t="s">
        <v>7</v>
      </c>
      <c r="I3" t="s">
        <v>8</v>
      </c>
      <c r="J3" t="s">
        <v>9</v>
      </c>
      <c r="K3" t="s">
        <v>10</v>
      </c>
    </row>
    <row r="4" spans="1:11" x14ac:dyDescent="0.3">
      <c r="A4" s="10">
        <v>45454</v>
      </c>
      <c r="B4" t="s">
        <v>11</v>
      </c>
      <c r="C4" t="s">
        <v>12</v>
      </c>
      <c r="D4" t="s">
        <v>13</v>
      </c>
      <c r="E4" t="s">
        <v>14</v>
      </c>
      <c r="F4">
        <v>17</v>
      </c>
      <c r="G4">
        <v>938</v>
      </c>
      <c r="H4">
        <v>938</v>
      </c>
      <c r="I4">
        <v>15946</v>
      </c>
      <c r="J4">
        <v>15946</v>
      </c>
      <c r="K4">
        <v>0</v>
      </c>
    </row>
    <row r="5" spans="1:11" x14ac:dyDescent="0.3">
      <c r="A5" s="10">
        <v>45455</v>
      </c>
      <c r="B5" t="s">
        <v>11</v>
      </c>
      <c r="C5" t="s">
        <v>12</v>
      </c>
      <c r="D5" t="s">
        <v>15</v>
      </c>
      <c r="E5" t="s">
        <v>14</v>
      </c>
      <c r="F5">
        <v>18</v>
      </c>
      <c r="G5">
        <v>920</v>
      </c>
      <c r="H5">
        <v>1360</v>
      </c>
      <c r="I5">
        <v>16560</v>
      </c>
      <c r="J5">
        <v>24480</v>
      </c>
      <c r="K5">
        <v>7920</v>
      </c>
    </row>
    <row r="6" spans="1:11" x14ac:dyDescent="0.3">
      <c r="A6" s="10">
        <v>45456</v>
      </c>
      <c r="B6" t="s">
        <v>11</v>
      </c>
      <c r="C6" t="s">
        <v>12</v>
      </c>
      <c r="D6" t="s">
        <v>16</v>
      </c>
      <c r="E6" t="s">
        <v>14</v>
      </c>
      <c r="F6">
        <v>20</v>
      </c>
      <c r="G6">
        <v>731</v>
      </c>
      <c r="H6">
        <v>1186</v>
      </c>
      <c r="I6">
        <v>14620</v>
      </c>
      <c r="J6">
        <v>23720</v>
      </c>
      <c r="K6">
        <v>9100</v>
      </c>
    </row>
    <row r="7" spans="1:11" x14ac:dyDescent="0.3">
      <c r="A7" s="10">
        <v>45457</v>
      </c>
      <c r="B7" t="s">
        <v>11</v>
      </c>
      <c r="C7" t="s">
        <v>12</v>
      </c>
      <c r="D7" t="s">
        <v>17</v>
      </c>
      <c r="E7" t="s">
        <v>14</v>
      </c>
      <c r="F7">
        <v>17</v>
      </c>
      <c r="G7">
        <v>750</v>
      </c>
      <c r="H7">
        <v>793</v>
      </c>
      <c r="I7">
        <v>12750</v>
      </c>
      <c r="J7">
        <v>13481</v>
      </c>
      <c r="K7">
        <v>731</v>
      </c>
    </row>
    <row r="8" spans="1:11" x14ac:dyDescent="0.3">
      <c r="A8" s="10">
        <v>45459</v>
      </c>
      <c r="B8" t="s">
        <v>11</v>
      </c>
      <c r="C8" t="s">
        <v>12</v>
      </c>
      <c r="D8" t="s">
        <v>18</v>
      </c>
      <c r="E8" t="s">
        <v>19</v>
      </c>
      <c r="F8">
        <v>14</v>
      </c>
      <c r="G8">
        <v>906</v>
      </c>
      <c r="H8">
        <v>1327</v>
      </c>
      <c r="I8">
        <v>12684</v>
      </c>
      <c r="J8">
        <v>18578</v>
      </c>
      <c r="K8">
        <v>5894</v>
      </c>
    </row>
    <row r="9" spans="1:11" x14ac:dyDescent="0.3">
      <c r="A9" s="10">
        <v>45460</v>
      </c>
      <c r="B9" t="s">
        <v>11</v>
      </c>
      <c r="C9" t="s">
        <v>12</v>
      </c>
      <c r="D9" t="s">
        <v>20</v>
      </c>
      <c r="E9" t="s">
        <v>19</v>
      </c>
      <c r="F9">
        <v>20</v>
      </c>
      <c r="G9">
        <v>699</v>
      </c>
      <c r="H9">
        <v>1400</v>
      </c>
      <c r="I9">
        <v>13980</v>
      </c>
      <c r="J9">
        <v>28000</v>
      </c>
      <c r="K9">
        <v>14020</v>
      </c>
    </row>
    <row r="10" spans="1:11" x14ac:dyDescent="0.3">
      <c r="A10" s="10">
        <v>45389</v>
      </c>
      <c r="B10" t="s">
        <v>21</v>
      </c>
      <c r="C10" t="s">
        <v>22</v>
      </c>
      <c r="D10" t="s">
        <v>23</v>
      </c>
      <c r="E10" t="s">
        <v>19</v>
      </c>
      <c r="F10">
        <v>55</v>
      </c>
      <c r="G10">
        <v>637</v>
      </c>
      <c r="H10">
        <v>1143</v>
      </c>
      <c r="I10">
        <v>35035</v>
      </c>
      <c r="J10">
        <v>62865</v>
      </c>
      <c r="K10">
        <v>27830</v>
      </c>
    </row>
    <row r="11" spans="1:11" x14ac:dyDescent="0.3">
      <c r="A11" s="10">
        <v>45472</v>
      </c>
      <c r="B11" t="s">
        <v>11</v>
      </c>
      <c r="C11" t="s">
        <v>24</v>
      </c>
      <c r="D11" t="s">
        <v>23</v>
      </c>
      <c r="E11" t="s">
        <v>14</v>
      </c>
      <c r="F11">
        <v>17</v>
      </c>
      <c r="G11">
        <v>537</v>
      </c>
      <c r="H11">
        <v>1350</v>
      </c>
      <c r="I11">
        <v>9129</v>
      </c>
      <c r="J11">
        <v>22950</v>
      </c>
      <c r="K11">
        <v>13821</v>
      </c>
    </row>
    <row r="12" spans="1:11" x14ac:dyDescent="0.3">
      <c r="A12" s="10">
        <v>45473</v>
      </c>
      <c r="B12" t="s">
        <v>11</v>
      </c>
      <c r="C12" t="s">
        <v>24</v>
      </c>
      <c r="D12" t="s">
        <v>25</v>
      </c>
      <c r="E12" t="s">
        <v>14</v>
      </c>
      <c r="F12">
        <v>20</v>
      </c>
      <c r="G12">
        <v>875</v>
      </c>
      <c r="H12">
        <v>911</v>
      </c>
      <c r="I12">
        <v>17500</v>
      </c>
      <c r="J12">
        <v>18220</v>
      </c>
      <c r="K12">
        <v>720</v>
      </c>
    </row>
    <row r="13" spans="1:11" x14ac:dyDescent="0.3">
      <c r="A13" s="10">
        <v>45474</v>
      </c>
      <c r="B13" t="s">
        <v>11</v>
      </c>
      <c r="C13" t="s">
        <v>24</v>
      </c>
      <c r="D13" t="s">
        <v>25</v>
      </c>
      <c r="E13" t="s">
        <v>14</v>
      </c>
      <c r="F13">
        <v>13</v>
      </c>
      <c r="G13">
        <v>917</v>
      </c>
      <c r="H13">
        <v>1315</v>
      </c>
      <c r="I13">
        <v>11921</v>
      </c>
      <c r="J13">
        <v>17095</v>
      </c>
      <c r="K13">
        <v>5174</v>
      </c>
    </row>
    <row r="14" spans="1:11" x14ac:dyDescent="0.3">
      <c r="A14" s="10">
        <v>45476</v>
      </c>
      <c r="B14" t="s">
        <v>11</v>
      </c>
      <c r="C14" t="s">
        <v>24</v>
      </c>
      <c r="D14" t="s">
        <v>18</v>
      </c>
      <c r="E14" t="s">
        <v>14</v>
      </c>
      <c r="F14">
        <v>12</v>
      </c>
      <c r="G14">
        <v>980</v>
      </c>
      <c r="H14">
        <v>1462</v>
      </c>
      <c r="I14">
        <v>11760</v>
      </c>
      <c r="J14">
        <v>17544</v>
      </c>
      <c r="K14">
        <v>5784</v>
      </c>
    </row>
    <row r="15" spans="1:11" x14ac:dyDescent="0.3">
      <c r="A15" s="10">
        <v>45477</v>
      </c>
      <c r="B15" t="s">
        <v>11</v>
      </c>
      <c r="C15" t="s">
        <v>24</v>
      </c>
      <c r="D15" t="s">
        <v>26</v>
      </c>
      <c r="E15" t="s">
        <v>14</v>
      </c>
      <c r="F15">
        <v>12</v>
      </c>
      <c r="G15">
        <v>734</v>
      </c>
      <c r="H15">
        <v>1181</v>
      </c>
      <c r="I15">
        <v>8808</v>
      </c>
      <c r="J15">
        <v>14172</v>
      </c>
      <c r="K15">
        <v>5364</v>
      </c>
    </row>
    <row r="16" spans="1:11" x14ac:dyDescent="0.3">
      <c r="A16" s="10">
        <v>45395</v>
      </c>
      <c r="B16" t="s">
        <v>27</v>
      </c>
      <c r="C16" t="s">
        <v>28</v>
      </c>
      <c r="D16" t="s">
        <v>26</v>
      </c>
      <c r="E16" t="s">
        <v>14</v>
      </c>
      <c r="F16">
        <v>29</v>
      </c>
      <c r="G16">
        <v>951</v>
      </c>
      <c r="H16">
        <v>1268</v>
      </c>
      <c r="I16">
        <v>27579</v>
      </c>
      <c r="J16">
        <v>36772</v>
      </c>
      <c r="K16">
        <v>9193</v>
      </c>
    </row>
    <row r="17" spans="1:11" x14ac:dyDescent="0.3">
      <c r="A17" s="10">
        <v>45478</v>
      </c>
      <c r="B17" t="s">
        <v>11</v>
      </c>
      <c r="C17" t="s">
        <v>24</v>
      </c>
      <c r="D17" t="s">
        <v>29</v>
      </c>
      <c r="E17" t="s">
        <v>14</v>
      </c>
      <c r="F17">
        <v>12</v>
      </c>
      <c r="G17">
        <v>913</v>
      </c>
      <c r="H17">
        <v>1170</v>
      </c>
      <c r="I17">
        <v>10956</v>
      </c>
      <c r="J17">
        <v>14040</v>
      </c>
      <c r="K17">
        <v>3084</v>
      </c>
    </row>
    <row r="18" spans="1:11" x14ac:dyDescent="0.3">
      <c r="A18" s="10">
        <v>45479</v>
      </c>
      <c r="B18" t="s">
        <v>11</v>
      </c>
      <c r="C18" t="s">
        <v>24</v>
      </c>
      <c r="D18" t="s">
        <v>18</v>
      </c>
      <c r="E18" t="s">
        <v>19</v>
      </c>
      <c r="F18">
        <v>20</v>
      </c>
      <c r="G18">
        <v>833</v>
      </c>
      <c r="H18">
        <v>877</v>
      </c>
      <c r="I18">
        <v>16660</v>
      </c>
      <c r="J18">
        <v>17540</v>
      </c>
      <c r="K18">
        <v>880</v>
      </c>
    </row>
    <row r="19" spans="1:11" x14ac:dyDescent="0.3">
      <c r="A19" s="10">
        <v>45480</v>
      </c>
      <c r="B19" t="s">
        <v>11</v>
      </c>
      <c r="C19" t="s">
        <v>24</v>
      </c>
      <c r="D19" t="s">
        <v>30</v>
      </c>
      <c r="E19" t="s">
        <v>19</v>
      </c>
      <c r="F19">
        <v>17</v>
      </c>
      <c r="G19">
        <v>748</v>
      </c>
      <c r="H19">
        <v>1138</v>
      </c>
      <c r="I19">
        <v>12716</v>
      </c>
      <c r="J19">
        <v>19346</v>
      </c>
      <c r="K19">
        <v>6630</v>
      </c>
    </row>
    <row r="20" spans="1:11" x14ac:dyDescent="0.3">
      <c r="A20" s="10">
        <v>45481</v>
      </c>
      <c r="B20" t="s">
        <v>11</v>
      </c>
      <c r="C20" t="s">
        <v>24</v>
      </c>
      <c r="D20" t="s">
        <v>31</v>
      </c>
      <c r="E20" t="s">
        <v>19</v>
      </c>
      <c r="F20">
        <v>20</v>
      </c>
      <c r="G20">
        <v>517</v>
      </c>
      <c r="H20">
        <v>1405</v>
      </c>
      <c r="I20">
        <v>10340</v>
      </c>
      <c r="J20">
        <v>28100</v>
      </c>
      <c r="K20">
        <v>17760</v>
      </c>
    </row>
    <row r="21" spans="1:11" x14ac:dyDescent="0.3">
      <c r="A21" s="10">
        <v>45482</v>
      </c>
      <c r="B21" t="s">
        <v>11</v>
      </c>
      <c r="C21" t="s">
        <v>24</v>
      </c>
      <c r="D21" t="s">
        <v>23</v>
      </c>
      <c r="E21" t="s">
        <v>19</v>
      </c>
      <c r="F21">
        <v>18</v>
      </c>
      <c r="G21">
        <v>674</v>
      </c>
      <c r="H21">
        <v>775</v>
      </c>
      <c r="I21">
        <v>12132</v>
      </c>
      <c r="J21">
        <v>13950</v>
      </c>
      <c r="K21">
        <v>1818</v>
      </c>
    </row>
    <row r="22" spans="1:11" x14ac:dyDescent="0.3">
      <c r="A22" s="10">
        <v>45483</v>
      </c>
      <c r="B22" t="s">
        <v>11</v>
      </c>
      <c r="C22" t="s">
        <v>24</v>
      </c>
      <c r="D22" t="s">
        <v>25</v>
      </c>
      <c r="E22" t="s">
        <v>14</v>
      </c>
      <c r="F22">
        <v>17</v>
      </c>
      <c r="G22">
        <v>641</v>
      </c>
      <c r="H22">
        <v>765</v>
      </c>
      <c r="I22">
        <v>10897</v>
      </c>
      <c r="J22">
        <v>13005</v>
      </c>
      <c r="K22">
        <v>2108</v>
      </c>
    </row>
    <row r="23" spans="1:11" x14ac:dyDescent="0.3">
      <c r="A23" s="10">
        <v>45510</v>
      </c>
      <c r="B23" t="s">
        <v>11</v>
      </c>
      <c r="C23" t="s">
        <v>24</v>
      </c>
      <c r="D23" t="s">
        <v>26</v>
      </c>
      <c r="E23" t="s">
        <v>14</v>
      </c>
      <c r="F23">
        <v>10</v>
      </c>
      <c r="G23">
        <v>754</v>
      </c>
      <c r="H23">
        <v>982</v>
      </c>
      <c r="I23">
        <v>7540</v>
      </c>
      <c r="J23">
        <v>9820</v>
      </c>
      <c r="K23">
        <v>2280</v>
      </c>
    </row>
    <row r="24" spans="1:11" x14ac:dyDescent="0.3">
      <c r="A24" s="10">
        <v>45511</v>
      </c>
      <c r="B24" t="s">
        <v>11</v>
      </c>
      <c r="C24" t="s">
        <v>24</v>
      </c>
      <c r="D24" t="s">
        <v>32</v>
      </c>
      <c r="E24" t="s">
        <v>14</v>
      </c>
      <c r="F24">
        <v>14</v>
      </c>
      <c r="G24">
        <v>815</v>
      </c>
      <c r="H24">
        <v>1341</v>
      </c>
      <c r="I24">
        <v>11410</v>
      </c>
      <c r="J24">
        <v>18774</v>
      </c>
      <c r="K24">
        <v>7364</v>
      </c>
    </row>
    <row r="25" spans="1:11" x14ac:dyDescent="0.3">
      <c r="A25" s="10">
        <v>45513</v>
      </c>
      <c r="B25" t="s">
        <v>11</v>
      </c>
      <c r="C25" t="s">
        <v>24</v>
      </c>
      <c r="D25" t="s">
        <v>25</v>
      </c>
      <c r="E25" t="s">
        <v>14</v>
      </c>
      <c r="F25">
        <v>18</v>
      </c>
      <c r="G25">
        <v>704</v>
      </c>
      <c r="H25">
        <v>930</v>
      </c>
      <c r="I25">
        <v>12672</v>
      </c>
      <c r="J25">
        <v>16740</v>
      </c>
      <c r="K25">
        <v>4068</v>
      </c>
    </row>
    <row r="26" spans="1:11" x14ac:dyDescent="0.3">
      <c r="A26" s="10">
        <v>45405</v>
      </c>
      <c r="B26" t="s">
        <v>27</v>
      </c>
      <c r="C26" t="s">
        <v>33</v>
      </c>
      <c r="D26" t="s">
        <v>34</v>
      </c>
      <c r="E26" t="s">
        <v>19</v>
      </c>
      <c r="F26">
        <v>25</v>
      </c>
      <c r="G26">
        <v>958</v>
      </c>
      <c r="H26">
        <v>942</v>
      </c>
      <c r="I26">
        <v>23950</v>
      </c>
      <c r="J26">
        <v>23550</v>
      </c>
      <c r="K26">
        <v>-400</v>
      </c>
    </row>
    <row r="27" spans="1:11" x14ac:dyDescent="0.3">
      <c r="A27" s="10">
        <v>45514</v>
      </c>
      <c r="B27" t="s">
        <v>11</v>
      </c>
      <c r="C27" t="s">
        <v>24</v>
      </c>
      <c r="D27" t="s">
        <v>25</v>
      </c>
      <c r="E27" t="s">
        <v>14</v>
      </c>
      <c r="F27">
        <v>19</v>
      </c>
      <c r="G27">
        <v>744</v>
      </c>
      <c r="H27">
        <v>1433</v>
      </c>
      <c r="I27">
        <v>14136</v>
      </c>
      <c r="J27">
        <v>27227</v>
      </c>
      <c r="K27">
        <v>13091</v>
      </c>
    </row>
    <row r="28" spans="1:11" x14ac:dyDescent="0.3">
      <c r="A28" s="10">
        <v>45407</v>
      </c>
      <c r="B28" t="s">
        <v>27</v>
      </c>
      <c r="C28" t="s">
        <v>33</v>
      </c>
      <c r="D28" t="s">
        <v>32</v>
      </c>
      <c r="E28" t="s">
        <v>14</v>
      </c>
      <c r="F28">
        <v>26</v>
      </c>
      <c r="G28">
        <v>520</v>
      </c>
      <c r="H28">
        <v>1486</v>
      </c>
      <c r="I28">
        <v>13520</v>
      </c>
      <c r="J28">
        <v>38636</v>
      </c>
      <c r="K28">
        <v>25116</v>
      </c>
    </row>
    <row r="29" spans="1:11" x14ac:dyDescent="0.3">
      <c r="A29" s="10">
        <v>45515</v>
      </c>
      <c r="B29" t="s">
        <v>11</v>
      </c>
      <c r="C29" t="s">
        <v>24</v>
      </c>
      <c r="D29" t="s">
        <v>26</v>
      </c>
      <c r="E29" t="s">
        <v>19</v>
      </c>
      <c r="F29">
        <v>10</v>
      </c>
      <c r="G29">
        <v>669</v>
      </c>
      <c r="H29">
        <v>1344</v>
      </c>
      <c r="I29">
        <v>6690</v>
      </c>
      <c r="J29">
        <v>13440</v>
      </c>
      <c r="K29">
        <v>6750</v>
      </c>
    </row>
    <row r="30" spans="1:11" x14ac:dyDescent="0.3">
      <c r="A30" s="10">
        <v>45516</v>
      </c>
      <c r="B30" t="s">
        <v>11</v>
      </c>
      <c r="C30" t="s">
        <v>24</v>
      </c>
      <c r="D30" t="s">
        <v>18</v>
      </c>
      <c r="E30" t="s">
        <v>19</v>
      </c>
      <c r="F30">
        <v>20</v>
      </c>
      <c r="G30">
        <v>966</v>
      </c>
      <c r="H30">
        <v>924</v>
      </c>
      <c r="I30">
        <v>19320</v>
      </c>
      <c r="J30">
        <v>18480</v>
      </c>
      <c r="K30">
        <v>-840</v>
      </c>
    </row>
    <row r="31" spans="1:11" x14ac:dyDescent="0.3">
      <c r="A31" s="10">
        <v>45543</v>
      </c>
      <c r="B31" t="s">
        <v>11</v>
      </c>
      <c r="C31" t="s">
        <v>24</v>
      </c>
      <c r="D31" t="s">
        <v>35</v>
      </c>
      <c r="E31" t="s">
        <v>19</v>
      </c>
      <c r="F31">
        <v>18</v>
      </c>
      <c r="G31">
        <v>859</v>
      </c>
      <c r="H31">
        <v>1044</v>
      </c>
      <c r="I31">
        <v>15462</v>
      </c>
      <c r="J31">
        <v>18792</v>
      </c>
      <c r="K31">
        <v>3330</v>
      </c>
    </row>
    <row r="32" spans="1:11" x14ac:dyDescent="0.3">
      <c r="A32" s="10">
        <v>45544</v>
      </c>
      <c r="B32" t="s">
        <v>11</v>
      </c>
      <c r="C32" t="s">
        <v>24</v>
      </c>
      <c r="D32" t="s">
        <v>26</v>
      </c>
      <c r="E32" t="s">
        <v>19</v>
      </c>
      <c r="F32">
        <v>15</v>
      </c>
      <c r="G32">
        <v>890</v>
      </c>
      <c r="H32">
        <v>1362</v>
      </c>
      <c r="I32">
        <v>13350</v>
      </c>
      <c r="J32">
        <v>20430</v>
      </c>
      <c r="K32">
        <v>7080</v>
      </c>
    </row>
    <row r="33" spans="1:11" x14ac:dyDescent="0.3">
      <c r="A33" s="10">
        <v>45545</v>
      </c>
      <c r="B33" t="s">
        <v>11</v>
      </c>
      <c r="C33" t="s">
        <v>24</v>
      </c>
      <c r="D33" t="s">
        <v>17</v>
      </c>
      <c r="E33" t="s">
        <v>19</v>
      </c>
      <c r="F33">
        <v>19</v>
      </c>
      <c r="G33">
        <v>630</v>
      </c>
      <c r="H33">
        <v>882</v>
      </c>
      <c r="I33">
        <v>11970</v>
      </c>
      <c r="J33">
        <v>16758</v>
      </c>
      <c r="K33">
        <v>4788</v>
      </c>
    </row>
    <row r="34" spans="1:11" x14ac:dyDescent="0.3">
      <c r="A34" s="10">
        <v>45546</v>
      </c>
      <c r="B34" t="s">
        <v>11</v>
      </c>
      <c r="C34" t="s">
        <v>24</v>
      </c>
      <c r="D34" t="s">
        <v>34</v>
      </c>
      <c r="E34" t="s">
        <v>19</v>
      </c>
      <c r="F34">
        <v>10</v>
      </c>
      <c r="G34">
        <v>701</v>
      </c>
      <c r="H34">
        <v>1384</v>
      </c>
      <c r="I34">
        <v>7010</v>
      </c>
      <c r="J34">
        <v>13840</v>
      </c>
      <c r="K34">
        <v>6830</v>
      </c>
    </row>
    <row r="35" spans="1:11" x14ac:dyDescent="0.3">
      <c r="A35" s="10">
        <v>45547</v>
      </c>
      <c r="B35" t="s">
        <v>11</v>
      </c>
      <c r="C35" t="s">
        <v>24</v>
      </c>
      <c r="D35" t="s">
        <v>36</v>
      </c>
      <c r="E35" t="s">
        <v>14</v>
      </c>
      <c r="F35">
        <v>19</v>
      </c>
      <c r="G35">
        <v>653</v>
      </c>
      <c r="H35">
        <v>1402</v>
      </c>
      <c r="I35">
        <v>12407</v>
      </c>
      <c r="J35">
        <v>26638</v>
      </c>
      <c r="K35">
        <v>14231</v>
      </c>
    </row>
    <row r="36" spans="1:11" x14ac:dyDescent="0.3">
      <c r="A36" s="10">
        <v>45548</v>
      </c>
      <c r="B36" t="s">
        <v>11</v>
      </c>
      <c r="C36" t="s">
        <v>24</v>
      </c>
      <c r="D36" t="s">
        <v>37</v>
      </c>
      <c r="E36" t="s">
        <v>14</v>
      </c>
      <c r="F36">
        <v>14</v>
      </c>
      <c r="G36">
        <v>968</v>
      </c>
      <c r="H36">
        <v>1419</v>
      </c>
      <c r="I36">
        <v>13552</v>
      </c>
      <c r="J36">
        <v>19866</v>
      </c>
      <c r="K36">
        <v>6314</v>
      </c>
    </row>
    <row r="37" spans="1:11" x14ac:dyDescent="0.3">
      <c r="A37" s="10">
        <v>45550</v>
      </c>
      <c r="B37" t="s">
        <v>11</v>
      </c>
      <c r="C37" t="s">
        <v>24</v>
      </c>
      <c r="D37" t="s">
        <v>26</v>
      </c>
      <c r="E37" t="s">
        <v>14</v>
      </c>
      <c r="F37">
        <v>20</v>
      </c>
      <c r="G37">
        <v>508</v>
      </c>
      <c r="H37">
        <v>1433</v>
      </c>
      <c r="I37">
        <v>10160</v>
      </c>
      <c r="J37">
        <v>28660</v>
      </c>
      <c r="K37">
        <v>18500</v>
      </c>
    </row>
    <row r="38" spans="1:11" x14ac:dyDescent="0.3">
      <c r="A38" s="10">
        <v>45551</v>
      </c>
      <c r="B38" t="s">
        <v>11</v>
      </c>
      <c r="C38" t="s">
        <v>24</v>
      </c>
      <c r="D38" t="s">
        <v>32</v>
      </c>
      <c r="E38" t="s">
        <v>14</v>
      </c>
      <c r="F38">
        <v>12</v>
      </c>
      <c r="G38">
        <v>539</v>
      </c>
      <c r="H38">
        <v>1136</v>
      </c>
      <c r="I38">
        <v>6468</v>
      </c>
      <c r="J38">
        <v>13632</v>
      </c>
      <c r="K38">
        <v>7164</v>
      </c>
    </row>
    <row r="39" spans="1:11" x14ac:dyDescent="0.3">
      <c r="A39" s="10">
        <v>45552</v>
      </c>
      <c r="B39" t="s">
        <v>11</v>
      </c>
      <c r="C39" t="s">
        <v>24</v>
      </c>
      <c r="D39" t="s">
        <v>23</v>
      </c>
      <c r="E39" t="s">
        <v>14</v>
      </c>
      <c r="F39">
        <v>10</v>
      </c>
      <c r="G39">
        <v>731</v>
      </c>
      <c r="H39">
        <v>1226</v>
      </c>
      <c r="I39">
        <v>7310</v>
      </c>
      <c r="J39">
        <v>12260</v>
      </c>
      <c r="K39">
        <v>4950</v>
      </c>
    </row>
    <row r="40" spans="1:11" x14ac:dyDescent="0.3">
      <c r="A40" s="10">
        <v>45553</v>
      </c>
      <c r="B40" t="s">
        <v>11</v>
      </c>
      <c r="C40" t="s">
        <v>24</v>
      </c>
      <c r="D40" t="s">
        <v>25</v>
      </c>
      <c r="E40" t="s">
        <v>14</v>
      </c>
      <c r="F40">
        <v>15</v>
      </c>
      <c r="G40">
        <v>621</v>
      </c>
      <c r="H40">
        <v>1488</v>
      </c>
      <c r="I40">
        <v>9315</v>
      </c>
      <c r="J40">
        <v>22320</v>
      </c>
      <c r="K40">
        <v>13005</v>
      </c>
    </row>
    <row r="41" spans="1:11" x14ac:dyDescent="0.3">
      <c r="A41" s="10">
        <v>45562</v>
      </c>
      <c r="B41" t="s">
        <v>11</v>
      </c>
      <c r="C41" t="s">
        <v>12</v>
      </c>
      <c r="D41" t="s">
        <v>23</v>
      </c>
      <c r="E41" t="s">
        <v>19</v>
      </c>
      <c r="F41">
        <v>16</v>
      </c>
      <c r="G41">
        <v>963</v>
      </c>
      <c r="H41">
        <v>1186</v>
      </c>
      <c r="I41">
        <v>15408</v>
      </c>
      <c r="J41">
        <v>18976</v>
      </c>
      <c r="K41">
        <v>3568</v>
      </c>
    </row>
    <row r="42" spans="1:11" x14ac:dyDescent="0.3">
      <c r="A42" s="10">
        <v>45564</v>
      </c>
      <c r="B42" t="s">
        <v>11</v>
      </c>
      <c r="C42" t="s">
        <v>12</v>
      </c>
      <c r="D42" t="s">
        <v>25</v>
      </c>
      <c r="E42" t="s">
        <v>14</v>
      </c>
      <c r="F42">
        <v>13</v>
      </c>
      <c r="G42">
        <v>762</v>
      </c>
      <c r="H42">
        <v>1311</v>
      </c>
      <c r="I42">
        <v>9906</v>
      </c>
      <c r="J42">
        <v>17043</v>
      </c>
      <c r="K42">
        <v>7137</v>
      </c>
    </row>
    <row r="43" spans="1:11" x14ac:dyDescent="0.3">
      <c r="A43" s="10">
        <v>45566</v>
      </c>
      <c r="B43" t="s">
        <v>11</v>
      </c>
      <c r="C43" t="s">
        <v>12</v>
      </c>
      <c r="D43" t="s">
        <v>34</v>
      </c>
      <c r="E43" t="s">
        <v>14</v>
      </c>
      <c r="F43">
        <v>14</v>
      </c>
      <c r="G43">
        <v>909</v>
      </c>
      <c r="H43">
        <v>780</v>
      </c>
      <c r="I43">
        <v>12726</v>
      </c>
      <c r="J43">
        <v>10920</v>
      </c>
      <c r="K43">
        <v>-1806</v>
      </c>
    </row>
    <row r="44" spans="1:11" x14ac:dyDescent="0.3">
      <c r="A44" s="10">
        <v>45567</v>
      </c>
      <c r="B44" t="s">
        <v>11</v>
      </c>
      <c r="C44" t="s">
        <v>12</v>
      </c>
      <c r="D44" t="s">
        <v>32</v>
      </c>
      <c r="E44" t="s">
        <v>14</v>
      </c>
      <c r="F44">
        <v>11</v>
      </c>
      <c r="G44">
        <v>858</v>
      </c>
      <c r="H44">
        <v>1080</v>
      </c>
      <c r="I44">
        <v>9438</v>
      </c>
      <c r="J44">
        <v>11880</v>
      </c>
      <c r="K44">
        <v>2442</v>
      </c>
    </row>
    <row r="45" spans="1:11" x14ac:dyDescent="0.3">
      <c r="A45" s="10">
        <v>45568</v>
      </c>
      <c r="B45" t="s">
        <v>11</v>
      </c>
      <c r="C45" t="s">
        <v>12</v>
      </c>
      <c r="D45" t="s">
        <v>25</v>
      </c>
      <c r="E45" t="s">
        <v>14</v>
      </c>
      <c r="F45">
        <v>12</v>
      </c>
      <c r="G45">
        <v>516</v>
      </c>
      <c r="H45">
        <v>857</v>
      </c>
      <c r="I45">
        <v>6192</v>
      </c>
      <c r="J45">
        <v>10284</v>
      </c>
      <c r="K45">
        <v>4092</v>
      </c>
    </row>
    <row r="46" spans="1:11" x14ac:dyDescent="0.3">
      <c r="A46" s="10">
        <v>45580</v>
      </c>
      <c r="B46" t="s">
        <v>11</v>
      </c>
      <c r="C46" t="s">
        <v>24</v>
      </c>
      <c r="D46" t="s">
        <v>20</v>
      </c>
      <c r="E46" t="s">
        <v>19</v>
      </c>
      <c r="F46">
        <v>20</v>
      </c>
      <c r="G46">
        <v>817</v>
      </c>
      <c r="H46">
        <v>1324</v>
      </c>
      <c r="I46">
        <v>16340</v>
      </c>
      <c r="J46">
        <v>26480</v>
      </c>
      <c r="K46">
        <v>10140</v>
      </c>
    </row>
    <row r="47" spans="1:11" x14ac:dyDescent="0.3">
      <c r="A47" s="10">
        <v>45581</v>
      </c>
      <c r="B47" t="s">
        <v>11</v>
      </c>
      <c r="C47" t="s">
        <v>24</v>
      </c>
      <c r="D47" t="s">
        <v>17</v>
      </c>
      <c r="E47" t="s">
        <v>19</v>
      </c>
      <c r="F47">
        <v>16</v>
      </c>
      <c r="G47">
        <v>935</v>
      </c>
      <c r="H47">
        <v>980</v>
      </c>
      <c r="I47">
        <v>14960</v>
      </c>
      <c r="J47">
        <v>15680</v>
      </c>
      <c r="K47">
        <v>720</v>
      </c>
    </row>
    <row r="48" spans="1:11" x14ac:dyDescent="0.3">
      <c r="A48" s="10">
        <v>45582</v>
      </c>
      <c r="B48" t="s">
        <v>11</v>
      </c>
      <c r="C48" t="s">
        <v>24</v>
      </c>
      <c r="D48" t="s">
        <v>36</v>
      </c>
      <c r="E48" t="s">
        <v>19</v>
      </c>
      <c r="F48">
        <v>17</v>
      </c>
      <c r="G48">
        <v>642</v>
      </c>
      <c r="H48">
        <v>1095</v>
      </c>
      <c r="I48">
        <v>10914</v>
      </c>
      <c r="J48">
        <v>18615</v>
      </c>
      <c r="K48">
        <v>7701</v>
      </c>
    </row>
    <row r="49" spans="1:11" x14ac:dyDescent="0.3">
      <c r="A49" s="10">
        <v>45584</v>
      </c>
      <c r="B49" t="s">
        <v>11</v>
      </c>
      <c r="C49" t="s">
        <v>24</v>
      </c>
      <c r="D49" t="s">
        <v>23</v>
      </c>
      <c r="E49" t="s">
        <v>14</v>
      </c>
      <c r="F49">
        <v>18</v>
      </c>
      <c r="G49">
        <v>596</v>
      </c>
      <c r="H49">
        <v>817</v>
      </c>
      <c r="I49">
        <v>10728</v>
      </c>
      <c r="J49">
        <v>14706</v>
      </c>
      <c r="K49">
        <v>3978</v>
      </c>
    </row>
    <row r="50" spans="1:11" x14ac:dyDescent="0.3">
      <c r="A50" s="10">
        <v>45585</v>
      </c>
      <c r="B50" t="s">
        <v>11</v>
      </c>
      <c r="C50" t="s">
        <v>24</v>
      </c>
      <c r="D50" t="s">
        <v>25</v>
      </c>
      <c r="E50" t="s">
        <v>14</v>
      </c>
      <c r="F50">
        <v>14</v>
      </c>
      <c r="G50">
        <v>533</v>
      </c>
      <c r="H50">
        <v>922</v>
      </c>
      <c r="I50">
        <v>7462</v>
      </c>
      <c r="J50">
        <v>12908</v>
      </c>
      <c r="K50">
        <v>5446</v>
      </c>
    </row>
    <row r="51" spans="1:11" x14ac:dyDescent="0.3">
      <c r="A51" s="10">
        <v>45587</v>
      </c>
      <c r="B51" t="s">
        <v>11</v>
      </c>
      <c r="C51" t="s">
        <v>24</v>
      </c>
      <c r="D51" t="s">
        <v>34</v>
      </c>
      <c r="E51" t="s">
        <v>14</v>
      </c>
      <c r="F51">
        <v>19</v>
      </c>
      <c r="G51">
        <v>578</v>
      </c>
      <c r="H51">
        <v>1434</v>
      </c>
      <c r="I51">
        <v>10982</v>
      </c>
      <c r="J51">
        <v>27246</v>
      </c>
      <c r="K51">
        <v>16264</v>
      </c>
    </row>
    <row r="52" spans="1:11" x14ac:dyDescent="0.3">
      <c r="A52" s="10">
        <v>45659</v>
      </c>
      <c r="B52" t="s">
        <v>11</v>
      </c>
      <c r="C52" t="s">
        <v>12</v>
      </c>
      <c r="D52" t="s">
        <v>17</v>
      </c>
      <c r="E52" t="s">
        <v>14</v>
      </c>
      <c r="F52">
        <v>14</v>
      </c>
      <c r="G52">
        <v>521</v>
      </c>
      <c r="H52">
        <v>974</v>
      </c>
      <c r="I52">
        <v>7294</v>
      </c>
      <c r="J52">
        <v>13636</v>
      </c>
      <c r="K52">
        <v>6342</v>
      </c>
    </row>
    <row r="53" spans="1:11" x14ac:dyDescent="0.3">
      <c r="A53" s="10">
        <v>45432</v>
      </c>
      <c r="B53" t="s">
        <v>21</v>
      </c>
      <c r="C53" t="s">
        <v>38</v>
      </c>
      <c r="D53" t="s">
        <v>23</v>
      </c>
      <c r="E53" t="s">
        <v>19</v>
      </c>
      <c r="F53">
        <v>79</v>
      </c>
      <c r="G53">
        <v>616</v>
      </c>
      <c r="H53">
        <v>944</v>
      </c>
      <c r="I53">
        <v>48664</v>
      </c>
      <c r="J53">
        <v>74576</v>
      </c>
      <c r="K53">
        <v>25912</v>
      </c>
    </row>
    <row r="54" spans="1:11" x14ac:dyDescent="0.3">
      <c r="A54" s="10">
        <v>45661</v>
      </c>
      <c r="B54" t="s">
        <v>11</v>
      </c>
      <c r="C54" t="s">
        <v>12</v>
      </c>
      <c r="D54" t="s">
        <v>35</v>
      </c>
      <c r="E54" t="s">
        <v>14</v>
      </c>
      <c r="F54">
        <v>14</v>
      </c>
      <c r="G54">
        <v>734</v>
      </c>
      <c r="H54">
        <v>1058</v>
      </c>
      <c r="I54">
        <v>10276</v>
      </c>
      <c r="J54">
        <v>14812</v>
      </c>
      <c r="K54">
        <v>4536</v>
      </c>
    </row>
    <row r="55" spans="1:11" x14ac:dyDescent="0.3">
      <c r="A55" s="10">
        <v>45663</v>
      </c>
      <c r="B55" t="s">
        <v>11</v>
      </c>
      <c r="C55" t="s">
        <v>12</v>
      </c>
      <c r="D55" t="s">
        <v>15</v>
      </c>
      <c r="E55" t="s">
        <v>14</v>
      </c>
      <c r="F55">
        <v>20</v>
      </c>
      <c r="G55">
        <v>837</v>
      </c>
      <c r="H55">
        <v>1014</v>
      </c>
      <c r="I55">
        <v>16740</v>
      </c>
      <c r="J55">
        <v>20280</v>
      </c>
      <c r="K55">
        <v>3540</v>
      </c>
    </row>
    <row r="56" spans="1:11" x14ac:dyDescent="0.3">
      <c r="A56" s="10">
        <v>45665</v>
      </c>
      <c r="B56" t="s">
        <v>11</v>
      </c>
      <c r="C56" t="s">
        <v>12</v>
      </c>
      <c r="D56" t="s">
        <v>17</v>
      </c>
      <c r="E56" t="s">
        <v>19</v>
      </c>
      <c r="F56">
        <v>11</v>
      </c>
      <c r="G56">
        <v>617</v>
      </c>
      <c r="H56">
        <v>1025</v>
      </c>
      <c r="I56">
        <v>6787</v>
      </c>
      <c r="J56">
        <v>11275</v>
      </c>
      <c r="K56">
        <v>4488</v>
      </c>
    </row>
    <row r="57" spans="1:11" x14ac:dyDescent="0.3">
      <c r="A57" s="10">
        <v>45678</v>
      </c>
      <c r="B57" t="s">
        <v>11</v>
      </c>
      <c r="C57" t="s">
        <v>24</v>
      </c>
      <c r="D57" t="s">
        <v>13</v>
      </c>
      <c r="E57" t="s">
        <v>14</v>
      </c>
      <c r="F57">
        <v>20</v>
      </c>
      <c r="G57">
        <v>749</v>
      </c>
      <c r="H57">
        <v>753</v>
      </c>
      <c r="I57">
        <v>14980</v>
      </c>
      <c r="J57">
        <v>15060</v>
      </c>
      <c r="K57">
        <v>80</v>
      </c>
    </row>
    <row r="58" spans="1:11" x14ac:dyDescent="0.3">
      <c r="A58" s="10">
        <v>45679</v>
      </c>
      <c r="B58" t="s">
        <v>11</v>
      </c>
      <c r="C58" t="s">
        <v>24</v>
      </c>
      <c r="D58" t="s">
        <v>15</v>
      </c>
      <c r="E58" t="s">
        <v>14</v>
      </c>
      <c r="F58">
        <v>15</v>
      </c>
      <c r="G58">
        <v>924</v>
      </c>
      <c r="H58">
        <v>1024</v>
      </c>
      <c r="I58">
        <v>13860</v>
      </c>
      <c r="J58">
        <v>15360</v>
      </c>
      <c r="K58">
        <v>1500</v>
      </c>
    </row>
    <row r="59" spans="1:11" x14ac:dyDescent="0.3">
      <c r="A59" s="10">
        <v>45680</v>
      </c>
      <c r="B59" t="s">
        <v>11</v>
      </c>
      <c r="C59" t="s">
        <v>24</v>
      </c>
      <c r="D59" t="s">
        <v>16</v>
      </c>
      <c r="E59" t="s">
        <v>14</v>
      </c>
      <c r="F59">
        <v>18</v>
      </c>
      <c r="G59">
        <v>601</v>
      </c>
      <c r="H59">
        <v>1246</v>
      </c>
      <c r="I59">
        <v>10818</v>
      </c>
      <c r="J59">
        <v>22428</v>
      </c>
      <c r="K59">
        <v>11610</v>
      </c>
    </row>
    <row r="60" spans="1:11" x14ac:dyDescent="0.3">
      <c r="A60" s="10">
        <v>45681</v>
      </c>
      <c r="B60" t="s">
        <v>11</v>
      </c>
      <c r="C60" t="s">
        <v>24</v>
      </c>
      <c r="D60" t="s">
        <v>17</v>
      </c>
      <c r="E60" t="s">
        <v>14</v>
      </c>
      <c r="F60">
        <v>17</v>
      </c>
      <c r="G60">
        <v>626</v>
      </c>
      <c r="H60">
        <v>1462</v>
      </c>
      <c r="I60">
        <v>10642</v>
      </c>
      <c r="J60">
        <v>24854</v>
      </c>
      <c r="K60">
        <v>14212</v>
      </c>
    </row>
    <row r="61" spans="1:11" x14ac:dyDescent="0.3">
      <c r="A61" s="10">
        <v>45682</v>
      </c>
      <c r="B61" t="s">
        <v>11</v>
      </c>
      <c r="C61" t="s">
        <v>24</v>
      </c>
      <c r="D61" t="s">
        <v>17</v>
      </c>
      <c r="E61" t="s">
        <v>14</v>
      </c>
      <c r="F61">
        <v>13</v>
      </c>
      <c r="G61">
        <v>542</v>
      </c>
      <c r="H61">
        <v>853</v>
      </c>
      <c r="I61">
        <v>7046</v>
      </c>
      <c r="J61">
        <v>11089</v>
      </c>
      <c r="K61">
        <v>4043</v>
      </c>
    </row>
    <row r="62" spans="1:11" x14ac:dyDescent="0.3">
      <c r="A62" s="10">
        <v>45441</v>
      </c>
      <c r="B62" t="s">
        <v>21</v>
      </c>
      <c r="C62" t="s">
        <v>38</v>
      </c>
      <c r="D62" t="s">
        <v>31</v>
      </c>
      <c r="E62" t="s">
        <v>19</v>
      </c>
      <c r="F62">
        <v>50</v>
      </c>
      <c r="G62">
        <v>639</v>
      </c>
      <c r="H62">
        <v>789</v>
      </c>
      <c r="I62">
        <v>31950</v>
      </c>
      <c r="J62">
        <v>39450</v>
      </c>
      <c r="K62">
        <v>7500</v>
      </c>
    </row>
    <row r="63" spans="1:11" x14ac:dyDescent="0.3">
      <c r="A63" s="10">
        <v>45684</v>
      </c>
      <c r="B63" t="s">
        <v>11</v>
      </c>
      <c r="C63" t="s">
        <v>24</v>
      </c>
      <c r="D63" t="s">
        <v>20</v>
      </c>
      <c r="E63" t="s">
        <v>19</v>
      </c>
      <c r="F63">
        <v>19</v>
      </c>
      <c r="G63">
        <v>595</v>
      </c>
      <c r="H63">
        <v>1424</v>
      </c>
      <c r="I63">
        <v>11305</v>
      </c>
      <c r="J63">
        <v>27056</v>
      </c>
      <c r="K63">
        <v>15751</v>
      </c>
    </row>
    <row r="64" spans="1:11" x14ac:dyDescent="0.3">
      <c r="A64" s="10">
        <v>45685</v>
      </c>
      <c r="B64" t="s">
        <v>11</v>
      </c>
      <c r="C64" t="s">
        <v>24</v>
      </c>
      <c r="D64" t="s">
        <v>17</v>
      </c>
      <c r="E64" t="s">
        <v>19</v>
      </c>
      <c r="F64">
        <v>17</v>
      </c>
      <c r="G64">
        <v>593</v>
      </c>
      <c r="H64">
        <v>895</v>
      </c>
      <c r="I64">
        <v>10081</v>
      </c>
      <c r="J64">
        <v>15215</v>
      </c>
      <c r="K64">
        <v>5134</v>
      </c>
    </row>
    <row r="65" spans="1:11" x14ac:dyDescent="0.3">
      <c r="A65" s="10">
        <v>45686</v>
      </c>
      <c r="B65" t="s">
        <v>11</v>
      </c>
      <c r="C65" t="s">
        <v>24</v>
      </c>
      <c r="D65" t="s">
        <v>25</v>
      </c>
      <c r="E65" t="s">
        <v>19</v>
      </c>
      <c r="F65">
        <v>20</v>
      </c>
      <c r="G65">
        <v>735</v>
      </c>
      <c r="H65">
        <v>1277</v>
      </c>
      <c r="I65">
        <v>14700</v>
      </c>
      <c r="J65">
        <v>25540</v>
      </c>
      <c r="K65">
        <v>10840</v>
      </c>
    </row>
    <row r="66" spans="1:11" x14ac:dyDescent="0.3">
      <c r="A66" s="10">
        <v>45688</v>
      </c>
      <c r="B66" t="s">
        <v>11</v>
      </c>
      <c r="C66" t="s">
        <v>24</v>
      </c>
      <c r="D66" t="s">
        <v>39</v>
      </c>
      <c r="E66" t="s">
        <v>19</v>
      </c>
      <c r="F66">
        <v>17</v>
      </c>
      <c r="G66">
        <v>750</v>
      </c>
      <c r="H66">
        <v>1253</v>
      </c>
      <c r="I66">
        <v>12750</v>
      </c>
      <c r="J66">
        <v>21301</v>
      </c>
      <c r="K66">
        <v>8551</v>
      </c>
    </row>
    <row r="67" spans="1:11" x14ac:dyDescent="0.3">
      <c r="A67" s="10">
        <v>45454</v>
      </c>
      <c r="B67" t="s">
        <v>11</v>
      </c>
      <c r="C67" t="s">
        <v>12</v>
      </c>
      <c r="D67" t="s">
        <v>13</v>
      </c>
      <c r="E67" t="s">
        <v>14</v>
      </c>
      <c r="F67">
        <v>11</v>
      </c>
      <c r="G67">
        <v>601</v>
      </c>
      <c r="H67">
        <v>1323</v>
      </c>
      <c r="I67">
        <v>6611</v>
      </c>
      <c r="J67">
        <v>14553</v>
      </c>
      <c r="K67">
        <v>7942</v>
      </c>
    </row>
    <row r="68" spans="1:11" x14ac:dyDescent="0.3">
      <c r="A68" s="10">
        <v>45455</v>
      </c>
      <c r="B68" t="s">
        <v>11</v>
      </c>
      <c r="C68" t="s">
        <v>12</v>
      </c>
      <c r="D68" t="s">
        <v>15</v>
      </c>
      <c r="E68" t="s">
        <v>14</v>
      </c>
      <c r="F68">
        <v>20</v>
      </c>
      <c r="G68">
        <v>857</v>
      </c>
      <c r="H68">
        <v>983</v>
      </c>
      <c r="I68">
        <v>17140</v>
      </c>
      <c r="J68">
        <v>19660</v>
      </c>
      <c r="K68">
        <v>2520</v>
      </c>
    </row>
    <row r="69" spans="1:11" x14ac:dyDescent="0.3">
      <c r="A69" s="10">
        <v>45456</v>
      </c>
      <c r="B69" t="s">
        <v>11</v>
      </c>
      <c r="C69" t="s">
        <v>12</v>
      </c>
      <c r="D69" t="s">
        <v>16</v>
      </c>
      <c r="E69" t="s">
        <v>14</v>
      </c>
      <c r="F69">
        <v>11</v>
      </c>
      <c r="G69">
        <v>774</v>
      </c>
      <c r="H69">
        <v>1363</v>
      </c>
      <c r="I69">
        <v>8514</v>
      </c>
      <c r="J69">
        <v>14993</v>
      </c>
      <c r="K69">
        <v>6479</v>
      </c>
    </row>
    <row r="70" spans="1:11" x14ac:dyDescent="0.3">
      <c r="A70" s="10">
        <v>45457</v>
      </c>
      <c r="B70" t="s">
        <v>11</v>
      </c>
      <c r="C70" t="s">
        <v>12</v>
      </c>
      <c r="D70" t="s">
        <v>17</v>
      </c>
      <c r="E70" t="s">
        <v>14</v>
      </c>
      <c r="F70">
        <v>13</v>
      </c>
      <c r="G70">
        <v>986</v>
      </c>
      <c r="H70">
        <v>1073</v>
      </c>
      <c r="I70">
        <v>12818</v>
      </c>
      <c r="J70">
        <v>13949</v>
      </c>
      <c r="K70">
        <v>1131</v>
      </c>
    </row>
    <row r="71" spans="1:11" x14ac:dyDescent="0.3">
      <c r="A71" s="10">
        <v>45459</v>
      </c>
      <c r="B71" t="s">
        <v>11</v>
      </c>
      <c r="C71" t="s">
        <v>12</v>
      </c>
      <c r="D71" t="s">
        <v>18</v>
      </c>
      <c r="E71" t="s">
        <v>19</v>
      </c>
      <c r="F71">
        <v>12</v>
      </c>
      <c r="G71">
        <v>997</v>
      </c>
      <c r="H71">
        <v>1445</v>
      </c>
      <c r="I71">
        <v>11964</v>
      </c>
      <c r="J71">
        <v>17340</v>
      </c>
      <c r="K71">
        <v>5376</v>
      </c>
    </row>
    <row r="72" spans="1:11" x14ac:dyDescent="0.3">
      <c r="A72" s="10">
        <v>45460</v>
      </c>
      <c r="B72" t="s">
        <v>11</v>
      </c>
      <c r="C72" t="s">
        <v>12</v>
      </c>
      <c r="D72" t="s">
        <v>20</v>
      </c>
      <c r="E72" t="s">
        <v>19</v>
      </c>
      <c r="F72">
        <v>20</v>
      </c>
      <c r="G72">
        <v>941</v>
      </c>
      <c r="H72">
        <v>1053</v>
      </c>
      <c r="I72">
        <v>18820</v>
      </c>
      <c r="J72">
        <v>21060</v>
      </c>
      <c r="K72">
        <v>2240</v>
      </c>
    </row>
    <row r="73" spans="1:11" x14ac:dyDescent="0.3">
      <c r="A73" s="10">
        <v>45472</v>
      </c>
      <c r="B73" t="s">
        <v>11</v>
      </c>
      <c r="C73" t="s">
        <v>24</v>
      </c>
      <c r="D73" t="s">
        <v>23</v>
      </c>
      <c r="E73" t="s">
        <v>14</v>
      </c>
      <c r="F73">
        <v>19</v>
      </c>
      <c r="G73">
        <v>952</v>
      </c>
      <c r="H73">
        <v>1486</v>
      </c>
      <c r="I73">
        <v>18088</v>
      </c>
      <c r="J73">
        <v>28234</v>
      </c>
      <c r="K73">
        <v>10146</v>
      </c>
    </row>
    <row r="74" spans="1:11" x14ac:dyDescent="0.3">
      <c r="A74" s="10">
        <v>45473</v>
      </c>
      <c r="B74" t="s">
        <v>11</v>
      </c>
      <c r="C74" t="s">
        <v>24</v>
      </c>
      <c r="D74" t="s">
        <v>25</v>
      </c>
      <c r="E74" t="s">
        <v>14</v>
      </c>
      <c r="F74">
        <v>11</v>
      </c>
      <c r="G74">
        <v>503</v>
      </c>
      <c r="H74">
        <v>762</v>
      </c>
      <c r="I74">
        <v>5533</v>
      </c>
      <c r="J74">
        <v>8382</v>
      </c>
      <c r="K74">
        <v>2849</v>
      </c>
    </row>
    <row r="75" spans="1:11" x14ac:dyDescent="0.3">
      <c r="A75" s="10">
        <v>45474</v>
      </c>
      <c r="B75" t="s">
        <v>11</v>
      </c>
      <c r="C75" t="s">
        <v>24</v>
      </c>
      <c r="D75" t="s">
        <v>25</v>
      </c>
      <c r="E75" t="s">
        <v>14</v>
      </c>
      <c r="F75">
        <v>10</v>
      </c>
      <c r="G75">
        <v>719</v>
      </c>
      <c r="H75">
        <v>862</v>
      </c>
      <c r="I75">
        <v>7190</v>
      </c>
      <c r="J75">
        <v>8620</v>
      </c>
      <c r="K75">
        <v>1430</v>
      </c>
    </row>
    <row r="76" spans="1:11" x14ac:dyDescent="0.3">
      <c r="A76" s="10">
        <v>45476</v>
      </c>
      <c r="B76" t="s">
        <v>11</v>
      </c>
      <c r="C76" t="s">
        <v>24</v>
      </c>
      <c r="D76" t="s">
        <v>18</v>
      </c>
      <c r="E76" t="s">
        <v>14</v>
      </c>
      <c r="F76">
        <v>15</v>
      </c>
      <c r="G76">
        <v>941</v>
      </c>
      <c r="H76">
        <v>913</v>
      </c>
      <c r="I76">
        <v>14115</v>
      </c>
      <c r="J76">
        <v>13695</v>
      </c>
      <c r="K76">
        <v>-420</v>
      </c>
    </row>
    <row r="77" spans="1:11" x14ac:dyDescent="0.3">
      <c r="A77" s="10">
        <v>45477</v>
      </c>
      <c r="B77" t="s">
        <v>11</v>
      </c>
      <c r="C77" t="s">
        <v>24</v>
      </c>
      <c r="D77" t="s">
        <v>26</v>
      </c>
      <c r="E77" t="s">
        <v>14</v>
      </c>
      <c r="F77">
        <v>15</v>
      </c>
      <c r="G77">
        <v>937</v>
      </c>
      <c r="H77">
        <v>1427</v>
      </c>
      <c r="I77">
        <v>14055</v>
      </c>
      <c r="J77">
        <v>21405</v>
      </c>
      <c r="K77">
        <v>7350</v>
      </c>
    </row>
    <row r="78" spans="1:11" x14ac:dyDescent="0.3">
      <c r="A78" s="10">
        <v>45478</v>
      </c>
      <c r="B78" t="s">
        <v>11</v>
      </c>
      <c r="C78" t="s">
        <v>24</v>
      </c>
      <c r="D78" t="s">
        <v>29</v>
      </c>
      <c r="E78" t="s">
        <v>14</v>
      </c>
      <c r="F78">
        <v>11</v>
      </c>
      <c r="G78">
        <v>674</v>
      </c>
      <c r="H78">
        <v>1415</v>
      </c>
      <c r="I78">
        <v>7414</v>
      </c>
      <c r="J78">
        <v>15565</v>
      </c>
      <c r="K78">
        <v>8151</v>
      </c>
    </row>
    <row r="79" spans="1:11" x14ac:dyDescent="0.3">
      <c r="A79" s="10">
        <v>45458</v>
      </c>
      <c r="B79" t="s">
        <v>11</v>
      </c>
      <c r="C79" t="s">
        <v>12</v>
      </c>
      <c r="D79" t="s">
        <v>17</v>
      </c>
      <c r="E79" t="s">
        <v>14</v>
      </c>
      <c r="F79">
        <v>20</v>
      </c>
      <c r="G79">
        <v>827</v>
      </c>
      <c r="H79">
        <v>816</v>
      </c>
      <c r="I79">
        <v>16540</v>
      </c>
      <c r="J79">
        <v>16320</v>
      </c>
      <c r="K79">
        <v>-220</v>
      </c>
    </row>
    <row r="80" spans="1:11" x14ac:dyDescent="0.3">
      <c r="A80" s="10">
        <v>45479</v>
      </c>
      <c r="B80" t="s">
        <v>11</v>
      </c>
      <c r="C80" t="s">
        <v>24</v>
      </c>
      <c r="D80" t="s">
        <v>18</v>
      </c>
      <c r="E80" t="s">
        <v>19</v>
      </c>
      <c r="F80">
        <v>20</v>
      </c>
      <c r="G80">
        <v>596</v>
      </c>
      <c r="H80">
        <v>1255</v>
      </c>
      <c r="I80">
        <v>11920</v>
      </c>
      <c r="J80">
        <v>25100</v>
      </c>
      <c r="K80">
        <v>13180</v>
      </c>
    </row>
    <row r="81" spans="1:11" x14ac:dyDescent="0.3">
      <c r="A81" s="10">
        <v>45480</v>
      </c>
      <c r="B81" t="s">
        <v>11</v>
      </c>
      <c r="C81" t="s">
        <v>24</v>
      </c>
      <c r="D81" t="s">
        <v>30</v>
      </c>
      <c r="E81" t="s">
        <v>19</v>
      </c>
      <c r="F81">
        <v>20</v>
      </c>
      <c r="G81">
        <v>689</v>
      </c>
      <c r="H81">
        <v>939</v>
      </c>
      <c r="I81">
        <v>13780</v>
      </c>
      <c r="J81">
        <v>18780</v>
      </c>
      <c r="K81">
        <v>5000</v>
      </c>
    </row>
    <row r="82" spans="1:11" x14ac:dyDescent="0.3">
      <c r="A82" s="10">
        <v>45481</v>
      </c>
      <c r="B82" t="s">
        <v>11</v>
      </c>
      <c r="C82" t="s">
        <v>24</v>
      </c>
      <c r="D82" t="s">
        <v>31</v>
      </c>
      <c r="E82" t="s">
        <v>19</v>
      </c>
      <c r="F82">
        <v>17</v>
      </c>
      <c r="G82">
        <v>990</v>
      </c>
      <c r="H82">
        <v>1391</v>
      </c>
      <c r="I82">
        <v>16830</v>
      </c>
      <c r="J82">
        <v>23647</v>
      </c>
      <c r="K82">
        <v>6817</v>
      </c>
    </row>
    <row r="83" spans="1:11" x14ac:dyDescent="0.3">
      <c r="A83" s="10">
        <v>45482</v>
      </c>
      <c r="B83" t="s">
        <v>11</v>
      </c>
      <c r="C83" t="s">
        <v>24</v>
      </c>
      <c r="D83" t="s">
        <v>23</v>
      </c>
      <c r="E83" t="s">
        <v>19</v>
      </c>
      <c r="F83">
        <v>20</v>
      </c>
      <c r="G83">
        <v>589</v>
      </c>
      <c r="H83">
        <v>773</v>
      </c>
      <c r="I83">
        <v>11780</v>
      </c>
      <c r="J83">
        <v>15460</v>
      </c>
      <c r="K83">
        <v>3680</v>
      </c>
    </row>
    <row r="84" spans="1:11" x14ac:dyDescent="0.3">
      <c r="A84" s="10">
        <v>45483</v>
      </c>
      <c r="B84" t="s">
        <v>11</v>
      </c>
      <c r="C84" t="s">
        <v>24</v>
      </c>
      <c r="D84" t="s">
        <v>25</v>
      </c>
      <c r="E84" t="s">
        <v>14</v>
      </c>
      <c r="F84">
        <v>17</v>
      </c>
      <c r="G84">
        <v>773</v>
      </c>
      <c r="H84">
        <v>1266</v>
      </c>
      <c r="I84">
        <v>13141</v>
      </c>
      <c r="J84">
        <v>21522</v>
      </c>
      <c r="K84">
        <v>8381</v>
      </c>
    </row>
    <row r="85" spans="1:11" x14ac:dyDescent="0.3">
      <c r="A85" s="10">
        <v>45464</v>
      </c>
      <c r="B85" t="s">
        <v>21</v>
      </c>
      <c r="C85" t="s">
        <v>38</v>
      </c>
      <c r="D85" t="s">
        <v>26</v>
      </c>
      <c r="E85" t="s">
        <v>14</v>
      </c>
      <c r="F85">
        <v>75</v>
      </c>
      <c r="G85">
        <v>859</v>
      </c>
      <c r="H85">
        <v>1486</v>
      </c>
      <c r="I85">
        <v>64425</v>
      </c>
      <c r="J85">
        <v>111450</v>
      </c>
      <c r="K85">
        <v>47025</v>
      </c>
    </row>
    <row r="86" spans="1:11" x14ac:dyDescent="0.3">
      <c r="A86" s="10">
        <v>45510</v>
      </c>
      <c r="B86" t="s">
        <v>11</v>
      </c>
      <c r="C86" t="s">
        <v>24</v>
      </c>
      <c r="D86" t="s">
        <v>26</v>
      </c>
      <c r="E86" t="s">
        <v>14</v>
      </c>
      <c r="F86">
        <v>11</v>
      </c>
      <c r="G86">
        <v>830</v>
      </c>
      <c r="H86">
        <v>1386</v>
      </c>
      <c r="I86">
        <v>9130</v>
      </c>
      <c r="J86">
        <v>15246</v>
      </c>
      <c r="K86">
        <v>6116</v>
      </c>
    </row>
    <row r="87" spans="1:11" x14ac:dyDescent="0.3">
      <c r="A87" s="10">
        <v>45511</v>
      </c>
      <c r="B87" t="s">
        <v>11</v>
      </c>
      <c r="C87" t="s">
        <v>24</v>
      </c>
      <c r="D87" t="s">
        <v>32</v>
      </c>
      <c r="E87" t="s">
        <v>14</v>
      </c>
      <c r="F87">
        <v>11</v>
      </c>
      <c r="G87">
        <v>930</v>
      </c>
      <c r="H87">
        <v>876</v>
      </c>
      <c r="I87">
        <v>10230</v>
      </c>
      <c r="J87">
        <v>9636</v>
      </c>
      <c r="K87">
        <v>-594</v>
      </c>
    </row>
    <row r="88" spans="1:11" x14ac:dyDescent="0.3">
      <c r="A88" s="10">
        <v>45513</v>
      </c>
      <c r="B88" t="s">
        <v>11</v>
      </c>
      <c r="C88" t="s">
        <v>24</v>
      </c>
      <c r="D88" t="s">
        <v>25</v>
      </c>
      <c r="E88" t="s">
        <v>14</v>
      </c>
      <c r="F88">
        <v>19</v>
      </c>
      <c r="G88">
        <v>654</v>
      </c>
      <c r="H88">
        <v>1295</v>
      </c>
      <c r="I88">
        <v>12426</v>
      </c>
      <c r="J88">
        <v>24605</v>
      </c>
      <c r="K88">
        <v>12179</v>
      </c>
    </row>
    <row r="89" spans="1:11" x14ac:dyDescent="0.3">
      <c r="A89" s="10">
        <v>45514</v>
      </c>
      <c r="B89" t="s">
        <v>11</v>
      </c>
      <c r="C89" t="s">
        <v>24</v>
      </c>
      <c r="D89" t="s">
        <v>25</v>
      </c>
      <c r="E89" t="s">
        <v>14</v>
      </c>
      <c r="F89">
        <v>18</v>
      </c>
      <c r="G89">
        <v>767</v>
      </c>
      <c r="H89">
        <v>988</v>
      </c>
      <c r="I89">
        <v>13806</v>
      </c>
      <c r="J89">
        <v>17784</v>
      </c>
      <c r="K89">
        <v>3978</v>
      </c>
    </row>
    <row r="90" spans="1:11" x14ac:dyDescent="0.3">
      <c r="A90" s="10">
        <v>45515</v>
      </c>
      <c r="B90" t="s">
        <v>11</v>
      </c>
      <c r="C90" t="s">
        <v>24</v>
      </c>
      <c r="D90" t="s">
        <v>26</v>
      </c>
      <c r="E90" t="s">
        <v>19</v>
      </c>
      <c r="F90">
        <v>12</v>
      </c>
      <c r="G90">
        <v>654</v>
      </c>
      <c r="H90">
        <v>788</v>
      </c>
      <c r="I90">
        <v>7848</v>
      </c>
      <c r="J90">
        <v>9456</v>
      </c>
      <c r="K90">
        <v>1608</v>
      </c>
    </row>
    <row r="91" spans="1:11" x14ac:dyDescent="0.3">
      <c r="A91" s="10">
        <v>45516</v>
      </c>
      <c r="B91" t="s">
        <v>11</v>
      </c>
      <c r="C91" t="s">
        <v>24</v>
      </c>
      <c r="D91" t="s">
        <v>18</v>
      </c>
      <c r="E91" t="s">
        <v>19</v>
      </c>
      <c r="F91">
        <v>11</v>
      </c>
      <c r="G91">
        <v>827</v>
      </c>
      <c r="H91">
        <v>765</v>
      </c>
      <c r="I91">
        <v>9097</v>
      </c>
      <c r="J91">
        <v>8415</v>
      </c>
      <c r="K91">
        <v>-682</v>
      </c>
    </row>
    <row r="92" spans="1:11" x14ac:dyDescent="0.3">
      <c r="A92" s="10">
        <v>45543</v>
      </c>
      <c r="B92" t="s">
        <v>11</v>
      </c>
      <c r="C92" t="s">
        <v>24</v>
      </c>
      <c r="D92" t="s">
        <v>35</v>
      </c>
      <c r="E92" t="s">
        <v>19</v>
      </c>
      <c r="F92">
        <v>12</v>
      </c>
      <c r="G92">
        <v>561</v>
      </c>
      <c r="H92">
        <v>1162</v>
      </c>
      <c r="I92">
        <v>6732</v>
      </c>
      <c r="J92">
        <v>13944</v>
      </c>
      <c r="K92">
        <v>7212</v>
      </c>
    </row>
    <row r="93" spans="1:11" x14ac:dyDescent="0.3">
      <c r="A93" s="10">
        <v>45544</v>
      </c>
      <c r="B93" t="s">
        <v>11</v>
      </c>
      <c r="C93" t="s">
        <v>24</v>
      </c>
      <c r="D93" t="s">
        <v>26</v>
      </c>
      <c r="E93" t="s">
        <v>19</v>
      </c>
      <c r="F93">
        <v>12</v>
      </c>
      <c r="G93">
        <v>879</v>
      </c>
      <c r="H93">
        <v>1428</v>
      </c>
      <c r="I93">
        <v>10548</v>
      </c>
      <c r="J93">
        <v>17136</v>
      </c>
      <c r="K93">
        <v>6588</v>
      </c>
    </row>
    <row r="94" spans="1:11" x14ac:dyDescent="0.3">
      <c r="A94" s="10">
        <v>45545</v>
      </c>
      <c r="B94" t="s">
        <v>11</v>
      </c>
      <c r="C94" t="s">
        <v>24</v>
      </c>
      <c r="D94" t="s">
        <v>17</v>
      </c>
      <c r="E94" t="s">
        <v>19</v>
      </c>
      <c r="F94">
        <v>13</v>
      </c>
      <c r="G94">
        <v>523</v>
      </c>
      <c r="H94">
        <v>1326</v>
      </c>
      <c r="I94">
        <v>6799</v>
      </c>
      <c r="J94">
        <v>17238</v>
      </c>
      <c r="K94">
        <v>10439</v>
      </c>
    </row>
    <row r="95" spans="1:11" x14ac:dyDescent="0.3">
      <c r="A95" s="10">
        <v>45546</v>
      </c>
      <c r="B95" t="s">
        <v>11</v>
      </c>
      <c r="C95" t="s">
        <v>24</v>
      </c>
      <c r="D95" t="s">
        <v>34</v>
      </c>
      <c r="E95" t="s">
        <v>19</v>
      </c>
      <c r="F95">
        <v>10</v>
      </c>
      <c r="G95">
        <v>990</v>
      </c>
      <c r="H95">
        <v>1030</v>
      </c>
      <c r="I95">
        <v>9900</v>
      </c>
      <c r="J95">
        <v>10300</v>
      </c>
      <c r="K95">
        <v>400</v>
      </c>
    </row>
    <row r="96" spans="1:11" x14ac:dyDescent="0.3">
      <c r="A96" s="10">
        <v>45475</v>
      </c>
      <c r="B96" t="s">
        <v>11</v>
      </c>
      <c r="C96" t="s">
        <v>24</v>
      </c>
      <c r="D96" t="s">
        <v>26</v>
      </c>
      <c r="E96" t="s">
        <v>14</v>
      </c>
      <c r="F96">
        <v>15</v>
      </c>
      <c r="G96">
        <v>910</v>
      </c>
      <c r="H96">
        <v>916</v>
      </c>
      <c r="I96">
        <v>13650</v>
      </c>
      <c r="J96">
        <v>13740</v>
      </c>
      <c r="K96">
        <v>90</v>
      </c>
    </row>
    <row r="97" spans="1:11" x14ac:dyDescent="0.3">
      <c r="A97" s="10">
        <v>45547</v>
      </c>
      <c r="B97" t="s">
        <v>11</v>
      </c>
      <c r="C97" t="s">
        <v>24</v>
      </c>
      <c r="D97" t="s">
        <v>36</v>
      </c>
      <c r="E97" t="s">
        <v>14</v>
      </c>
      <c r="F97">
        <v>12</v>
      </c>
      <c r="G97">
        <v>707</v>
      </c>
      <c r="H97">
        <v>1203</v>
      </c>
      <c r="I97">
        <v>8484</v>
      </c>
      <c r="J97">
        <v>14436</v>
      </c>
      <c r="K97">
        <v>5952</v>
      </c>
    </row>
    <row r="98" spans="1:11" x14ac:dyDescent="0.3">
      <c r="A98" s="10">
        <v>45548</v>
      </c>
      <c r="B98" t="s">
        <v>11</v>
      </c>
      <c r="C98" t="s">
        <v>24</v>
      </c>
      <c r="D98" t="s">
        <v>37</v>
      </c>
      <c r="E98" t="s">
        <v>14</v>
      </c>
      <c r="F98">
        <v>13</v>
      </c>
      <c r="G98">
        <v>515</v>
      </c>
      <c r="H98">
        <v>1095</v>
      </c>
      <c r="I98">
        <v>6695</v>
      </c>
      <c r="J98">
        <v>14235</v>
      </c>
      <c r="K98">
        <v>7540</v>
      </c>
    </row>
    <row r="99" spans="1:11" x14ac:dyDescent="0.3">
      <c r="A99" s="10">
        <v>45550</v>
      </c>
      <c r="B99" t="s">
        <v>11</v>
      </c>
      <c r="C99" t="s">
        <v>24</v>
      </c>
      <c r="D99" t="s">
        <v>26</v>
      </c>
      <c r="E99" t="s">
        <v>14</v>
      </c>
      <c r="F99">
        <v>12</v>
      </c>
      <c r="G99">
        <v>671</v>
      </c>
      <c r="H99">
        <v>850</v>
      </c>
      <c r="I99">
        <v>8052</v>
      </c>
      <c r="J99">
        <v>10200</v>
      </c>
      <c r="K99">
        <v>2148</v>
      </c>
    </row>
    <row r="100" spans="1:11" x14ac:dyDescent="0.3">
      <c r="A100" s="10">
        <v>45551</v>
      </c>
      <c r="B100" t="s">
        <v>11</v>
      </c>
      <c r="C100" t="s">
        <v>24</v>
      </c>
      <c r="D100" t="s">
        <v>32</v>
      </c>
      <c r="E100" t="s">
        <v>14</v>
      </c>
      <c r="F100">
        <v>12</v>
      </c>
      <c r="G100">
        <v>500</v>
      </c>
      <c r="H100">
        <v>1276</v>
      </c>
      <c r="I100">
        <v>6000</v>
      </c>
      <c r="J100">
        <v>15312</v>
      </c>
      <c r="K100">
        <v>9312</v>
      </c>
    </row>
    <row r="101" spans="1:11" x14ac:dyDescent="0.3">
      <c r="A101" s="10">
        <v>45552</v>
      </c>
      <c r="B101" t="s">
        <v>11</v>
      </c>
      <c r="C101" t="s">
        <v>24</v>
      </c>
      <c r="D101" t="s">
        <v>23</v>
      </c>
      <c r="E101" t="s">
        <v>14</v>
      </c>
      <c r="F101">
        <v>18</v>
      </c>
      <c r="G101">
        <v>602</v>
      </c>
      <c r="H101">
        <v>1401</v>
      </c>
      <c r="I101">
        <v>10836</v>
      </c>
      <c r="J101">
        <v>25218</v>
      </c>
      <c r="K101">
        <v>14382</v>
      </c>
    </row>
    <row r="102" spans="1:11" x14ac:dyDescent="0.3">
      <c r="A102" s="10">
        <v>45553</v>
      </c>
      <c r="B102" t="s">
        <v>11</v>
      </c>
      <c r="C102" t="s">
        <v>24</v>
      </c>
      <c r="D102" t="s">
        <v>25</v>
      </c>
      <c r="E102" t="s">
        <v>14</v>
      </c>
      <c r="F102">
        <v>18</v>
      </c>
      <c r="G102">
        <v>629</v>
      </c>
      <c r="H102">
        <v>945</v>
      </c>
      <c r="I102">
        <v>11322</v>
      </c>
      <c r="J102">
        <v>17010</v>
      </c>
      <c r="K102">
        <v>5688</v>
      </c>
    </row>
    <row r="103" spans="1:11" x14ac:dyDescent="0.3">
      <c r="A103" s="10">
        <v>45562</v>
      </c>
      <c r="B103" t="s">
        <v>11</v>
      </c>
      <c r="C103" t="s">
        <v>12</v>
      </c>
      <c r="D103" t="s">
        <v>23</v>
      </c>
      <c r="E103" t="s">
        <v>19</v>
      </c>
      <c r="F103">
        <v>17</v>
      </c>
      <c r="G103">
        <v>565</v>
      </c>
      <c r="H103">
        <v>1281</v>
      </c>
      <c r="I103">
        <v>9605</v>
      </c>
      <c r="J103">
        <v>21777</v>
      </c>
      <c r="K103">
        <v>12172</v>
      </c>
    </row>
    <row r="104" spans="1:11" x14ac:dyDescent="0.3">
      <c r="A104" s="10">
        <v>45564</v>
      </c>
      <c r="B104" t="s">
        <v>11</v>
      </c>
      <c r="C104" t="s">
        <v>12</v>
      </c>
      <c r="D104" t="s">
        <v>25</v>
      </c>
      <c r="E104" t="s">
        <v>14</v>
      </c>
      <c r="F104">
        <v>10</v>
      </c>
      <c r="G104">
        <v>917</v>
      </c>
      <c r="H104">
        <v>1107</v>
      </c>
      <c r="I104">
        <v>9170</v>
      </c>
      <c r="J104">
        <v>11070</v>
      </c>
      <c r="K104">
        <v>1900</v>
      </c>
    </row>
    <row r="105" spans="1:11" x14ac:dyDescent="0.3">
      <c r="A105" s="10">
        <v>45566</v>
      </c>
      <c r="B105" t="s">
        <v>11</v>
      </c>
      <c r="C105" t="s">
        <v>12</v>
      </c>
      <c r="D105" t="s">
        <v>34</v>
      </c>
      <c r="E105" t="s">
        <v>14</v>
      </c>
      <c r="F105">
        <v>18</v>
      </c>
      <c r="G105">
        <v>867</v>
      </c>
      <c r="H105">
        <v>875</v>
      </c>
      <c r="I105">
        <v>15606</v>
      </c>
      <c r="J105">
        <v>15750</v>
      </c>
      <c r="K105">
        <v>144</v>
      </c>
    </row>
    <row r="106" spans="1:11" x14ac:dyDescent="0.3">
      <c r="A106" s="10">
        <v>45567</v>
      </c>
      <c r="B106" t="s">
        <v>11</v>
      </c>
      <c r="C106" t="s">
        <v>12</v>
      </c>
      <c r="D106" t="s">
        <v>32</v>
      </c>
      <c r="E106" t="s">
        <v>14</v>
      </c>
      <c r="F106">
        <v>10</v>
      </c>
      <c r="G106">
        <v>757</v>
      </c>
      <c r="H106">
        <v>885</v>
      </c>
      <c r="I106">
        <v>7570</v>
      </c>
      <c r="J106">
        <v>8850</v>
      </c>
      <c r="K106">
        <v>1280</v>
      </c>
    </row>
    <row r="107" spans="1:11" x14ac:dyDescent="0.3">
      <c r="A107" s="10">
        <v>45568</v>
      </c>
      <c r="B107" t="s">
        <v>11</v>
      </c>
      <c r="C107" t="s">
        <v>12</v>
      </c>
      <c r="D107" t="s">
        <v>25</v>
      </c>
      <c r="E107" t="s">
        <v>14</v>
      </c>
      <c r="F107">
        <v>18</v>
      </c>
      <c r="G107">
        <v>668</v>
      </c>
      <c r="H107">
        <v>1366</v>
      </c>
      <c r="I107">
        <v>12024</v>
      </c>
      <c r="J107">
        <v>24588</v>
      </c>
      <c r="K107">
        <v>12564</v>
      </c>
    </row>
    <row r="108" spans="1:11" x14ac:dyDescent="0.3">
      <c r="A108" s="10">
        <v>45580</v>
      </c>
      <c r="B108" t="s">
        <v>11</v>
      </c>
      <c r="C108" t="s">
        <v>24</v>
      </c>
      <c r="D108" t="s">
        <v>20</v>
      </c>
      <c r="E108" t="s">
        <v>19</v>
      </c>
      <c r="F108">
        <v>20</v>
      </c>
      <c r="G108">
        <v>882</v>
      </c>
      <c r="H108">
        <v>1193</v>
      </c>
      <c r="I108">
        <v>17640</v>
      </c>
      <c r="J108">
        <v>23860</v>
      </c>
      <c r="K108">
        <v>6220</v>
      </c>
    </row>
    <row r="109" spans="1:11" x14ac:dyDescent="0.3">
      <c r="A109" s="10">
        <v>45488</v>
      </c>
      <c r="B109" t="s">
        <v>27</v>
      </c>
      <c r="C109" t="s">
        <v>40</v>
      </c>
      <c r="D109" t="s">
        <v>25</v>
      </c>
      <c r="E109" t="s">
        <v>14</v>
      </c>
      <c r="F109">
        <v>26</v>
      </c>
      <c r="G109">
        <v>627</v>
      </c>
      <c r="H109">
        <v>1416</v>
      </c>
      <c r="I109">
        <v>16302</v>
      </c>
      <c r="J109">
        <v>36816</v>
      </c>
      <c r="K109">
        <v>20514</v>
      </c>
    </row>
    <row r="110" spans="1:11" x14ac:dyDescent="0.3">
      <c r="A110" s="10">
        <v>45581</v>
      </c>
      <c r="B110" t="s">
        <v>11</v>
      </c>
      <c r="C110" t="s">
        <v>24</v>
      </c>
      <c r="D110" t="s">
        <v>17</v>
      </c>
      <c r="E110" t="s">
        <v>19</v>
      </c>
      <c r="F110">
        <v>17</v>
      </c>
      <c r="G110">
        <v>739</v>
      </c>
      <c r="H110">
        <v>826</v>
      </c>
      <c r="I110">
        <v>12563</v>
      </c>
      <c r="J110">
        <v>14042</v>
      </c>
      <c r="K110">
        <v>1479</v>
      </c>
    </row>
    <row r="111" spans="1:11" x14ac:dyDescent="0.3">
      <c r="A111" s="10">
        <v>45582</v>
      </c>
      <c r="B111" t="s">
        <v>11</v>
      </c>
      <c r="C111" t="s">
        <v>24</v>
      </c>
      <c r="D111" t="s">
        <v>36</v>
      </c>
      <c r="E111" t="s">
        <v>19</v>
      </c>
      <c r="F111">
        <v>15</v>
      </c>
      <c r="G111">
        <v>563</v>
      </c>
      <c r="H111">
        <v>1069</v>
      </c>
      <c r="I111">
        <v>8445</v>
      </c>
      <c r="J111">
        <v>16035</v>
      </c>
      <c r="K111">
        <v>7590</v>
      </c>
    </row>
    <row r="112" spans="1:11" x14ac:dyDescent="0.3">
      <c r="A112" s="10">
        <v>45584</v>
      </c>
      <c r="B112" t="s">
        <v>11</v>
      </c>
      <c r="C112" t="s">
        <v>24</v>
      </c>
      <c r="D112" t="s">
        <v>23</v>
      </c>
      <c r="E112" t="s">
        <v>14</v>
      </c>
      <c r="F112">
        <v>15</v>
      </c>
      <c r="G112">
        <v>662</v>
      </c>
      <c r="H112">
        <v>1183</v>
      </c>
      <c r="I112">
        <v>9930</v>
      </c>
      <c r="J112">
        <v>17745</v>
      </c>
      <c r="K112">
        <v>7815</v>
      </c>
    </row>
    <row r="113" spans="1:11" x14ac:dyDescent="0.3">
      <c r="A113" s="10">
        <v>45585</v>
      </c>
      <c r="B113" t="s">
        <v>11</v>
      </c>
      <c r="C113" t="s">
        <v>24</v>
      </c>
      <c r="D113" t="s">
        <v>25</v>
      </c>
      <c r="E113" t="s">
        <v>14</v>
      </c>
      <c r="F113">
        <v>16</v>
      </c>
      <c r="G113">
        <v>846</v>
      </c>
      <c r="H113">
        <v>1375</v>
      </c>
      <c r="I113">
        <v>13536</v>
      </c>
      <c r="J113">
        <v>22000</v>
      </c>
      <c r="K113">
        <v>8464</v>
      </c>
    </row>
    <row r="114" spans="1:11" x14ac:dyDescent="0.3">
      <c r="A114" s="10">
        <v>45587</v>
      </c>
      <c r="B114" t="s">
        <v>11</v>
      </c>
      <c r="C114" t="s">
        <v>24</v>
      </c>
      <c r="D114" t="s">
        <v>34</v>
      </c>
      <c r="E114" t="s">
        <v>14</v>
      </c>
      <c r="F114">
        <v>14</v>
      </c>
      <c r="G114">
        <v>777</v>
      </c>
      <c r="H114">
        <v>1192</v>
      </c>
      <c r="I114">
        <v>10878</v>
      </c>
      <c r="J114">
        <v>16688</v>
      </c>
      <c r="K114">
        <v>5810</v>
      </c>
    </row>
    <row r="115" spans="1:11" x14ac:dyDescent="0.3">
      <c r="A115" s="10">
        <v>45659</v>
      </c>
      <c r="B115" t="s">
        <v>11</v>
      </c>
      <c r="C115" t="s">
        <v>12</v>
      </c>
      <c r="D115" t="s">
        <v>17</v>
      </c>
      <c r="E115" t="s">
        <v>14</v>
      </c>
      <c r="F115">
        <v>16</v>
      </c>
      <c r="G115">
        <v>632</v>
      </c>
      <c r="H115">
        <v>835</v>
      </c>
      <c r="I115">
        <v>10112</v>
      </c>
      <c r="J115">
        <v>13360</v>
      </c>
      <c r="K115">
        <v>3248</v>
      </c>
    </row>
    <row r="116" spans="1:11" x14ac:dyDescent="0.3">
      <c r="A116" s="10">
        <v>45661</v>
      </c>
      <c r="B116" t="s">
        <v>11</v>
      </c>
      <c r="C116" t="s">
        <v>12</v>
      </c>
      <c r="D116" t="s">
        <v>35</v>
      </c>
      <c r="E116" t="s">
        <v>14</v>
      </c>
      <c r="F116">
        <v>11</v>
      </c>
      <c r="G116">
        <v>731</v>
      </c>
      <c r="H116">
        <v>1311</v>
      </c>
      <c r="I116">
        <v>8041</v>
      </c>
      <c r="J116">
        <v>14421</v>
      </c>
      <c r="K116">
        <v>6380</v>
      </c>
    </row>
    <row r="117" spans="1:11" x14ac:dyDescent="0.3">
      <c r="A117" s="10">
        <v>45663</v>
      </c>
      <c r="B117" t="s">
        <v>11</v>
      </c>
      <c r="C117" t="s">
        <v>12</v>
      </c>
      <c r="D117" t="s">
        <v>15</v>
      </c>
      <c r="E117" t="s">
        <v>14</v>
      </c>
      <c r="F117">
        <v>10</v>
      </c>
      <c r="G117">
        <v>774</v>
      </c>
      <c r="H117">
        <v>1472</v>
      </c>
      <c r="I117">
        <v>7740</v>
      </c>
      <c r="J117">
        <v>14720</v>
      </c>
      <c r="K117">
        <v>6980</v>
      </c>
    </row>
    <row r="118" spans="1:11" x14ac:dyDescent="0.3">
      <c r="A118" s="10">
        <v>45665</v>
      </c>
      <c r="B118" t="s">
        <v>11</v>
      </c>
      <c r="C118" t="s">
        <v>12</v>
      </c>
      <c r="D118" t="s">
        <v>17</v>
      </c>
      <c r="E118" t="s">
        <v>19</v>
      </c>
      <c r="F118">
        <v>11</v>
      </c>
      <c r="G118">
        <v>986</v>
      </c>
      <c r="H118">
        <v>1228</v>
      </c>
      <c r="I118">
        <v>10846</v>
      </c>
      <c r="J118">
        <v>13508</v>
      </c>
      <c r="K118">
        <v>2662</v>
      </c>
    </row>
    <row r="119" spans="1:11" x14ac:dyDescent="0.3">
      <c r="A119" s="10">
        <v>45678</v>
      </c>
      <c r="B119" t="s">
        <v>11</v>
      </c>
      <c r="C119" t="s">
        <v>24</v>
      </c>
      <c r="D119" t="s">
        <v>13</v>
      </c>
      <c r="E119" t="s">
        <v>14</v>
      </c>
      <c r="F119">
        <v>11</v>
      </c>
      <c r="G119">
        <v>519</v>
      </c>
      <c r="H119">
        <v>1143</v>
      </c>
      <c r="I119">
        <v>5709</v>
      </c>
      <c r="J119">
        <v>12573</v>
      </c>
      <c r="K119">
        <v>6864</v>
      </c>
    </row>
    <row r="120" spans="1:11" x14ac:dyDescent="0.3">
      <c r="A120" s="10">
        <v>45679</v>
      </c>
      <c r="B120" t="s">
        <v>11</v>
      </c>
      <c r="C120" t="s">
        <v>24</v>
      </c>
      <c r="D120" t="s">
        <v>15</v>
      </c>
      <c r="E120" t="s">
        <v>14</v>
      </c>
      <c r="F120">
        <v>20</v>
      </c>
      <c r="G120">
        <v>597</v>
      </c>
      <c r="H120">
        <v>1175</v>
      </c>
      <c r="I120">
        <v>11940</v>
      </c>
      <c r="J120">
        <v>23500</v>
      </c>
      <c r="K120">
        <v>11560</v>
      </c>
    </row>
    <row r="121" spans="1:11" x14ac:dyDescent="0.3">
      <c r="A121" s="10">
        <v>45680</v>
      </c>
      <c r="B121" t="s">
        <v>11</v>
      </c>
      <c r="C121" t="s">
        <v>24</v>
      </c>
      <c r="D121" t="s">
        <v>16</v>
      </c>
      <c r="E121" t="s">
        <v>14</v>
      </c>
      <c r="F121">
        <v>18</v>
      </c>
      <c r="G121">
        <v>632</v>
      </c>
      <c r="H121">
        <v>1384</v>
      </c>
      <c r="I121">
        <v>11376</v>
      </c>
      <c r="J121">
        <v>24912</v>
      </c>
      <c r="K121">
        <v>13536</v>
      </c>
    </row>
    <row r="122" spans="1:11" x14ac:dyDescent="0.3">
      <c r="A122" s="10">
        <v>45681</v>
      </c>
      <c r="B122" t="s">
        <v>11</v>
      </c>
      <c r="C122" t="s">
        <v>24</v>
      </c>
      <c r="D122" t="s">
        <v>17</v>
      </c>
      <c r="E122" t="s">
        <v>14</v>
      </c>
      <c r="F122">
        <v>17</v>
      </c>
      <c r="G122">
        <v>649</v>
      </c>
      <c r="H122">
        <v>1392</v>
      </c>
      <c r="I122">
        <v>11033</v>
      </c>
      <c r="J122">
        <v>23664</v>
      </c>
      <c r="K122">
        <v>12631</v>
      </c>
    </row>
    <row r="123" spans="1:11" x14ac:dyDescent="0.3">
      <c r="A123" s="10">
        <v>45682</v>
      </c>
      <c r="B123" t="s">
        <v>11</v>
      </c>
      <c r="C123" t="s">
        <v>24</v>
      </c>
      <c r="D123" t="s">
        <v>17</v>
      </c>
      <c r="E123" t="s">
        <v>14</v>
      </c>
      <c r="F123">
        <v>18</v>
      </c>
      <c r="G123">
        <v>587</v>
      </c>
      <c r="H123">
        <v>905</v>
      </c>
      <c r="I123">
        <v>10566</v>
      </c>
      <c r="J123">
        <v>16290</v>
      </c>
      <c r="K123">
        <v>5724</v>
      </c>
    </row>
    <row r="124" spans="1:11" x14ac:dyDescent="0.3">
      <c r="A124" s="10">
        <v>45684</v>
      </c>
      <c r="B124" t="s">
        <v>11</v>
      </c>
      <c r="C124" t="s">
        <v>24</v>
      </c>
      <c r="D124" t="s">
        <v>20</v>
      </c>
      <c r="E124" t="s">
        <v>19</v>
      </c>
      <c r="F124">
        <v>19</v>
      </c>
      <c r="G124">
        <v>701</v>
      </c>
      <c r="H124">
        <v>1136</v>
      </c>
      <c r="I124">
        <v>13319</v>
      </c>
      <c r="J124">
        <v>21584</v>
      </c>
      <c r="K124">
        <v>8265</v>
      </c>
    </row>
    <row r="125" spans="1:11" x14ac:dyDescent="0.3">
      <c r="A125" s="10">
        <v>45685</v>
      </c>
      <c r="B125" t="s">
        <v>11</v>
      </c>
      <c r="C125" t="s">
        <v>24</v>
      </c>
      <c r="D125" t="s">
        <v>17</v>
      </c>
      <c r="E125" t="s">
        <v>19</v>
      </c>
      <c r="F125">
        <v>19</v>
      </c>
      <c r="G125">
        <v>972</v>
      </c>
      <c r="H125">
        <v>1314</v>
      </c>
      <c r="I125">
        <v>18468</v>
      </c>
      <c r="J125">
        <v>24966</v>
      </c>
      <c r="K125">
        <v>6498</v>
      </c>
    </row>
    <row r="126" spans="1:11" x14ac:dyDescent="0.3">
      <c r="A126" s="10">
        <v>45686</v>
      </c>
      <c r="B126" t="s">
        <v>11</v>
      </c>
      <c r="C126" t="s">
        <v>24</v>
      </c>
      <c r="D126" t="s">
        <v>25</v>
      </c>
      <c r="E126" t="s">
        <v>19</v>
      </c>
      <c r="F126">
        <v>13</v>
      </c>
      <c r="G126">
        <v>615</v>
      </c>
      <c r="H126">
        <v>1010</v>
      </c>
      <c r="I126">
        <v>7995</v>
      </c>
      <c r="J126">
        <v>13130</v>
      </c>
      <c r="K126">
        <v>5135</v>
      </c>
    </row>
    <row r="127" spans="1:11" x14ac:dyDescent="0.3">
      <c r="A127" s="10">
        <v>45688</v>
      </c>
      <c r="B127" t="s">
        <v>11</v>
      </c>
      <c r="C127" t="s">
        <v>24</v>
      </c>
      <c r="D127" t="s">
        <v>39</v>
      </c>
      <c r="E127" t="s">
        <v>19</v>
      </c>
      <c r="F127">
        <v>19</v>
      </c>
      <c r="G127">
        <v>864</v>
      </c>
      <c r="H127">
        <v>1147</v>
      </c>
      <c r="I127">
        <v>16416</v>
      </c>
      <c r="J127">
        <v>21793</v>
      </c>
      <c r="K127">
        <v>5377</v>
      </c>
    </row>
    <row r="128" spans="1:11" x14ac:dyDescent="0.3">
      <c r="A128" s="10">
        <v>45507</v>
      </c>
      <c r="B128" t="s">
        <v>21</v>
      </c>
      <c r="C128" t="s">
        <v>41</v>
      </c>
      <c r="D128" t="s">
        <v>36</v>
      </c>
      <c r="E128" t="s">
        <v>19</v>
      </c>
      <c r="F128">
        <v>86</v>
      </c>
      <c r="G128">
        <v>540</v>
      </c>
      <c r="H128">
        <v>1460</v>
      </c>
      <c r="I128">
        <v>46440</v>
      </c>
      <c r="J128">
        <v>125560</v>
      </c>
      <c r="K128">
        <v>79120</v>
      </c>
    </row>
    <row r="129" spans="1:11" x14ac:dyDescent="0.3">
      <c r="A129" s="10">
        <v>45454</v>
      </c>
      <c r="B129" t="s">
        <v>11</v>
      </c>
      <c r="C129" t="s">
        <v>12</v>
      </c>
      <c r="D129" t="s">
        <v>13</v>
      </c>
      <c r="E129" t="s">
        <v>14</v>
      </c>
      <c r="F129">
        <v>13</v>
      </c>
      <c r="G129">
        <v>643</v>
      </c>
      <c r="H129">
        <v>1432</v>
      </c>
      <c r="I129">
        <v>8359</v>
      </c>
      <c r="J129">
        <v>18616</v>
      </c>
      <c r="K129">
        <v>10257</v>
      </c>
    </row>
    <row r="130" spans="1:11" x14ac:dyDescent="0.3">
      <c r="A130" s="10">
        <v>45455</v>
      </c>
      <c r="B130" t="s">
        <v>11</v>
      </c>
      <c r="C130" t="s">
        <v>12</v>
      </c>
      <c r="D130" t="s">
        <v>15</v>
      </c>
      <c r="E130" t="s">
        <v>14</v>
      </c>
      <c r="F130">
        <v>16</v>
      </c>
      <c r="G130">
        <v>848</v>
      </c>
      <c r="H130">
        <v>1211</v>
      </c>
      <c r="I130">
        <v>13568</v>
      </c>
      <c r="J130">
        <v>19376</v>
      </c>
      <c r="K130">
        <v>5808</v>
      </c>
    </row>
    <row r="131" spans="1:11" x14ac:dyDescent="0.3">
      <c r="A131" s="10">
        <v>45456</v>
      </c>
      <c r="B131" t="s">
        <v>11</v>
      </c>
      <c r="C131" t="s">
        <v>12</v>
      </c>
      <c r="D131" t="s">
        <v>16</v>
      </c>
      <c r="E131" t="s">
        <v>14</v>
      </c>
      <c r="F131">
        <v>19</v>
      </c>
      <c r="G131">
        <v>982</v>
      </c>
      <c r="H131">
        <v>1457</v>
      </c>
      <c r="I131">
        <v>18658</v>
      </c>
      <c r="J131">
        <v>27683</v>
      </c>
      <c r="K131">
        <v>9025</v>
      </c>
    </row>
    <row r="132" spans="1:11" x14ac:dyDescent="0.3">
      <c r="A132" s="10">
        <v>45457</v>
      </c>
      <c r="B132" t="s">
        <v>11</v>
      </c>
      <c r="C132" t="s">
        <v>12</v>
      </c>
      <c r="D132" t="s">
        <v>17</v>
      </c>
      <c r="E132" t="s">
        <v>14</v>
      </c>
      <c r="F132">
        <v>19</v>
      </c>
      <c r="G132">
        <v>918</v>
      </c>
      <c r="H132">
        <v>864</v>
      </c>
      <c r="I132">
        <v>17442</v>
      </c>
      <c r="J132">
        <v>16416</v>
      </c>
      <c r="K132">
        <v>-1026</v>
      </c>
    </row>
    <row r="133" spans="1:11" x14ac:dyDescent="0.3">
      <c r="A133" s="10">
        <v>45512</v>
      </c>
      <c r="B133" t="s">
        <v>11</v>
      </c>
      <c r="C133" t="s">
        <v>24</v>
      </c>
      <c r="D133" t="s">
        <v>23</v>
      </c>
      <c r="E133" t="s">
        <v>14</v>
      </c>
      <c r="F133">
        <v>10</v>
      </c>
      <c r="G133">
        <v>863</v>
      </c>
      <c r="H133">
        <v>1386</v>
      </c>
      <c r="I133">
        <v>8630</v>
      </c>
      <c r="J133">
        <v>13860</v>
      </c>
      <c r="K133">
        <v>5230</v>
      </c>
    </row>
    <row r="134" spans="1:11" x14ac:dyDescent="0.3">
      <c r="A134" s="10">
        <v>45459</v>
      </c>
      <c r="B134" t="s">
        <v>11</v>
      </c>
      <c r="C134" t="s">
        <v>12</v>
      </c>
      <c r="D134" t="s">
        <v>18</v>
      </c>
      <c r="E134" t="s">
        <v>19</v>
      </c>
      <c r="F134">
        <v>17</v>
      </c>
      <c r="G134">
        <v>787</v>
      </c>
      <c r="H134">
        <v>1108</v>
      </c>
      <c r="I134">
        <v>13379</v>
      </c>
      <c r="J134">
        <v>18836</v>
      </c>
      <c r="K134">
        <v>5457</v>
      </c>
    </row>
    <row r="135" spans="1:11" x14ac:dyDescent="0.3">
      <c r="A135" s="10">
        <v>45460</v>
      </c>
      <c r="B135" t="s">
        <v>11</v>
      </c>
      <c r="C135" t="s">
        <v>12</v>
      </c>
      <c r="D135" t="s">
        <v>20</v>
      </c>
      <c r="E135" t="s">
        <v>19</v>
      </c>
      <c r="F135">
        <v>15</v>
      </c>
      <c r="G135">
        <v>545</v>
      </c>
      <c r="H135">
        <v>1182</v>
      </c>
      <c r="I135">
        <v>8175</v>
      </c>
      <c r="J135">
        <v>17730</v>
      </c>
      <c r="K135">
        <v>9555</v>
      </c>
    </row>
    <row r="136" spans="1:11" x14ac:dyDescent="0.3">
      <c r="A136" s="10">
        <v>45472</v>
      </c>
      <c r="B136" t="s">
        <v>11</v>
      </c>
      <c r="C136" t="s">
        <v>24</v>
      </c>
      <c r="D136" t="s">
        <v>23</v>
      </c>
      <c r="E136" t="s">
        <v>14</v>
      </c>
      <c r="F136">
        <v>11</v>
      </c>
      <c r="G136">
        <v>616</v>
      </c>
      <c r="H136">
        <v>1015</v>
      </c>
      <c r="I136">
        <v>6776</v>
      </c>
      <c r="J136">
        <v>11165</v>
      </c>
      <c r="K136">
        <v>4389</v>
      </c>
    </row>
    <row r="137" spans="1:11" x14ac:dyDescent="0.3">
      <c r="A137" s="10">
        <v>45473</v>
      </c>
      <c r="B137" t="s">
        <v>11</v>
      </c>
      <c r="C137" t="s">
        <v>24</v>
      </c>
      <c r="D137" t="s">
        <v>25</v>
      </c>
      <c r="E137" t="s">
        <v>14</v>
      </c>
      <c r="F137">
        <v>16</v>
      </c>
      <c r="G137">
        <v>911</v>
      </c>
      <c r="H137">
        <v>1299</v>
      </c>
      <c r="I137">
        <v>14576</v>
      </c>
      <c r="J137">
        <v>20784</v>
      </c>
      <c r="K137">
        <v>6208</v>
      </c>
    </row>
    <row r="138" spans="1:11" x14ac:dyDescent="0.3">
      <c r="A138" s="10">
        <v>45474</v>
      </c>
      <c r="B138" t="s">
        <v>11</v>
      </c>
      <c r="C138" t="s">
        <v>24</v>
      </c>
      <c r="D138" t="s">
        <v>25</v>
      </c>
      <c r="E138" t="s">
        <v>14</v>
      </c>
      <c r="F138">
        <v>19</v>
      </c>
      <c r="G138">
        <v>816</v>
      </c>
      <c r="H138">
        <v>1285</v>
      </c>
      <c r="I138">
        <v>15504</v>
      </c>
      <c r="J138">
        <v>24415</v>
      </c>
      <c r="K138">
        <v>8911</v>
      </c>
    </row>
    <row r="139" spans="1:11" x14ac:dyDescent="0.3">
      <c r="A139" s="10">
        <v>45476</v>
      </c>
      <c r="B139" t="s">
        <v>11</v>
      </c>
      <c r="C139" t="s">
        <v>24</v>
      </c>
      <c r="D139" t="s">
        <v>18</v>
      </c>
      <c r="E139" t="s">
        <v>14</v>
      </c>
      <c r="F139">
        <v>16</v>
      </c>
      <c r="G139">
        <v>693</v>
      </c>
      <c r="H139">
        <v>1042</v>
      </c>
      <c r="I139">
        <v>11088</v>
      </c>
      <c r="J139">
        <v>16672</v>
      </c>
      <c r="K139">
        <v>5584</v>
      </c>
    </row>
    <row r="140" spans="1:11" x14ac:dyDescent="0.3">
      <c r="A140" s="10">
        <v>45477</v>
      </c>
      <c r="B140" t="s">
        <v>11</v>
      </c>
      <c r="C140" t="s">
        <v>24</v>
      </c>
      <c r="D140" t="s">
        <v>26</v>
      </c>
      <c r="E140" t="s">
        <v>14</v>
      </c>
      <c r="F140">
        <v>14</v>
      </c>
      <c r="G140">
        <v>965</v>
      </c>
      <c r="H140">
        <v>1212</v>
      </c>
      <c r="I140">
        <v>13510</v>
      </c>
      <c r="J140">
        <v>16968</v>
      </c>
      <c r="K140">
        <v>3458</v>
      </c>
    </row>
    <row r="141" spans="1:11" x14ac:dyDescent="0.3">
      <c r="A141" s="10">
        <v>45520</v>
      </c>
      <c r="B141" t="s">
        <v>27</v>
      </c>
      <c r="C141" t="s">
        <v>40</v>
      </c>
      <c r="D141" t="s">
        <v>30</v>
      </c>
      <c r="E141" t="s">
        <v>19</v>
      </c>
      <c r="F141">
        <v>26</v>
      </c>
      <c r="G141">
        <v>715</v>
      </c>
      <c r="H141">
        <v>840</v>
      </c>
      <c r="I141">
        <v>18590</v>
      </c>
      <c r="J141">
        <v>21840</v>
      </c>
      <c r="K141">
        <v>3250</v>
      </c>
    </row>
    <row r="142" spans="1:11" x14ac:dyDescent="0.3">
      <c r="A142" s="10">
        <v>45478</v>
      </c>
      <c r="B142" t="s">
        <v>11</v>
      </c>
      <c r="C142" t="s">
        <v>24</v>
      </c>
      <c r="D142" t="s">
        <v>29</v>
      </c>
      <c r="E142" t="s">
        <v>14</v>
      </c>
      <c r="F142">
        <v>20</v>
      </c>
      <c r="G142">
        <v>960</v>
      </c>
      <c r="H142">
        <v>1170</v>
      </c>
      <c r="I142">
        <v>19200</v>
      </c>
      <c r="J142">
        <v>23400</v>
      </c>
      <c r="K142">
        <v>4200</v>
      </c>
    </row>
    <row r="143" spans="1:11" x14ac:dyDescent="0.3">
      <c r="A143" s="10">
        <v>45479</v>
      </c>
      <c r="B143" t="s">
        <v>11</v>
      </c>
      <c r="C143" t="s">
        <v>24</v>
      </c>
      <c r="D143" t="s">
        <v>18</v>
      </c>
      <c r="E143" t="s">
        <v>19</v>
      </c>
      <c r="F143">
        <v>16</v>
      </c>
      <c r="G143">
        <v>734</v>
      </c>
      <c r="H143">
        <v>1330</v>
      </c>
      <c r="I143">
        <v>11744</v>
      </c>
      <c r="J143">
        <v>21280</v>
      </c>
      <c r="K143">
        <v>9536</v>
      </c>
    </row>
    <row r="144" spans="1:11" x14ac:dyDescent="0.3">
      <c r="A144" s="10">
        <v>45480</v>
      </c>
      <c r="B144" t="s">
        <v>11</v>
      </c>
      <c r="C144" t="s">
        <v>24</v>
      </c>
      <c r="D144" t="s">
        <v>30</v>
      </c>
      <c r="E144" t="s">
        <v>19</v>
      </c>
      <c r="F144">
        <v>16</v>
      </c>
      <c r="G144">
        <v>673</v>
      </c>
      <c r="H144">
        <v>1233</v>
      </c>
      <c r="I144">
        <v>10768</v>
      </c>
      <c r="J144">
        <v>19728</v>
      </c>
      <c r="K144">
        <v>8960</v>
      </c>
    </row>
    <row r="145" spans="1:11" x14ac:dyDescent="0.3">
      <c r="A145" s="10">
        <v>45481</v>
      </c>
      <c r="B145" t="s">
        <v>11</v>
      </c>
      <c r="C145" t="s">
        <v>24</v>
      </c>
      <c r="D145" t="s">
        <v>31</v>
      </c>
      <c r="E145" t="s">
        <v>19</v>
      </c>
      <c r="F145">
        <v>14</v>
      </c>
      <c r="G145">
        <v>782</v>
      </c>
      <c r="H145">
        <v>835</v>
      </c>
      <c r="I145">
        <v>10948</v>
      </c>
      <c r="J145">
        <v>11690</v>
      </c>
      <c r="K145">
        <v>742</v>
      </c>
    </row>
    <row r="146" spans="1:11" x14ac:dyDescent="0.3">
      <c r="A146" s="10">
        <v>45482</v>
      </c>
      <c r="B146" t="s">
        <v>11</v>
      </c>
      <c r="C146" t="s">
        <v>24</v>
      </c>
      <c r="D146" t="s">
        <v>23</v>
      </c>
      <c r="E146" t="s">
        <v>19</v>
      </c>
      <c r="F146">
        <v>19</v>
      </c>
      <c r="G146">
        <v>536</v>
      </c>
      <c r="H146">
        <v>927</v>
      </c>
      <c r="I146">
        <v>10184</v>
      </c>
      <c r="J146">
        <v>17613</v>
      </c>
      <c r="K146">
        <v>7429</v>
      </c>
    </row>
    <row r="147" spans="1:11" x14ac:dyDescent="0.3">
      <c r="A147" s="10">
        <v>45526</v>
      </c>
      <c r="B147" t="s">
        <v>27</v>
      </c>
      <c r="C147" t="s">
        <v>40</v>
      </c>
      <c r="D147" t="s">
        <v>34</v>
      </c>
      <c r="E147" t="s">
        <v>14</v>
      </c>
      <c r="F147">
        <v>23</v>
      </c>
      <c r="G147">
        <v>923</v>
      </c>
      <c r="H147">
        <v>897</v>
      </c>
      <c r="I147">
        <v>21229</v>
      </c>
      <c r="J147">
        <v>20631</v>
      </c>
      <c r="K147">
        <v>-598</v>
      </c>
    </row>
    <row r="148" spans="1:11" x14ac:dyDescent="0.3">
      <c r="A148" s="10">
        <v>45483</v>
      </c>
      <c r="B148" t="s">
        <v>11</v>
      </c>
      <c r="C148" t="s">
        <v>24</v>
      </c>
      <c r="D148" t="s">
        <v>25</v>
      </c>
      <c r="E148" t="s">
        <v>14</v>
      </c>
      <c r="F148">
        <v>11</v>
      </c>
      <c r="G148">
        <v>991</v>
      </c>
      <c r="H148">
        <v>803</v>
      </c>
      <c r="I148">
        <v>10901</v>
      </c>
      <c r="J148">
        <v>8833</v>
      </c>
      <c r="K148">
        <v>-2068</v>
      </c>
    </row>
    <row r="149" spans="1:11" x14ac:dyDescent="0.3">
      <c r="A149" s="10">
        <v>45510</v>
      </c>
      <c r="B149" t="s">
        <v>11</v>
      </c>
      <c r="C149" t="s">
        <v>24</v>
      </c>
      <c r="D149" t="s">
        <v>26</v>
      </c>
      <c r="E149" t="s">
        <v>14</v>
      </c>
      <c r="F149">
        <v>10</v>
      </c>
      <c r="G149">
        <v>844</v>
      </c>
      <c r="H149">
        <v>865</v>
      </c>
      <c r="I149">
        <v>8440</v>
      </c>
      <c r="J149">
        <v>8650</v>
      </c>
      <c r="K149">
        <v>210</v>
      </c>
    </row>
    <row r="150" spans="1:11" x14ac:dyDescent="0.3">
      <c r="A150" s="10">
        <v>45511</v>
      </c>
      <c r="B150" t="s">
        <v>11</v>
      </c>
      <c r="C150" t="s">
        <v>24</v>
      </c>
      <c r="D150" t="s">
        <v>32</v>
      </c>
      <c r="E150" t="s">
        <v>14</v>
      </c>
      <c r="F150">
        <v>20</v>
      </c>
      <c r="G150">
        <v>803</v>
      </c>
      <c r="H150">
        <v>1377</v>
      </c>
      <c r="I150">
        <v>16060</v>
      </c>
      <c r="J150">
        <v>27540</v>
      </c>
      <c r="K150">
        <v>11480</v>
      </c>
    </row>
    <row r="151" spans="1:11" x14ac:dyDescent="0.3">
      <c r="A151" s="10">
        <v>45513</v>
      </c>
      <c r="B151" t="s">
        <v>11</v>
      </c>
      <c r="C151" t="s">
        <v>24</v>
      </c>
      <c r="D151" t="s">
        <v>25</v>
      </c>
      <c r="E151" t="s">
        <v>14</v>
      </c>
      <c r="F151">
        <v>12</v>
      </c>
      <c r="G151">
        <v>606</v>
      </c>
      <c r="H151">
        <v>1154</v>
      </c>
      <c r="I151">
        <v>7272</v>
      </c>
      <c r="J151">
        <v>13848</v>
      </c>
      <c r="K151">
        <v>6576</v>
      </c>
    </row>
    <row r="152" spans="1:11" x14ac:dyDescent="0.3">
      <c r="A152" s="10">
        <v>45514</v>
      </c>
      <c r="B152" t="s">
        <v>11</v>
      </c>
      <c r="C152" t="s">
        <v>24</v>
      </c>
      <c r="D152" t="s">
        <v>25</v>
      </c>
      <c r="E152" t="s">
        <v>14</v>
      </c>
      <c r="F152">
        <v>11</v>
      </c>
      <c r="G152">
        <v>622</v>
      </c>
      <c r="H152">
        <v>767</v>
      </c>
      <c r="I152">
        <v>6842</v>
      </c>
      <c r="J152">
        <v>8437</v>
      </c>
      <c r="K152">
        <v>1595</v>
      </c>
    </row>
    <row r="153" spans="1:11" x14ac:dyDescent="0.3">
      <c r="A153" s="10">
        <v>45515</v>
      </c>
      <c r="B153" t="s">
        <v>11</v>
      </c>
      <c r="C153" t="s">
        <v>24</v>
      </c>
      <c r="D153" t="s">
        <v>26</v>
      </c>
      <c r="E153" t="s">
        <v>19</v>
      </c>
      <c r="F153">
        <v>17</v>
      </c>
      <c r="G153">
        <v>671</v>
      </c>
      <c r="H153">
        <v>906</v>
      </c>
      <c r="I153">
        <v>11407</v>
      </c>
      <c r="J153">
        <v>15402</v>
      </c>
      <c r="K153">
        <v>3995</v>
      </c>
    </row>
    <row r="154" spans="1:11" x14ac:dyDescent="0.3">
      <c r="A154" s="10">
        <v>45516</v>
      </c>
      <c r="B154" t="s">
        <v>11</v>
      </c>
      <c r="C154" t="s">
        <v>24</v>
      </c>
      <c r="D154" t="s">
        <v>18</v>
      </c>
      <c r="E154" t="s">
        <v>19</v>
      </c>
      <c r="F154">
        <v>12</v>
      </c>
      <c r="G154">
        <v>814</v>
      </c>
      <c r="H154">
        <v>1392</v>
      </c>
      <c r="I154">
        <v>9768</v>
      </c>
      <c r="J154">
        <v>16704</v>
      </c>
      <c r="K154">
        <v>6936</v>
      </c>
    </row>
    <row r="155" spans="1:11" x14ac:dyDescent="0.3">
      <c r="A155" s="10">
        <v>45543</v>
      </c>
      <c r="B155" t="s">
        <v>11</v>
      </c>
      <c r="C155" t="s">
        <v>24</v>
      </c>
      <c r="D155" t="s">
        <v>35</v>
      </c>
      <c r="E155" t="s">
        <v>19</v>
      </c>
      <c r="F155">
        <v>11</v>
      </c>
      <c r="G155">
        <v>960</v>
      </c>
      <c r="H155">
        <v>939</v>
      </c>
      <c r="I155">
        <v>10560</v>
      </c>
      <c r="J155">
        <v>10329</v>
      </c>
      <c r="K155">
        <v>-231</v>
      </c>
    </row>
    <row r="156" spans="1:11" x14ac:dyDescent="0.3">
      <c r="A156" s="10">
        <v>45535</v>
      </c>
      <c r="B156" t="s">
        <v>21</v>
      </c>
      <c r="C156" t="s">
        <v>38</v>
      </c>
      <c r="D156" t="s">
        <v>15</v>
      </c>
      <c r="E156" t="s">
        <v>19</v>
      </c>
      <c r="F156">
        <v>89</v>
      </c>
      <c r="G156">
        <v>910</v>
      </c>
      <c r="H156">
        <v>1261</v>
      </c>
      <c r="I156">
        <v>80990</v>
      </c>
      <c r="J156">
        <v>112229</v>
      </c>
      <c r="K156">
        <v>31239</v>
      </c>
    </row>
    <row r="157" spans="1:11" x14ac:dyDescent="0.3">
      <c r="A157" s="10">
        <v>45544</v>
      </c>
      <c r="B157" t="s">
        <v>11</v>
      </c>
      <c r="C157" t="s">
        <v>24</v>
      </c>
      <c r="D157" t="s">
        <v>26</v>
      </c>
      <c r="E157" t="s">
        <v>19</v>
      </c>
      <c r="F157">
        <v>10</v>
      </c>
      <c r="G157">
        <v>654</v>
      </c>
      <c r="H157">
        <v>1029</v>
      </c>
      <c r="I157">
        <v>6540</v>
      </c>
      <c r="J157">
        <v>10290</v>
      </c>
      <c r="K157">
        <v>3750</v>
      </c>
    </row>
    <row r="158" spans="1:11" x14ac:dyDescent="0.3">
      <c r="A158" s="10">
        <v>45545</v>
      </c>
      <c r="B158" t="s">
        <v>11</v>
      </c>
      <c r="C158" t="s">
        <v>24</v>
      </c>
      <c r="D158" t="s">
        <v>17</v>
      </c>
      <c r="E158" t="s">
        <v>19</v>
      </c>
      <c r="F158">
        <v>14</v>
      </c>
      <c r="G158">
        <v>504</v>
      </c>
      <c r="H158">
        <v>1130</v>
      </c>
      <c r="I158">
        <v>7056</v>
      </c>
      <c r="J158">
        <v>15820</v>
      </c>
      <c r="K158">
        <v>8764</v>
      </c>
    </row>
    <row r="159" spans="1:11" x14ac:dyDescent="0.3">
      <c r="A159" s="10">
        <v>45546</v>
      </c>
      <c r="B159" t="s">
        <v>11</v>
      </c>
      <c r="C159" t="s">
        <v>24</v>
      </c>
      <c r="D159" t="s">
        <v>34</v>
      </c>
      <c r="E159" t="s">
        <v>19</v>
      </c>
      <c r="F159">
        <v>12</v>
      </c>
      <c r="G159">
        <v>886</v>
      </c>
      <c r="H159">
        <v>1233</v>
      </c>
      <c r="I159">
        <v>10632</v>
      </c>
      <c r="J159">
        <v>14796</v>
      </c>
      <c r="K159">
        <v>4164</v>
      </c>
    </row>
    <row r="160" spans="1:11" x14ac:dyDescent="0.3">
      <c r="A160" s="10">
        <v>45547</v>
      </c>
      <c r="B160" t="s">
        <v>11</v>
      </c>
      <c r="C160" t="s">
        <v>24</v>
      </c>
      <c r="D160" t="s">
        <v>36</v>
      </c>
      <c r="E160" t="s">
        <v>14</v>
      </c>
      <c r="F160">
        <v>10</v>
      </c>
      <c r="G160">
        <v>554</v>
      </c>
      <c r="H160">
        <v>1210</v>
      </c>
      <c r="I160">
        <v>5540</v>
      </c>
      <c r="J160">
        <v>12100</v>
      </c>
      <c r="K160">
        <v>6560</v>
      </c>
    </row>
    <row r="161" spans="1:11" x14ac:dyDescent="0.3">
      <c r="A161" s="10">
        <v>45540</v>
      </c>
      <c r="B161" t="s">
        <v>21</v>
      </c>
      <c r="C161" t="s">
        <v>41</v>
      </c>
      <c r="D161" t="s">
        <v>20</v>
      </c>
      <c r="E161" t="s">
        <v>14</v>
      </c>
      <c r="F161">
        <v>59</v>
      </c>
      <c r="G161">
        <v>764</v>
      </c>
      <c r="H161">
        <v>1365</v>
      </c>
      <c r="I161">
        <v>45076</v>
      </c>
      <c r="J161">
        <v>80535</v>
      </c>
      <c r="K161">
        <v>35459</v>
      </c>
    </row>
    <row r="162" spans="1:11" x14ac:dyDescent="0.3">
      <c r="A162" s="10">
        <v>45548</v>
      </c>
      <c r="B162" t="s">
        <v>11</v>
      </c>
      <c r="C162" t="s">
        <v>24</v>
      </c>
      <c r="D162" t="s">
        <v>37</v>
      </c>
      <c r="E162" t="s">
        <v>14</v>
      </c>
      <c r="F162">
        <v>14</v>
      </c>
      <c r="G162">
        <v>933</v>
      </c>
      <c r="H162">
        <v>1064</v>
      </c>
      <c r="I162">
        <v>13062</v>
      </c>
      <c r="J162">
        <v>14896</v>
      </c>
      <c r="K162">
        <v>1834</v>
      </c>
    </row>
    <row r="163" spans="1:11" x14ac:dyDescent="0.3">
      <c r="A163" s="10">
        <v>45550</v>
      </c>
      <c r="B163" t="s">
        <v>11</v>
      </c>
      <c r="C163" t="s">
        <v>24</v>
      </c>
      <c r="D163" t="s">
        <v>26</v>
      </c>
      <c r="E163" t="s">
        <v>14</v>
      </c>
      <c r="F163">
        <v>15</v>
      </c>
      <c r="G163">
        <v>674</v>
      </c>
      <c r="H163">
        <v>1125</v>
      </c>
      <c r="I163">
        <v>10110</v>
      </c>
      <c r="J163">
        <v>16875</v>
      </c>
      <c r="K163">
        <v>6765</v>
      </c>
    </row>
    <row r="164" spans="1:11" x14ac:dyDescent="0.3">
      <c r="A164" s="10">
        <v>45551</v>
      </c>
      <c r="B164" t="s">
        <v>11</v>
      </c>
      <c r="C164" t="s">
        <v>24</v>
      </c>
      <c r="D164" t="s">
        <v>32</v>
      </c>
      <c r="E164" t="s">
        <v>14</v>
      </c>
      <c r="F164">
        <v>20</v>
      </c>
      <c r="G164">
        <v>529</v>
      </c>
      <c r="H164">
        <v>1455</v>
      </c>
      <c r="I164">
        <v>10580</v>
      </c>
      <c r="J164">
        <v>29100</v>
      </c>
      <c r="K164">
        <v>18520</v>
      </c>
    </row>
    <row r="165" spans="1:11" x14ac:dyDescent="0.3">
      <c r="A165" s="10">
        <v>45552</v>
      </c>
      <c r="B165" t="s">
        <v>11</v>
      </c>
      <c r="C165" t="s">
        <v>24</v>
      </c>
      <c r="D165" t="s">
        <v>23</v>
      </c>
      <c r="E165" t="s">
        <v>14</v>
      </c>
      <c r="F165">
        <v>18</v>
      </c>
      <c r="G165">
        <v>717</v>
      </c>
      <c r="H165">
        <v>833</v>
      </c>
      <c r="I165">
        <v>12906</v>
      </c>
      <c r="J165">
        <v>14994</v>
      </c>
      <c r="K165">
        <v>2088</v>
      </c>
    </row>
    <row r="166" spans="1:11" x14ac:dyDescent="0.3">
      <c r="A166" s="10">
        <v>45553</v>
      </c>
      <c r="B166" t="s">
        <v>11</v>
      </c>
      <c r="C166" t="s">
        <v>24</v>
      </c>
      <c r="D166" t="s">
        <v>25</v>
      </c>
      <c r="E166" t="s">
        <v>14</v>
      </c>
      <c r="F166">
        <v>17</v>
      </c>
      <c r="G166">
        <v>966</v>
      </c>
      <c r="H166">
        <v>1044</v>
      </c>
      <c r="I166">
        <v>16422</v>
      </c>
      <c r="J166">
        <v>17748</v>
      </c>
      <c r="K166">
        <v>1326</v>
      </c>
    </row>
    <row r="167" spans="1:11" x14ac:dyDescent="0.3">
      <c r="A167" s="10">
        <v>45562</v>
      </c>
      <c r="B167" t="s">
        <v>11</v>
      </c>
      <c r="C167" t="s">
        <v>12</v>
      </c>
      <c r="D167" t="s">
        <v>23</v>
      </c>
      <c r="E167" t="s">
        <v>19</v>
      </c>
      <c r="F167">
        <v>16</v>
      </c>
      <c r="G167">
        <v>599</v>
      </c>
      <c r="H167">
        <v>1490</v>
      </c>
      <c r="I167">
        <v>9584</v>
      </c>
      <c r="J167">
        <v>23840</v>
      </c>
      <c r="K167">
        <v>14256</v>
      </c>
    </row>
    <row r="168" spans="1:11" x14ac:dyDescent="0.3">
      <c r="A168" s="10">
        <v>45564</v>
      </c>
      <c r="B168" t="s">
        <v>11</v>
      </c>
      <c r="C168" t="s">
        <v>12</v>
      </c>
      <c r="D168" t="s">
        <v>25</v>
      </c>
      <c r="E168" t="s">
        <v>14</v>
      </c>
      <c r="F168">
        <v>12</v>
      </c>
      <c r="G168">
        <v>827</v>
      </c>
      <c r="H168">
        <v>955</v>
      </c>
      <c r="I168">
        <v>9924</v>
      </c>
      <c r="J168">
        <v>11460</v>
      </c>
      <c r="K168">
        <v>1536</v>
      </c>
    </row>
    <row r="169" spans="1:11" x14ac:dyDescent="0.3">
      <c r="A169" s="10">
        <v>45566</v>
      </c>
      <c r="B169" t="s">
        <v>11</v>
      </c>
      <c r="C169" t="s">
        <v>12</v>
      </c>
      <c r="D169" t="s">
        <v>34</v>
      </c>
      <c r="E169" t="s">
        <v>14</v>
      </c>
      <c r="F169">
        <v>17</v>
      </c>
      <c r="G169">
        <v>932</v>
      </c>
      <c r="H169">
        <v>808</v>
      </c>
      <c r="I169">
        <v>15844</v>
      </c>
      <c r="J169">
        <v>13736</v>
      </c>
      <c r="K169">
        <v>-2108</v>
      </c>
    </row>
    <row r="170" spans="1:11" x14ac:dyDescent="0.3">
      <c r="A170" s="10">
        <v>45549</v>
      </c>
      <c r="B170" t="s">
        <v>11</v>
      </c>
      <c r="C170" t="s">
        <v>24</v>
      </c>
      <c r="D170" t="s">
        <v>23</v>
      </c>
      <c r="E170" t="s">
        <v>14</v>
      </c>
      <c r="F170">
        <v>14</v>
      </c>
      <c r="G170">
        <v>857</v>
      </c>
      <c r="H170">
        <v>767</v>
      </c>
      <c r="I170">
        <v>11998</v>
      </c>
      <c r="J170">
        <v>10738</v>
      </c>
      <c r="K170">
        <v>-1260</v>
      </c>
    </row>
    <row r="171" spans="1:11" x14ac:dyDescent="0.3">
      <c r="A171" s="10">
        <v>45567</v>
      </c>
      <c r="B171" t="s">
        <v>11</v>
      </c>
      <c r="C171" t="s">
        <v>12</v>
      </c>
      <c r="D171" t="s">
        <v>32</v>
      </c>
      <c r="E171" t="s">
        <v>14</v>
      </c>
      <c r="F171">
        <v>11</v>
      </c>
      <c r="G171">
        <v>654</v>
      </c>
      <c r="H171">
        <v>767</v>
      </c>
      <c r="I171">
        <v>7194</v>
      </c>
      <c r="J171">
        <v>8437</v>
      </c>
      <c r="K171">
        <v>1243</v>
      </c>
    </row>
    <row r="172" spans="1:11" x14ac:dyDescent="0.3">
      <c r="A172" s="10">
        <v>45568</v>
      </c>
      <c r="B172" t="s">
        <v>11</v>
      </c>
      <c r="C172" t="s">
        <v>12</v>
      </c>
      <c r="D172" t="s">
        <v>25</v>
      </c>
      <c r="E172" t="s">
        <v>14</v>
      </c>
      <c r="F172">
        <v>19</v>
      </c>
      <c r="G172">
        <v>764</v>
      </c>
      <c r="H172">
        <v>1069</v>
      </c>
      <c r="I172">
        <v>14516</v>
      </c>
      <c r="J172">
        <v>20311</v>
      </c>
      <c r="K172">
        <v>5795</v>
      </c>
    </row>
    <row r="173" spans="1:11" x14ac:dyDescent="0.3">
      <c r="A173" s="10">
        <v>45580</v>
      </c>
      <c r="B173" t="s">
        <v>11</v>
      </c>
      <c r="C173" t="s">
        <v>24</v>
      </c>
      <c r="D173" t="s">
        <v>20</v>
      </c>
      <c r="E173" t="s">
        <v>19</v>
      </c>
      <c r="F173">
        <v>15</v>
      </c>
      <c r="G173">
        <v>906</v>
      </c>
      <c r="H173">
        <v>1485</v>
      </c>
      <c r="I173">
        <v>13590</v>
      </c>
      <c r="J173">
        <v>22275</v>
      </c>
      <c r="K173">
        <v>8685</v>
      </c>
    </row>
    <row r="174" spans="1:11" x14ac:dyDescent="0.3">
      <c r="A174" s="10">
        <v>45581</v>
      </c>
      <c r="B174" t="s">
        <v>11</v>
      </c>
      <c r="C174" t="s">
        <v>24</v>
      </c>
      <c r="D174" t="s">
        <v>17</v>
      </c>
      <c r="E174" t="s">
        <v>19</v>
      </c>
      <c r="F174">
        <v>20</v>
      </c>
      <c r="G174">
        <v>780</v>
      </c>
      <c r="H174">
        <v>783</v>
      </c>
      <c r="I174">
        <v>15600</v>
      </c>
      <c r="J174">
        <v>15660</v>
      </c>
      <c r="K174">
        <v>60</v>
      </c>
    </row>
    <row r="175" spans="1:11" x14ac:dyDescent="0.3">
      <c r="A175" s="10">
        <v>45554</v>
      </c>
      <c r="B175" t="s">
        <v>11</v>
      </c>
      <c r="C175" t="s">
        <v>24</v>
      </c>
      <c r="D175" t="s">
        <v>25</v>
      </c>
      <c r="E175" t="s">
        <v>19</v>
      </c>
      <c r="F175">
        <v>14</v>
      </c>
      <c r="G175">
        <v>515</v>
      </c>
      <c r="H175">
        <v>1230</v>
      </c>
      <c r="I175">
        <v>7210</v>
      </c>
      <c r="J175">
        <v>17220</v>
      </c>
      <c r="K175">
        <v>10010</v>
      </c>
    </row>
    <row r="176" spans="1:11" x14ac:dyDescent="0.3">
      <c r="A176" s="10">
        <v>45582</v>
      </c>
      <c r="B176" t="s">
        <v>11</v>
      </c>
      <c r="C176" t="s">
        <v>24</v>
      </c>
      <c r="D176" t="s">
        <v>36</v>
      </c>
      <c r="E176" t="s">
        <v>19</v>
      </c>
      <c r="F176">
        <v>17</v>
      </c>
      <c r="G176">
        <v>747</v>
      </c>
      <c r="H176">
        <v>1190</v>
      </c>
      <c r="I176">
        <v>12699</v>
      </c>
      <c r="J176">
        <v>20230</v>
      </c>
      <c r="K176">
        <v>7531</v>
      </c>
    </row>
    <row r="177" spans="1:11" x14ac:dyDescent="0.3">
      <c r="A177" s="10">
        <v>45584</v>
      </c>
      <c r="B177" t="s">
        <v>11</v>
      </c>
      <c r="C177" t="s">
        <v>24</v>
      </c>
      <c r="D177" t="s">
        <v>23</v>
      </c>
      <c r="E177" t="s">
        <v>14</v>
      </c>
      <c r="F177">
        <v>15</v>
      </c>
      <c r="G177">
        <v>747</v>
      </c>
      <c r="H177">
        <v>966</v>
      </c>
      <c r="I177">
        <v>11205</v>
      </c>
      <c r="J177">
        <v>14490</v>
      </c>
      <c r="K177">
        <v>3285</v>
      </c>
    </row>
    <row r="178" spans="1:11" x14ac:dyDescent="0.3">
      <c r="A178" s="10">
        <v>45585</v>
      </c>
      <c r="B178" t="s">
        <v>11</v>
      </c>
      <c r="C178" t="s">
        <v>24</v>
      </c>
      <c r="D178" t="s">
        <v>25</v>
      </c>
      <c r="E178" t="s">
        <v>14</v>
      </c>
      <c r="F178">
        <v>20</v>
      </c>
      <c r="G178">
        <v>844</v>
      </c>
      <c r="H178">
        <v>1010</v>
      </c>
      <c r="I178">
        <v>16880</v>
      </c>
      <c r="J178">
        <v>20200</v>
      </c>
      <c r="K178">
        <v>3320</v>
      </c>
    </row>
    <row r="179" spans="1:11" x14ac:dyDescent="0.3">
      <c r="A179" s="10">
        <v>45587</v>
      </c>
      <c r="B179" t="s">
        <v>11</v>
      </c>
      <c r="C179" t="s">
        <v>24</v>
      </c>
      <c r="D179" t="s">
        <v>34</v>
      </c>
      <c r="E179" t="s">
        <v>14</v>
      </c>
      <c r="F179">
        <v>14</v>
      </c>
      <c r="G179">
        <v>799</v>
      </c>
      <c r="H179">
        <v>1154</v>
      </c>
      <c r="I179">
        <v>11186</v>
      </c>
      <c r="J179">
        <v>16156</v>
      </c>
      <c r="K179">
        <v>4970</v>
      </c>
    </row>
    <row r="180" spans="1:11" x14ac:dyDescent="0.3">
      <c r="A180" s="10">
        <v>45659</v>
      </c>
      <c r="B180" t="s">
        <v>11</v>
      </c>
      <c r="C180" t="s">
        <v>12</v>
      </c>
      <c r="D180" t="s">
        <v>17</v>
      </c>
      <c r="E180" t="s">
        <v>14</v>
      </c>
      <c r="F180">
        <v>19</v>
      </c>
      <c r="G180">
        <v>608</v>
      </c>
      <c r="H180">
        <v>1032</v>
      </c>
      <c r="I180">
        <v>11552</v>
      </c>
      <c r="J180">
        <v>19608</v>
      </c>
      <c r="K180">
        <v>8056</v>
      </c>
    </row>
    <row r="181" spans="1:11" x14ac:dyDescent="0.3">
      <c r="A181" s="10">
        <v>45661</v>
      </c>
      <c r="B181" t="s">
        <v>11</v>
      </c>
      <c r="C181" t="s">
        <v>12</v>
      </c>
      <c r="D181" t="s">
        <v>35</v>
      </c>
      <c r="E181" t="s">
        <v>14</v>
      </c>
      <c r="F181">
        <v>14</v>
      </c>
      <c r="G181">
        <v>579</v>
      </c>
      <c r="H181">
        <v>907</v>
      </c>
      <c r="I181">
        <v>8106</v>
      </c>
      <c r="J181">
        <v>12698</v>
      </c>
      <c r="K181">
        <v>4592</v>
      </c>
    </row>
    <row r="182" spans="1:11" x14ac:dyDescent="0.3">
      <c r="A182" s="10">
        <v>45663</v>
      </c>
      <c r="B182" t="s">
        <v>11</v>
      </c>
      <c r="C182" t="s">
        <v>12</v>
      </c>
      <c r="D182" t="s">
        <v>15</v>
      </c>
      <c r="E182" t="s">
        <v>14</v>
      </c>
      <c r="F182">
        <v>17</v>
      </c>
      <c r="G182">
        <v>825</v>
      </c>
      <c r="H182">
        <v>1080</v>
      </c>
      <c r="I182">
        <v>14025</v>
      </c>
      <c r="J182">
        <v>18360</v>
      </c>
      <c r="K182">
        <v>4335</v>
      </c>
    </row>
    <row r="183" spans="1:11" x14ac:dyDescent="0.3">
      <c r="A183" s="10">
        <v>45665</v>
      </c>
      <c r="B183" t="s">
        <v>11</v>
      </c>
      <c r="C183" t="s">
        <v>12</v>
      </c>
      <c r="D183" t="s">
        <v>17</v>
      </c>
      <c r="E183" t="s">
        <v>19</v>
      </c>
      <c r="F183">
        <v>15</v>
      </c>
      <c r="G183">
        <v>827</v>
      </c>
      <c r="H183">
        <v>931</v>
      </c>
      <c r="I183">
        <v>12405</v>
      </c>
      <c r="J183">
        <v>13965</v>
      </c>
      <c r="K183">
        <v>1560</v>
      </c>
    </row>
    <row r="184" spans="1:11" x14ac:dyDescent="0.3">
      <c r="A184" s="10">
        <v>45563</v>
      </c>
      <c r="B184" t="s">
        <v>11</v>
      </c>
      <c r="C184" t="s">
        <v>12</v>
      </c>
      <c r="D184" t="s">
        <v>25</v>
      </c>
      <c r="E184" t="s">
        <v>14</v>
      </c>
      <c r="F184">
        <v>15</v>
      </c>
      <c r="G184">
        <v>650</v>
      </c>
      <c r="H184">
        <v>1347</v>
      </c>
      <c r="I184">
        <v>9750</v>
      </c>
      <c r="J184">
        <v>20205</v>
      </c>
      <c r="K184">
        <v>10455</v>
      </c>
    </row>
    <row r="185" spans="1:11" x14ac:dyDescent="0.3">
      <c r="A185" s="10">
        <v>45678</v>
      </c>
      <c r="B185" t="s">
        <v>11</v>
      </c>
      <c r="C185" t="s">
        <v>24</v>
      </c>
      <c r="D185" t="s">
        <v>13</v>
      </c>
      <c r="E185" t="s">
        <v>14</v>
      </c>
      <c r="F185">
        <v>20</v>
      </c>
      <c r="G185">
        <v>900</v>
      </c>
      <c r="H185">
        <v>1431</v>
      </c>
      <c r="I185">
        <v>18000</v>
      </c>
      <c r="J185">
        <v>28620</v>
      </c>
      <c r="K185">
        <v>10620</v>
      </c>
    </row>
    <row r="186" spans="1:11" x14ac:dyDescent="0.3">
      <c r="A186" s="10">
        <v>45565</v>
      </c>
      <c r="B186" t="s">
        <v>11</v>
      </c>
      <c r="C186" t="s">
        <v>12</v>
      </c>
      <c r="D186" t="s">
        <v>34</v>
      </c>
      <c r="E186" t="s">
        <v>14</v>
      </c>
      <c r="F186">
        <v>15</v>
      </c>
      <c r="G186">
        <v>825</v>
      </c>
      <c r="H186">
        <v>947</v>
      </c>
      <c r="I186">
        <v>12375</v>
      </c>
      <c r="J186">
        <v>14205</v>
      </c>
      <c r="K186">
        <v>1830</v>
      </c>
    </row>
    <row r="187" spans="1:11" x14ac:dyDescent="0.3">
      <c r="A187" s="10">
        <v>45679</v>
      </c>
      <c r="B187" t="s">
        <v>11</v>
      </c>
      <c r="C187" t="s">
        <v>24</v>
      </c>
      <c r="D187" t="s">
        <v>15</v>
      </c>
      <c r="E187" t="s">
        <v>14</v>
      </c>
      <c r="F187">
        <v>19</v>
      </c>
      <c r="G187">
        <v>791</v>
      </c>
      <c r="H187">
        <v>965</v>
      </c>
      <c r="I187">
        <v>15029</v>
      </c>
      <c r="J187">
        <v>18335</v>
      </c>
      <c r="K187">
        <v>3306</v>
      </c>
    </row>
    <row r="188" spans="1:11" x14ac:dyDescent="0.3">
      <c r="A188" s="10">
        <v>45680</v>
      </c>
      <c r="B188" t="s">
        <v>11</v>
      </c>
      <c r="C188" t="s">
        <v>24</v>
      </c>
      <c r="D188" t="s">
        <v>16</v>
      </c>
      <c r="E188" t="s">
        <v>14</v>
      </c>
      <c r="F188">
        <v>18</v>
      </c>
      <c r="G188">
        <v>963</v>
      </c>
      <c r="H188">
        <v>1178</v>
      </c>
      <c r="I188">
        <v>17334</v>
      </c>
      <c r="J188">
        <v>21204</v>
      </c>
      <c r="K188">
        <v>3870</v>
      </c>
    </row>
    <row r="189" spans="1:11" x14ac:dyDescent="0.3">
      <c r="A189" s="10">
        <v>45681</v>
      </c>
      <c r="B189" t="s">
        <v>11</v>
      </c>
      <c r="C189" t="s">
        <v>24</v>
      </c>
      <c r="D189" t="s">
        <v>17</v>
      </c>
      <c r="E189" t="s">
        <v>14</v>
      </c>
      <c r="F189">
        <v>19</v>
      </c>
      <c r="G189">
        <v>763</v>
      </c>
      <c r="H189">
        <v>1036</v>
      </c>
      <c r="I189">
        <v>14497</v>
      </c>
      <c r="J189">
        <v>19684</v>
      </c>
      <c r="K189">
        <v>5187</v>
      </c>
    </row>
    <row r="190" spans="1:11" x14ac:dyDescent="0.3">
      <c r="A190" s="10">
        <v>45682</v>
      </c>
      <c r="B190" t="s">
        <v>11</v>
      </c>
      <c r="C190" t="s">
        <v>24</v>
      </c>
      <c r="D190" t="s">
        <v>17</v>
      </c>
      <c r="E190" t="s">
        <v>14</v>
      </c>
      <c r="F190">
        <v>19</v>
      </c>
      <c r="G190">
        <v>795</v>
      </c>
      <c r="H190">
        <v>1471</v>
      </c>
      <c r="I190">
        <v>15105</v>
      </c>
      <c r="J190">
        <v>27949</v>
      </c>
      <c r="K190">
        <v>12844</v>
      </c>
    </row>
    <row r="191" spans="1:11" x14ac:dyDescent="0.3">
      <c r="A191" s="10">
        <v>45684</v>
      </c>
      <c r="B191" t="s">
        <v>11</v>
      </c>
      <c r="C191" t="s">
        <v>24</v>
      </c>
      <c r="D191" t="s">
        <v>20</v>
      </c>
      <c r="E191" t="s">
        <v>19</v>
      </c>
      <c r="F191">
        <v>16</v>
      </c>
      <c r="G191">
        <v>731</v>
      </c>
      <c r="H191">
        <v>1296</v>
      </c>
      <c r="I191">
        <v>11696</v>
      </c>
      <c r="J191">
        <v>20736</v>
      </c>
      <c r="K191">
        <v>9040</v>
      </c>
    </row>
    <row r="192" spans="1:11" x14ac:dyDescent="0.3">
      <c r="A192" s="10">
        <v>45571</v>
      </c>
      <c r="B192" t="s">
        <v>21</v>
      </c>
      <c r="C192" t="s">
        <v>38</v>
      </c>
      <c r="D192" t="s">
        <v>26</v>
      </c>
      <c r="E192" t="s">
        <v>14</v>
      </c>
      <c r="F192">
        <v>92</v>
      </c>
      <c r="G192">
        <v>923</v>
      </c>
      <c r="H192">
        <v>1151</v>
      </c>
      <c r="I192">
        <v>84916</v>
      </c>
      <c r="J192">
        <v>105892</v>
      </c>
      <c r="K192">
        <v>20976</v>
      </c>
    </row>
    <row r="193" spans="1:11" x14ac:dyDescent="0.3">
      <c r="A193" s="10">
        <v>45685</v>
      </c>
      <c r="B193" t="s">
        <v>11</v>
      </c>
      <c r="C193" t="s">
        <v>24</v>
      </c>
      <c r="D193" t="s">
        <v>17</v>
      </c>
      <c r="E193" t="s">
        <v>19</v>
      </c>
      <c r="F193">
        <v>12</v>
      </c>
      <c r="G193">
        <v>927</v>
      </c>
      <c r="H193">
        <v>1162</v>
      </c>
      <c r="I193">
        <v>11124</v>
      </c>
      <c r="J193">
        <v>13944</v>
      </c>
      <c r="K193">
        <v>2820</v>
      </c>
    </row>
    <row r="194" spans="1:11" x14ac:dyDescent="0.3">
      <c r="A194" s="10">
        <v>45686</v>
      </c>
      <c r="B194" t="s">
        <v>11</v>
      </c>
      <c r="C194" t="s">
        <v>24</v>
      </c>
      <c r="D194" t="s">
        <v>25</v>
      </c>
      <c r="E194" t="s">
        <v>19</v>
      </c>
      <c r="F194">
        <v>13</v>
      </c>
      <c r="G194">
        <v>528</v>
      </c>
      <c r="H194">
        <v>1175</v>
      </c>
      <c r="I194">
        <v>6864</v>
      </c>
      <c r="J194">
        <v>15275</v>
      </c>
      <c r="K194">
        <v>8411</v>
      </c>
    </row>
    <row r="195" spans="1:11" x14ac:dyDescent="0.3">
      <c r="A195" s="10">
        <v>45688</v>
      </c>
      <c r="B195" t="s">
        <v>11</v>
      </c>
      <c r="C195" t="s">
        <v>24</v>
      </c>
      <c r="D195" t="s">
        <v>39</v>
      </c>
      <c r="E195" t="s">
        <v>19</v>
      </c>
      <c r="F195">
        <v>16</v>
      </c>
      <c r="G195">
        <v>998</v>
      </c>
      <c r="H195">
        <v>835</v>
      </c>
      <c r="I195">
        <v>15968</v>
      </c>
      <c r="J195">
        <v>13360</v>
      </c>
      <c r="K195">
        <v>-2608</v>
      </c>
    </row>
    <row r="196" spans="1:11" x14ac:dyDescent="0.3">
      <c r="A196" s="10">
        <v>45383</v>
      </c>
      <c r="B196" t="s">
        <v>27</v>
      </c>
      <c r="C196" t="s">
        <v>28</v>
      </c>
      <c r="D196" t="s">
        <v>35</v>
      </c>
      <c r="E196" t="s">
        <v>19</v>
      </c>
      <c r="F196">
        <v>29</v>
      </c>
      <c r="G196">
        <v>924</v>
      </c>
      <c r="H196">
        <v>1101</v>
      </c>
      <c r="I196">
        <v>26796</v>
      </c>
      <c r="J196">
        <v>31929</v>
      </c>
      <c r="K196">
        <v>5133</v>
      </c>
    </row>
    <row r="197" spans="1:11" x14ac:dyDescent="0.3">
      <c r="A197" s="10">
        <v>45384</v>
      </c>
      <c r="B197" t="s">
        <v>27</v>
      </c>
      <c r="C197" t="s">
        <v>42</v>
      </c>
      <c r="D197" t="s">
        <v>26</v>
      </c>
      <c r="E197" t="s">
        <v>19</v>
      </c>
      <c r="F197">
        <v>30</v>
      </c>
      <c r="G197">
        <v>817</v>
      </c>
      <c r="H197">
        <v>1334</v>
      </c>
      <c r="I197">
        <v>24510</v>
      </c>
      <c r="J197">
        <v>40020</v>
      </c>
      <c r="K197">
        <v>15510</v>
      </c>
    </row>
    <row r="198" spans="1:11" x14ac:dyDescent="0.3">
      <c r="A198" s="10">
        <v>45385</v>
      </c>
      <c r="B198" t="s">
        <v>27</v>
      </c>
      <c r="C198" t="s">
        <v>42</v>
      </c>
      <c r="D198" t="s">
        <v>17</v>
      </c>
      <c r="E198" t="s">
        <v>19</v>
      </c>
      <c r="F198">
        <v>23</v>
      </c>
      <c r="G198">
        <v>753</v>
      </c>
      <c r="H198">
        <v>987</v>
      </c>
      <c r="I198">
        <v>17319</v>
      </c>
      <c r="J198">
        <v>22701</v>
      </c>
      <c r="K198">
        <v>5382</v>
      </c>
    </row>
    <row r="199" spans="1:11" x14ac:dyDescent="0.3">
      <c r="A199" s="10">
        <v>45578</v>
      </c>
      <c r="B199" t="s">
        <v>21</v>
      </c>
      <c r="C199" t="s">
        <v>41</v>
      </c>
      <c r="D199" t="s">
        <v>17</v>
      </c>
      <c r="E199" t="s">
        <v>19</v>
      </c>
      <c r="F199">
        <v>57</v>
      </c>
      <c r="G199">
        <v>927</v>
      </c>
      <c r="H199">
        <v>1477</v>
      </c>
      <c r="I199">
        <v>52839</v>
      </c>
      <c r="J199">
        <v>84189</v>
      </c>
      <c r="K199">
        <v>31350</v>
      </c>
    </row>
    <row r="200" spans="1:11" x14ac:dyDescent="0.3">
      <c r="A200" s="10">
        <v>45386</v>
      </c>
      <c r="B200" t="s">
        <v>27</v>
      </c>
      <c r="C200" t="s">
        <v>42</v>
      </c>
      <c r="D200" t="s">
        <v>34</v>
      </c>
      <c r="E200" t="s">
        <v>19</v>
      </c>
      <c r="F200">
        <v>26</v>
      </c>
      <c r="G200">
        <v>809</v>
      </c>
      <c r="H200">
        <v>800</v>
      </c>
      <c r="I200">
        <v>21034</v>
      </c>
      <c r="J200">
        <v>20800</v>
      </c>
      <c r="K200">
        <v>-234</v>
      </c>
    </row>
    <row r="201" spans="1:11" x14ac:dyDescent="0.3">
      <c r="A201" s="10">
        <v>45391</v>
      </c>
      <c r="B201" t="s">
        <v>27</v>
      </c>
      <c r="C201" t="s">
        <v>28</v>
      </c>
      <c r="D201" t="s">
        <v>32</v>
      </c>
      <c r="E201" t="s">
        <v>14</v>
      </c>
      <c r="F201">
        <v>23</v>
      </c>
      <c r="G201">
        <v>852</v>
      </c>
      <c r="H201">
        <v>1480</v>
      </c>
      <c r="I201">
        <v>19596</v>
      </c>
      <c r="J201">
        <v>34040</v>
      </c>
      <c r="K201">
        <v>14444</v>
      </c>
    </row>
    <row r="202" spans="1:11" x14ac:dyDescent="0.3">
      <c r="A202" s="10">
        <v>45392</v>
      </c>
      <c r="B202" t="s">
        <v>27</v>
      </c>
      <c r="C202" t="s">
        <v>28</v>
      </c>
      <c r="D202" t="s">
        <v>23</v>
      </c>
      <c r="E202" t="s">
        <v>14</v>
      </c>
      <c r="F202">
        <v>24</v>
      </c>
      <c r="G202">
        <v>903</v>
      </c>
      <c r="H202">
        <v>1338</v>
      </c>
      <c r="I202">
        <v>21672</v>
      </c>
      <c r="J202">
        <v>32112</v>
      </c>
      <c r="K202">
        <v>10440</v>
      </c>
    </row>
    <row r="203" spans="1:11" x14ac:dyDescent="0.3">
      <c r="A203" s="10">
        <v>45393</v>
      </c>
      <c r="B203" t="s">
        <v>27</v>
      </c>
      <c r="C203" t="s">
        <v>28</v>
      </c>
      <c r="D203" t="s">
        <v>25</v>
      </c>
      <c r="E203" t="s">
        <v>14</v>
      </c>
      <c r="F203">
        <v>21</v>
      </c>
      <c r="G203">
        <v>829</v>
      </c>
      <c r="H203">
        <v>950</v>
      </c>
      <c r="I203">
        <v>17409</v>
      </c>
      <c r="J203">
        <v>19950</v>
      </c>
      <c r="K203">
        <v>2541</v>
      </c>
    </row>
    <row r="204" spans="1:11" x14ac:dyDescent="0.3">
      <c r="A204" s="10">
        <v>45583</v>
      </c>
      <c r="B204" t="s">
        <v>11</v>
      </c>
      <c r="C204" t="s">
        <v>24</v>
      </c>
      <c r="D204" t="s">
        <v>31</v>
      </c>
      <c r="E204" t="s">
        <v>14</v>
      </c>
      <c r="F204">
        <v>16</v>
      </c>
      <c r="G204">
        <v>584</v>
      </c>
      <c r="H204">
        <v>1278</v>
      </c>
      <c r="I204">
        <v>9344</v>
      </c>
      <c r="J204">
        <v>20448</v>
      </c>
      <c r="K204">
        <v>11104</v>
      </c>
    </row>
    <row r="205" spans="1:11" x14ac:dyDescent="0.3">
      <c r="A205" s="10">
        <v>45394</v>
      </c>
      <c r="B205" t="s">
        <v>27</v>
      </c>
      <c r="C205" t="s">
        <v>28</v>
      </c>
      <c r="D205" t="s">
        <v>25</v>
      </c>
      <c r="E205" t="s">
        <v>14</v>
      </c>
      <c r="F205">
        <v>20</v>
      </c>
      <c r="G205">
        <v>557</v>
      </c>
      <c r="H205">
        <v>1002</v>
      </c>
      <c r="I205">
        <v>11140</v>
      </c>
      <c r="J205">
        <v>20040</v>
      </c>
      <c r="K205">
        <v>8900</v>
      </c>
    </row>
    <row r="206" spans="1:11" x14ac:dyDescent="0.3">
      <c r="A206" s="10">
        <v>45396</v>
      </c>
      <c r="B206" t="s">
        <v>27</v>
      </c>
      <c r="C206" t="s">
        <v>28</v>
      </c>
      <c r="D206" t="s">
        <v>18</v>
      </c>
      <c r="E206" t="s">
        <v>14</v>
      </c>
      <c r="F206">
        <v>20</v>
      </c>
      <c r="G206">
        <v>648</v>
      </c>
      <c r="H206">
        <v>1106</v>
      </c>
      <c r="I206">
        <v>12960</v>
      </c>
      <c r="J206">
        <v>22120</v>
      </c>
      <c r="K206">
        <v>9160</v>
      </c>
    </row>
    <row r="207" spans="1:11" x14ac:dyDescent="0.3">
      <c r="A207" s="10">
        <v>45586</v>
      </c>
      <c r="B207" t="s">
        <v>11</v>
      </c>
      <c r="C207" t="s">
        <v>24</v>
      </c>
      <c r="D207" t="s">
        <v>25</v>
      </c>
      <c r="E207" t="s">
        <v>14</v>
      </c>
      <c r="F207">
        <v>19</v>
      </c>
      <c r="G207">
        <v>589</v>
      </c>
      <c r="H207">
        <v>1100</v>
      </c>
      <c r="I207">
        <v>11191</v>
      </c>
      <c r="J207">
        <v>20900</v>
      </c>
      <c r="K207">
        <v>9709</v>
      </c>
    </row>
    <row r="208" spans="1:11" x14ac:dyDescent="0.3">
      <c r="A208" s="10">
        <v>45404</v>
      </c>
      <c r="B208" t="s">
        <v>27</v>
      </c>
      <c r="C208" t="s">
        <v>33</v>
      </c>
      <c r="D208" t="s">
        <v>25</v>
      </c>
      <c r="E208" t="s">
        <v>19</v>
      </c>
      <c r="F208">
        <v>26</v>
      </c>
      <c r="G208">
        <v>942</v>
      </c>
      <c r="H208">
        <v>1143</v>
      </c>
      <c r="I208">
        <v>24492</v>
      </c>
      <c r="J208">
        <v>29718</v>
      </c>
      <c r="K208">
        <v>5226</v>
      </c>
    </row>
    <row r="209" spans="1:11" x14ac:dyDescent="0.3">
      <c r="A209" s="10">
        <v>45588</v>
      </c>
      <c r="B209" t="s">
        <v>27</v>
      </c>
      <c r="C209" t="s">
        <v>28</v>
      </c>
      <c r="D209" t="s">
        <v>34</v>
      </c>
      <c r="E209" t="s">
        <v>14</v>
      </c>
      <c r="F209">
        <v>30</v>
      </c>
      <c r="G209">
        <v>869</v>
      </c>
      <c r="H209">
        <v>1033</v>
      </c>
      <c r="I209">
        <v>26070</v>
      </c>
      <c r="J209">
        <v>30990</v>
      </c>
      <c r="K209">
        <v>4920</v>
      </c>
    </row>
    <row r="210" spans="1:11" x14ac:dyDescent="0.3">
      <c r="A210" s="10">
        <v>45406</v>
      </c>
      <c r="B210" t="s">
        <v>27</v>
      </c>
      <c r="C210" t="s">
        <v>33</v>
      </c>
      <c r="D210" t="s">
        <v>34</v>
      </c>
      <c r="E210" t="s">
        <v>19</v>
      </c>
      <c r="F210">
        <v>20</v>
      </c>
      <c r="G210">
        <v>606</v>
      </c>
      <c r="H210">
        <v>806</v>
      </c>
      <c r="I210">
        <v>12120</v>
      </c>
      <c r="J210">
        <v>16120</v>
      </c>
      <c r="K210">
        <v>4000</v>
      </c>
    </row>
    <row r="211" spans="1:11" x14ac:dyDescent="0.3">
      <c r="A211" s="10">
        <v>45590</v>
      </c>
      <c r="B211" t="s">
        <v>27</v>
      </c>
      <c r="C211" t="s">
        <v>42</v>
      </c>
      <c r="D211" t="s">
        <v>25</v>
      </c>
      <c r="E211" t="s">
        <v>19</v>
      </c>
      <c r="F211">
        <v>20</v>
      </c>
      <c r="G211">
        <v>979</v>
      </c>
      <c r="H211">
        <v>1471</v>
      </c>
      <c r="I211">
        <v>19580</v>
      </c>
      <c r="J211">
        <v>29420</v>
      </c>
      <c r="K211">
        <v>9840</v>
      </c>
    </row>
    <row r="212" spans="1:11" x14ac:dyDescent="0.3">
      <c r="A212" s="10">
        <v>45408</v>
      </c>
      <c r="B212" t="s">
        <v>27</v>
      </c>
      <c r="C212" t="s">
        <v>33</v>
      </c>
      <c r="D212" t="s">
        <v>25</v>
      </c>
      <c r="E212" t="s">
        <v>14</v>
      </c>
      <c r="F212">
        <v>22</v>
      </c>
      <c r="G212">
        <v>822</v>
      </c>
      <c r="H212">
        <v>1153</v>
      </c>
      <c r="I212">
        <v>18084</v>
      </c>
      <c r="J212">
        <v>25366</v>
      </c>
      <c r="K212">
        <v>7282</v>
      </c>
    </row>
    <row r="213" spans="1:11" x14ac:dyDescent="0.3">
      <c r="A213" s="10">
        <v>45409</v>
      </c>
      <c r="B213" t="s">
        <v>27</v>
      </c>
      <c r="C213" t="s">
        <v>33</v>
      </c>
      <c r="D213" t="s">
        <v>20</v>
      </c>
      <c r="E213" t="s">
        <v>14</v>
      </c>
      <c r="F213">
        <v>26</v>
      </c>
      <c r="G213">
        <v>505</v>
      </c>
      <c r="H213">
        <v>1337</v>
      </c>
      <c r="I213">
        <v>13130</v>
      </c>
      <c r="J213">
        <v>34762</v>
      </c>
      <c r="K213">
        <v>21632</v>
      </c>
    </row>
    <row r="214" spans="1:11" x14ac:dyDescent="0.3">
      <c r="A214" s="10">
        <v>45410</v>
      </c>
      <c r="B214" t="s">
        <v>27</v>
      </c>
      <c r="C214" t="s">
        <v>33</v>
      </c>
      <c r="D214" t="s">
        <v>39</v>
      </c>
      <c r="E214" t="s">
        <v>14</v>
      </c>
      <c r="F214">
        <v>23</v>
      </c>
      <c r="G214">
        <v>649</v>
      </c>
      <c r="H214">
        <v>1210</v>
      </c>
      <c r="I214">
        <v>14927</v>
      </c>
      <c r="J214">
        <v>27830</v>
      </c>
      <c r="K214">
        <v>12903</v>
      </c>
    </row>
    <row r="215" spans="1:11" x14ac:dyDescent="0.3">
      <c r="A215" s="10">
        <v>45411</v>
      </c>
      <c r="B215" t="s">
        <v>27</v>
      </c>
      <c r="C215" t="s">
        <v>33</v>
      </c>
      <c r="D215" t="s">
        <v>26</v>
      </c>
      <c r="E215" t="s">
        <v>14</v>
      </c>
      <c r="F215">
        <v>26</v>
      </c>
      <c r="G215">
        <v>647</v>
      </c>
      <c r="H215">
        <v>1025</v>
      </c>
      <c r="I215">
        <v>16822</v>
      </c>
      <c r="J215">
        <v>26650</v>
      </c>
      <c r="K215">
        <v>9828</v>
      </c>
    </row>
    <row r="216" spans="1:11" x14ac:dyDescent="0.3">
      <c r="A216" s="10">
        <v>45412</v>
      </c>
      <c r="B216" t="s">
        <v>27</v>
      </c>
      <c r="C216" t="s">
        <v>33</v>
      </c>
      <c r="D216" t="s">
        <v>43</v>
      </c>
      <c r="E216" t="s">
        <v>14</v>
      </c>
      <c r="F216">
        <v>30</v>
      </c>
      <c r="G216">
        <v>843</v>
      </c>
      <c r="H216">
        <v>953</v>
      </c>
      <c r="I216">
        <v>25290</v>
      </c>
      <c r="J216">
        <v>28590</v>
      </c>
      <c r="K216">
        <v>3300</v>
      </c>
    </row>
    <row r="217" spans="1:11" x14ac:dyDescent="0.3">
      <c r="A217" s="10">
        <v>45413</v>
      </c>
      <c r="B217" t="s">
        <v>27</v>
      </c>
      <c r="C217" t="s">
        <v>33</v>
      </c>
      <c r="D217" t="s">
        <v>44</v>
      </c>
      <c r="E217" t="s">
        <v>14</v>
      </c>
      <c r="F217">
        <v>21</v>
      </c>
      <c r="G217">
        <v>571</v>
      </c>
      <c r="H217">
        <v>900</v>
      </c>
      <c r="I217">
        <v>11991</v>
      </c>
      <c r="J217">
        <v>18900</v>
      </c>
      <c r="K217">
        <v>6909</v>
      </c>
    </row>
    <row r="218" spans="1:11" x14ac:dyDescent="0.3">
      <c r="A218" s="10">
        <v>45414</v>
      </c>
      <c r="B218" t="s">
        <v>27</v>
      </c>
      <c r="C218" t="s">
        <v>33</v>
      </c>
      <c r="D218" t="s">
        <v>13</v>
      </c>
      <c r="E218" t="s">
        <v>19</v>
      </c>
      <c r="F218">
        <v>25</v>
      </c>
      <c r="G218">
        <v>909</v>
      </c>
      <c r="H218">
        <v>970</v>
      </c>
      <c r="I218">
        <v>22725</v>
      </c>
      <c r="J218">
        <v>24250</v>
      </c>
      <c r="K218">
        <v>1525</v>
      </c>
    </row>
    <row r="219" spans="1:11" x14ac:dyDescent="0.3">
      <c r="A219" s="10">
        <v>45415</v>
      </c>
      <c r="B219" t="s">
        <v>27</v>
      </c>
      <c r="C219" t="s">
        <v>33</v>
      </c>
      <c r="D219" t="s">
        <v>15</v>
      </c>
      <c r="E219" t="s">
        <v>19</v>
      </c>
      <c r="F219">
        <v>24</v>
      </c>
      <c r="G219">
        <v>584</v>
      </c>
      <c r="H219">
        <v>1158</v>
      </c>
      <c r="I219">
        <v>14016</v>
      </c>
      <c r="J219">
        <v>27792</v>
      </c>
      <c r="K219">
        <v>13776</v>
      </c>
    </row>
    <row r="220" spans="1:11" x14ac:dyDescent="0.3">
      <c r="A220" s="10">
        <v>45416</v>
      </c>
      <c r="B220" t="s">
        <v>27</v>
      </c>
      <c r="C220" t="s">
        <v>33</v>
      </c>
      <c r="D220" t="s">
        <v>16</v>
      </c>
      <c r="E220" t="s">
        <v>19</v>
      </c>
      <c r="F220">
        <v>28</v>
      </c>
      <c r="G220">
        <v>787</v>
      </c>
      <c r="H220">
        <v>1452</v>
      </c>
      <c r="I220">
        <v>22036</v>
      </c>
      <c r="J220">
        <v>40656</v>
      </c>
      <c r="K220">
        <v>18620</v>
      </c>
    </row>
    <row r="221" spans="1:11" x14ac:dyDescent="0.3">
      <c r="A221" s="10">
        <v>45417</v>
      </c>
      <c r="B221" t="s">
        <v>27</v>
      </c>
      <c r="C221" t="s">
        <v>33</v>
      </c>
      <c r="D221" t="s">
        <v>17</v>
      </c>
      <c r="E221" t="s">
        <v>19</v>
      </c>
      <c r="F221">
        <v>23</v>
      </c>
      <c r="G221">
        <v>768</v>
      </c>
      <c r="H221">
        <v>1102</v>
      </c>
      <c r="I221">
        <v>17664</v>
      </c>
      <c r="J221">
        <v>25346</v>
      </c>
      <c r="K221">
        <v>7682</v>
      </c>
    </row>
    <row r="222" spans="1:11" x14ac:dyDescent="0.3">
      <c r="A222" s="10">
        <v>45418</v>
      </c>
      <c r="B222" t="s">
        <v>27</v>
      </c>
      <c r="C222" t="s">
        <v>33</v>
      </c>
      <c r="D222" t="s">
        <v>17</v>
      </c>
      <c r="E222" t="s">
        <v>14</v>
      </c>
      <c r="F222">
        <v>23</v>
      </c>
      <c r="G222">
        <v>584</v>
      </c>
      <c r="H222">
        <v>1168</v>
      </c>
      <c r="I222">
        <v>13432</v>
      </c>
      <c r="J222">
        <v>26864</v>
      </c>
      <c r="K222">
        <v>13432</v>
      </c>
    </row>
    <row r="223" spans="1:11" x14ac:dyDescent="0.3">
      <c r="A223" s="10">
        <v>45602</v>
      </c>
      <c r="B223" t="s">
        <v>21</v>
      </c>
      <c r="C223" t="s">
        <v>45</v>
      </c>
      <c r="D223" t="s">
        <v>20</v>
      </c>
      <c r="E223" t="s">
        <v>14</v>
      </c>
      <c r="F223">
        <v>57</v>
      </c>
      <c r="G223">
        <v>541</v>
      </c>
      <c r="H223">
        <v>819</v>
      </c>
      <c r="I223">
        <v>30837</v>
      </c>
      <c r="J223">
        <v>46683</v>
      </c>
      <c r="K223">
        <v>15846</v>
      </c>
    </row>
    <row r="224" spans="1:11" x14ac:dyDescent="0.3">
      <c r="A224" s="10">
        <v>45419</v>
      </c>
      <c r="B224" t="s">
        <v>27</v>
      </c>
      <c r="C224" t="s">
        <v>40</v>
      </c>
      <c r="D224" t="s">
        <v>18</v>
      </c>
      <c r="E224" t="s">
        <v>14</v>
      </c>
      <c r="F224">
        <v>20</v>
      </c>
      <c r="G224">
        <v>778</v>
      </c>
      <c r="H224">
        <v>1096</v>
      </c>
      <c r="I224">
        <v>15560</v>
      </c>
      <c r="J224">
        <v>21920</v>
      </c>
      <c r="K224">
        <v>6360</v>
      </c>
    </row>
    <row r="225" spans="1:11" x14ac:dyDescent="0.3">
      <c r="A225" s="10">
        <v>45420</v>
      </c>
      <c r="B225" t="s">
        <v>27</v>
      </c>
      <c r="C225" t="s">
        <v>40</v>
      </c>
      <c r="D225" t="s">
        <v>20</v>
      </c>
      <c r="E225" t="s">
        <v>14</v>
      </c>
      <c r="F225">
        <v>26</v>
      </c>
      <c r="G225">
        <v>595</v>
      </c>
      <c r="H225">
        <v>914</v>
      </c>
      <c r="I225">
        <v>15470</v>
      </c>
      <c r="J225">
        <v>23764</v>
      </c>
      <c r="K225">
        <v>8294</v>
      </c>
    </row>
    <row r="226" spans="1:11" x14ac:dyDescent="0.3">
      <c r="A226" s="10">
        <v>45605</v>
      </c>
      <c r="B226" t="s">
        <v>21</v>
      </c>
      <c r="C226" t="s">
        <v>45</v>
      </c>
      <c r="D226" t="s">
        <v>35</v>
      </c>
      <c r="E226" t="s">
        <v>14</v>
      </c>
      <c r="F226">
        <v>70</v>
      </c>
      <c r="G226">
        <v>871</v>
      </c>
      <c r="H226">
        <v>862</v>
      </c>
      <c r="I226">
        <v>60970</v>
      </c>
      <c r="J226">
        <v>60340</v>
      </c>
      <c r="K226">
        <v>-630</v>
      </c>
    </row>
    <row r="227" spans="1:11" x14ac:dyDescent="0.3">
      <c r="A227" s="10">
        <v>45421</v>
      </c>
      <c r="B227" t="s">
        <v>27</v>
      </c>
      <c r="C227" t="s">
        <v>40</v>
      </c>
      <c r="D227" t="s">
        <v>17</v>
      </c>
      <c r="E227" t="s">
        <v>14</v>
      </c>
      <c r="F227">
        <v>27</v>
      </c>
      <c r="G227">
        <v>722</v>
      </c>
      <c r="H227">
        <v>1497</v>
      </c>
      <c r="I227">
        <v>19494</v>
      </c>
      <c r="J227">
        <v>40419</v>
      </c>
      <c r="K227">
        <v>20925</v>
      </c>
    </row>
    <row r="228" spans="1:11" x14ac:dyDescent="0.3">
      <c r="A228" s="10">
        <v>45422</v>
      </c>
      <c r="B228" t="s">
        <v>27</v>
      </c>
      <c r="C228" t="s">
        <v>40</v>
      </c>
      <c r="D228" t="s">
        <v>36</v>
      </c>
      <c r="E228" t="s">
        <v>14</v>
      </c>
      <c r="F228">
        <v>25</v>
      </c>
      <c r="G228">
        <v>982</v>
      </c>
      <c r="H228">
        <v>1395</v>
      </c>
      <c r="I228">
        <v>24550</v>
      </c>
      <c r="J228">
        <v>34875</v>
      </c>
      <c r="K228">
        <v>10325</v>
      </c>
    </row>
    <row r="229" spans="1:11" x14ac:dyDescent="0.3">
      <c r="A229" s="10">
        <v>45423</v>
      </c>
      <c r="B229" t="s">
        <v>27</v>
      </c>
      <c r="C229" t="s">
        <v>40</v>
      </c>
      <c r="D229" t="s">
        <v>35</v>
      </c>
      <c r="E229" t="s">
        <v>14</v>
      </c>
      <c r="F229">
        <v>25</v>
      </c>
      <c r="G229">
        <v>982</v>
      </c>
      <c r="H229">
        <v>1389</v>
      </c>
      <c r="I229">
        <v>24550</v>
      </c>
      <c r="J229">
        <v>34725</v>
      </c>
      <c r="K229">
        <v>10175</v>
      </c>
    </row>
    <row r="230" spans="1:11" x14ac:dyDescent="0.3">
      <c r="A230" s="10">
        <v>45424</v>
      </c>
      <c r="B230" t="s">
        <v>27</v>
      </c>
      <c r="C230" t="s">
        <v>40</v>
      </c>
      <c r="D230" t="s">
        <v>26</v>
      </c>
      <c r="E230" t="s">
        <v>14</v>
      </c>
      <c r="F230">
        <v>25</v>
      </c>
      <c r="G230">
        <v>810</v>
      </c>
      <c r="H230">
        <v>1086</v>
      </c>
      <c r="I230">
        <v>20250</v>
      </c>
      <c r="J230">
        <v>27150</v>
      </c>
      <c r="K230">
        <v>6900</v>
      </c>
    </row>
    <row r="231" spans="1:11" x14ac:dyDescent="0.3">
      <c r="A231" s="10">
        <v>45610</v>
      </c>
      <c r="B231" t="s">
        <v>27</v>
      </c>
      <c r="C231" t="s">
        <v>33</v>
      </c>
      <c r="D231" t="s">
        <v>37</v>
      </c>
      <c r="E231" t="s">
        <v>19</v>
      </c>
      <c r="F231">
        <v>20</v>
      </c>
      <c r="G231">
        <v>773</v>
      </c>
      <c r="H231">
        <v>823</v>
      </c>
      <c r="I231">
        <v>15460</v>
      </c>
      <c r="J231">
        <v>16460</v>
      </c>
      <c r="K231">
        <v>1000</v>
      </c>
    </row>
    <row r="232" spans="1:11" x14ac:dyDescent="0.3">
      <c r="A232" s="10">
        <v>45425</v>
      </c>
      <c r="B232" t="s">
        <v>27</v>
      </c>
      <c r="C232" t="s">
        <v>40</v>
      </c>
      <c r="D232" t="s">
        <v>17</v>
      </c>
      <c r="E232" t="s">
        <v>14</v>
      </c>
      <c r="F232">
        <v>26</v>
      </c>
      <c r="G232">
        <v>781</v>
      </c>
      <c r="H232">
        <v>1019</v>
      </c>
      <c r="I232">
        <v>20306</v>
      </c>
      <c r="J232">
        <v>26494</v>
      </c>
      <c r="K232">
        <v>6188</v>
      </c>
    </row>
    <row r="233" spans="1:11" x14ac:dyDescent="0.3">
      <c r="A233" s="10">
        <v>45426</v>
      </c>
      <c r="B233" t="s">
        <v>27</v>
      </c>
      <c r="C233" t="s">
        <v>40</v>
      </c>
      <c r="D233" t="s">
        <v>34</v>
      </c>
      <c r="E233" t="s">
        <v>14</v>
      </c>
      <c r="F233">
        <v>26</v>
      </c>
      <c r="G233">
        <v>630</v>
      </c>
      <c r="H233">
        <v>767</v>
      </c>
      <c r="I233">
        <v>16380</v>
      </c>
      <c r="J233">
        <v>19942</v>
      </c>
      <c r="K233">
        <v>3562</v>
      </c>
    </row>
    <row r="234" spans="1:11" x14ac:dyDescent="0.3">
      <c r="A234" s="10">
        <v>45427</v>
      </c>
      <c r="B234" t="s">
        <v>27</v>
      </c>
      <c r="C234" t="s">
        <v>40</v>
      </c>
      <c r="D234" t="s">
        <v>36</v>
      </c>
      <c r="E234" t="s">
        <v>14</v>
      </c>
      <c r="F234">
        <v>23</v>
      </c>
      <c r="G234">
        <v>972</v>
      </c>
      <c r="H234">
        <v>782</v>
      </c>
      <c r="I234">
        <v>22356</v>
      </c>
      <c r="J234">
        <v>17986</v>
      </c>
      <c r="K234">
        <v>-4370</v>
      </c>
    </row>
    <row r="235" spans="1:11" x14ac:dyDescent="0.3">
      <c r="A235" s="10">
        <v>45614</v>
      </c>
      <c r="B235" t="s">
        <v>27</v>
      </c>
      <c r="C235" t="s">
        <v>33</v>
      </c>
      <c r="D235" t="s">
        <v>23</v>
      </c>
      <c r="E235" t="s">
        <v>14</v>
      </c>
      <c r="F235">
        <v>23</v>
      </c>
      <c r="G235">
        <v>906</v>
      </c>
      <c r="H235">
        <v>1275</v>
      </c>
      <c r="I235">
        <v>20838</v>
      </c>
      <c r="J235">
        <v>29325</v>
      </c>
      <c r="K235">
        <v>8487</v>
      </c>
    </row>
    <row r="236" spans="1:11" x14ac:dyDescent="0.3">
      <c r="A236" s="10">
        <v>45428</v>
      </c>
      <c r="B236" t="s">
        <v>27</v>
      </c>
      <c r="C236" t="s">
        <v>40</v>
      </c>
      <c r="D236" t="s">
        <v>37</v>
      </c>
      <c r="E236" t="s">
        <v>19</v>
      </c>
      <c r="F236">
        <v>30</v>
      </c>
      <c r="G236">
        <v>987</v>
      </c>
      <c r="H236">
        <v>1366</v>
      </c>
      <c r="I236">
        <v>29610</v>
      </c>
      <c r="J236">
        <v>40980</v>
      </c>
      <c r="K236">
        <v>11370</v>
      </c>
    </row>
    <row r="237" spans="1:11" x14ac:dyDescent="0.3">
      <c r="A237" s="10">
        <v>45616</v>
      </c>
      <c r="B237" t="s">
        <v>27</v>
      </c>
      <c r="C237" t="s">
        <v>33</v>
      </c>
      <c r="D237" t="s">
        <v>25</v>
      </c>
      <c r="E237" t="s">
        <v>14</v>
      </c>
      <c r="F237">
        <v>24</v>
      </c>
      <c r="G237">
        <v>927</v>
      </c>
      <c r="H237">
        <v>1379</v>
      </c>
      <c r="I237">
        <v>22248</v>
      </c>
      <c r="J237">
        <v>33096</v>
      </c>
      <c r="K237">
        <v>10848</v>
      </c>
    </row>
    <row r="238" spans="1:11" x14ac:dyDescent="0.3">
      <c r="A238" s="10">
        <v>45429</v>
      </c>
      <c r="B238" t="s">
        <v>27</v>
      </c>
      <c r="C238" t="s">
        <v>40</v>
      </c>
      <c r="D238" t="s">
        <v>23</v>
      </c>
      <c r="E238" t="s">
        <v>19</v>
      </c>
      <c r="F238">
        <v>25</v>
      </c>
      <c r="G238">
        <v>877</v>
      </c>
      <c r="H238">
        <v>797</v>
      </c>
      <c r="I238">
        <v>21925</v>
      </c>
      <c r="J238">
        <v>19925</v>
      </c>
      <c r="K238">
        <v>-2000</v>
      </c>
    </row>
    <row r="239" spans="1:11" x14ac:dyDescent="0.3">
      <c r="A239" s="10">
        <v>45430</v>
      </c>
      <c r="B239" t="s">
        <v>27</v>
      </c>
      <c r="C239" t="s">
        <v>40</v>
      </c>
      <c r="D239" t="s">
        <v>26</v>
      </c>
      <c r="E239" t="s">
        <v>19</v>
      </c>
      <c r="F239">
        <v>26</v>
      </c>
      <c r="G239">
        <v>596</v>
      </c>
      <c r="H239">
        <v>1136</v>
      </c>
      <c r="I239">
        <v>15496</v>
      </c>
      <c r="J239">
        <v>29536</v>
      </c>
      <c r="K239">
        <v>14040</v>
      </c>
    </row>
    <row r="240" spans="1:11" x14ac:dyDescent="0.3">
      <c r="A240" s="10">
        <v>45484</v>
      </c>
      <c r="B240" t="s">
        <v>27</v>
      </c>
      <c r="C240" t="s">
        <v>40</v>
      </c>
      <c r="D240" t="s">
        <v>25</v>
      </c>
      <c r="E240" t="s">
        <v>19</v>
      </c>
      <c r="F240">
        <v>26</v>
      </c>
      <c r="G240">
        <v>771</v>
      </c>
      <c r="H240">
        <v>1172</v>
      </c>
      <c r="I240">
        <v>20046</v>
      </c>
      <c r="J240">
        <v>30472</v>
      </c>
      <c r="K240">
        <v>10426</v>
      </c>
    </row>
    <row r="241" spans="1:11" x14ac:dyDescent="0.3">
      <c r="A241" s="10">
        <v>45485</v>
      </c>
      <c r="B241" t="s">
        <v>27</v>
      </c>
      <c r="C241" t="s">
        <v>40</v>
      </c>
      <c r="D241" t="s">
        <v>34</v>
      </c>
      <c r="E241" t="s">
        <v>19</v>
      </c>
      <c r="F241">
        <v>30</v>
      </c>
      <c r="G241">
        <v>859</v>
      </c>
      <c r="H241">
        <v>1123</v>
      </c>
      <c r="I241">
        <v>25770</v>
      </c>
      <c r="J241">
        <v>33690</v>
      </c>
      <c r="K241">
        <v>7920</v>
      </c>
    </row>
    <row r="242" spans="1:11" x14ac:dyDescent="0.3">
      <c r="A242" s="10">
        <v>45486</v>
      </c>
      <c r="B242" t="s">
        <v>27</v>
      </c>
      <c r="C242" t="s">
        <v>40</v>
      </c>
      <c r="D242" t="s">
        <v>34</v>
      </c>
      <c r="E242" t="s">
        <v>19</v>
      </c>
      <c r="F242">
        <v>30</v>
      </c>
      <c r="G242">
        <v>726</v>
      </c>
      <c r="H242">
        <v>964</v>
      </c>
      <c r="I242">
        <v>21780</v>
      </c>
      <c r="J242">
        <v>28920</v>
      </c>
      <c r="K242">
        <v>7140</v>
      </c>
    </row>
    <row r="243" spans="1:11" x14ac:dyDescent="0.3">
      <c r="A243" s="10">
        <v>45487</v>
      </c>
      <c r="B243" t="s">
        <v>27</v>
      </c>
      <c r="C243" t="s">
        <v>40</v>
      </c>
      <c r="D243" t="s">
        <v>32</v>
      </c>
      <c r="E243" t="s">
        <v>19</v>
      </c>
      <c r="F243">
        <v>29</v>
      </c>
      <c r="G243">
        <v>861</v>
      </c>
      <c r="H243">
        <v>820</v>
      </c>
      <c r="I243">
        <v>24969</v>
      </c>
      <c r="J243">
        <v>23780</v>
      </c>
      <c r="K243">
        <v>-1189</v>
      </c>
    </row>
    <row r="244" spans="1:11" x14ac:dyDescent="0.3">
      <c r="A244" s="10">
        <v>45489</v>
      </c>
      <c r="B244" t="s">
        <v>27</v>
      </c>
      <c r="C244" t="s">
        <v>40</v>
      </c>
      <c r="D244" t="s">
        <v>20</v>
      </c>
      <c r="E244" t="s">
        <v>14</v>
      </c>
      <c r="F244">
        <v>24</v>
      </c>
      <c r="G244">
        <v>978</v>
      </c>
      <c r="H244">
        <v>773</v>
      </c>
      <c r="I244">
        <v>23472</v>
      </c>
      <c r="J244">
        <v>18552</v>
      </c>
      <c r="K244">
        <v>-4920</v>
      </c>
    </row>
    <row r="245" spans="1:11" x14ac:dyDescent="0.3">
      <c r="A245" s="10">
        <v>45490</v>
      </c>
      <c r="B245" t="s">
        <v>27</v>
      </c>
      <c r="C245" t="s">
        <v>40</v>
      </c>
      <c r="D245" t="s">
        <v>39</v>
      </c>
      <c r="E245" t="s">
        <v>14</v>
      </c>
      <c r="F245">
        <v>30</v>
      </c>
      <c r="G245">
        <v>514</v>
      </c>
      <c r="H245">
        <v>1333</v>
      </c>
      <c r="I245">
        <v>15420</v>
      </c>
      <c r="J245">
        <v>39990</v>
      </c>
      <c r="K245">
        <v>24570</v>
      </c>
    </row>
    <row r="246" spans="1:11" x14ac:dyDescent="0.3">
      <c r="A246" s="10">
        <v>45491</v>
      </c>
      <c r="B246" t="s">
        <v>27</v>
      </c>
      <c r="C246" t="s">
        <v>40</v>
      </c>
      <c r="D246" t="s">
        <v>26</v>
      </c>
      <c r="E246" t="s">
        <v>14</v>
      </c>
      <c r="F246">
        <v>26</v>
      </c>
      <c r="G246">
        <v>656</v>
      </c>
      <c r="H246">
        <v>908</v>
      </c>
      <c r="I246">
        <v>17056</v>
      </c>
      <c r="J246">
        <v>23608</v>
      </c>
      <c r="K246">
        <v>6552</v>
      </c>
    </row>
    <row r="247" spans="1:11" x14ac:dyDescent="0.3">
      <c r="A247" s="10">
        <v>45626</v>
      </c>
      <c r="B247" t="s">
        <v>27</v>
      </c>
      <c r="C247" t="s">
        <v>40</v>
      </c>
      <c r="D247" t="s">
        <v>25</v>
      </c>
      <c r="E247" t="s">
        <v>14</v>
      </c>
      <c r="F247">
        <v>28</v>
      </c>
      <c r="G247">
        <v>866</v>
      </c>
      <c r="H247">
        <v>1102</v>
      </c>
      <c r="I247">
        <v>24248</v>
      </c>
      <c r="J247">
        <v>30856</v>
      </c>
      <c r="K247">
        <v>6608</v>
      </c>
    </row>
    <row r="248" spans="1:11" x14ac:dyDescent="0.3">
      <c r="A248" s="10">
        <v>45492</v>
      </c>
      <c r="B248" t="s">
        <v>27</v>
      </c>
      <c r="C248" t="s">
        <v>40</v>
      </c>
      <c r="D248" t="s">
        <v>43</v>
      </c>
      <c r="E248" t="s">
        <v>14</v>
      </c>
      <c r="F248">
        <v>28</v>
      </c>
      <c r="G248">
        <v>866</v>
      </c>
      <c r="H248">
        <v>1080</v>
      </c>
      <c r="I248">
        <v>24248</v>
      </c>
      <c r="J248">
        <v>30240</v>
      </c>
      <c r="K248">
        <v>5992</v>
      </c>
    </row>
    <row r="249" spans="1:11" x14ac:dyDescent="0.3">
      <c r="A249" s="10">
        <v>45493</v>
      </c>
      <c r="B249" t="s">
        <v>27</v>
      </c>
      <c r="C249" t="s">
        <v>40</v>
      </c>
      <c r="D249" t="s">
        <v>44</v>
      </c>
      <c r="E249" t="s">
        <v>14</v>
      </c>
      <c r="F249">
        <v>23</v>
      </c>
      <c r="G249">
        <v>969</v>
      </c>
      <c r="H249">
        <v>1075</v>
      </c>
      <c r="I249">
        <v>22287</v>
      </c>
      <c r="J249">
        <v>24725</v>
      </c>
      <c r="K249">
        <v>2438</v>
      </c>
    </row>
    <row r="250" spans="1:11" x14ac:dyDescent="0.3">
      <c r="A250" s="10">
        <v>45629</v>
      </c>
      <c r="B250" t="s">
        <v>27</v>
      </c>
      <c r="C250" t="s">
        <v>40</v>
      </c>
      <c r="D250" t="s">
        <v>32</v>
      </c>
      <c r="E250" t="s">
        <v>19</v>
      </c>
      <c r="F250">
        <v>29</v>
      </c>
      <c r="G250">
        <v>639</v>
      </c>
      <c r="H250">
        <v>1257</v>
      </c>
      <c r="I250">
        <v>18531</v>
      </c>
      <c r="J250">
        <v>36453</v>
      </c>
      <c r="K250">
        <v>17922</v>
      </c>
    </row>
    <row r="251" spans="1:11" x14ac:dyDescent="0.3">
      <c r="A251" s="10">
        <v>45494</v>
      </c>
      <c r="B251" t="s">
        <v>27</v>
      </c>
      <c r="C251" t="s">
        <v>40</v>
      </c>
      <c r="D251" t="s">
        <v>13</v>
      </c>
      <c r="E251" t="s">
        <v>14</v>
      </c>
      <c r="F251">
        <v>21</v>
      </c>
      <c r="G251">
        <v>626</v>
      </c>
      <c r="H251">
        <v>772</v>
      </c>
      <c r="I251">
        <v>13146</v>
      </c>
      <c r="J251">
        <v>16212</v>
      </c>
      <c r="K251">
        <v>3066</v>
      </c>
    </row>
    <row r="252" spans="1:11" x14ac:dyDescent="0.3">
      <c r="A252" s="10">
        <v>45517</v>
      </c>
      <c r="B252" t="s">
        <v>27</v>
      </c>
      <c r="C252" t="s">
        <v>40</v>
      </c>
      <c r="D252" t="s">
        <v>26</v>
      </c>
      <c r="E252" t="s">
        <v>19</v>
      </c>
      <c r="F252">
        <v>26</v>
      </c>
      <c r="G252">
        <v>715</v>
      </c>
      <c r="H252">
        <v>1113</v>
      </c>
      <c r="I252">
        <v>18590</v>
      </c>
      <c r="J252">
        <v>28938</v>
      </c>
      <c r="K252">
        <v>10348</v>
      </c>
    </row>
    <row r="253" spans="1:11" x14ac:dyDescent="0.3">
      <c r="A253" s="10">
        <v>45518</v>
      </c>
      <c r="B253" t="s">
        <v>27</v>
      </c>
      <c r="C253" t="s">
        <v>40</v>
      </c>
      <c r="D253" t="s">
        <v>29</v>
      </c>
      <c r="E253" t="s">
        <v>19</v>
      </c>
      <c r="F253">
        <v>27</v>
      </c>
      <c r="G253">
        <v>611</v>
      </c>
      <c r="H253">
        <v>1309</v>
      </c>
      <c r="I253">
        <v>16497</v>
      </c>
      <c r="J253">
        <v>35343</v>
      </c>
      <c r="K253">
        <v>18846</v>
      </c>
    </row>
    <row r="254" spans="1:11" x14ac:dyDescent="0.3">
      <c r="A254" s="10">
        <v>45519</v>
      </c>
      <c r="B254" t="s">
        <v>27</v>
      </c>
      <c r="C254" t="s">
        <v>40</v>
      </c>
      <c r="D254" t="s">
        <v>18</v>
      </c>
      <c r="E254" t="s">
        <v>14</v>
      </c>
      <c r="F254">
        <v>29</v>
      </c>
      <c r="G254">
        <v>544</v>
      </c>
      <c r="H254">
        <v>1436</v>
      </c>
      <c r="I254">
        <v>15776</v>
      </c>
      <c r="J254">
        <v>41644</v>
      </c>
      <c r="K254">
        <v>25868</v>
      </c>
    </row>
    <row r="255" spans="1:11" x14ac:dyDescent="0.3">
      <c r="A255" s="10">
        <v>45634</v>
      </c>
      <c r="B255" t="s">
        <v>27</v>
      </c>
      <c r="C255" t="s">
        <v>40</v>
      </c>
      <c r="D255" t="s">
        <v>43</v>
      </c>
      <c r="E255" t="s">
        <v>19</v>
      </c>
      <c r="F255">
        <v>23</v>
      </c>
      <c r="G255">
        <v>771</v>
      </c>
      <c r="H255">
        <v>1430</v>
      </c>
      <c r="I255">
        <v>17733</v>
      </c>
      <c r="J255">
        <v>32890</v>
      </c>
      <c r="K255">
        <v>15157</v>
      </c>
    </row>
    <row r="256" spans="1:11" x14ac:dyDescent="0.3">
      <c r="A256" s="10">
        <v>45521</v>
      </c>
      <c r="B256" t="s">
        <v>27</v>
      </c>
      <c r="C256" t="s">
        <v>40</v>
      </c>
      <c r="D256" t="s">
        <v>31</v>
      </c>
      <c r="E256" t="s">
        <v>19</v>
      </c>
      <c r="F256">
        <v>30</v>
      </c>
      <c r="G256">
        <v>652</v>
      </c>
      <c r="H256">
        <v>1151</v>
      </c>
      <c r="I256">
        <v>19560</v>
      </c>
      <c r="J256">
        <v>34530</v>
      </c>
      <c r="K256">
        <v>14970</v>
      </c>
    </row>
    <row r="257" spans="1:11" x14ac:dyDescent="0.3">
      <c r="A257" s="10">
        <v>45522</v>
      </c>
      <c r="B257" t="s">
        <v>27</v>
      </c>
      <c r="C257" t="s">
        <v>40</v>
      </c>
      <c r="D257" t="s">
        <v>23</v>
      </c>
      <c r="E257" t="s">
        <v>19</v>
      </c>
      <c r="F257">
        <v>22</v>
      </c>
      <c r="G257">
        <v>681</v>
      </c>
      <c r="H257">
        <v>1087</v>
      </c>
      <c r="I257">
        <v>14982</v>
      </c>
      <c r="J257">
        <v>23914</v>
      </c>
      <c r="K257">
        <v>8932</v>
      </c>
    </row>
    <row r="258" spans="1:11" x14ac:dyDescent="0.3">
      <c r="A258" s="10">
        <v>45637</v>
      </c>
      <c r="B258" t="s">
        <v>21</v>
      </c>
      <c r="C258" t="s">
        <v>38</v>
      </c>
      <c r="D258" t="s">
        <v>15</v>
      </c>
      <c r="E258" t="s">
        <v>19</v>
      </c>
      <c r="F258">
        <v>66</v>
      </c>
      <c r="G258">
        <v>888</v>
      </c>
      <c r="H258">
        <v>809</v>
      </c>
      <c r="I258">
        <v>58608</v>
      </c>
      <c r="J258">
        <v>53394</v>
      </c>
      <c r="K258">
        <v>-5214</v>
      </c>
    </row>
    <row r="259" spans="1:11" x14ac:dyDescent="0.3">
      <c r="A259" s="10">
        <v>45523</v>
      </c>
      <c r="B259" t="s">
        <v>27</v>
      </c>
      <c r="C259" t="s">
        <v>40</v>
      </c>
      <c r="D259" t="s">
        <v>25</v>
      </c>
      <c r="E259" t="s">
        <v>19</v>
      </c>
      <c r="F259">
        <v>28</v>
      </c>
      <c r="G259">
        <v>923</v>
      </c>
      <c r="H259">
        <v>1395</v>
      </c>
      <c r="I259">
        <v>25844</v>
      </c>
      <c r="J259">
        <v>39060</v>
      </c>
      <c r="K259">
        <v>13216</v>
      </c>
    </row>
    <row r="260" spans="1:11" x14ac:dyDescent="0.3">
      <c r="A260" s="10">
        <v>45524</v>
      </c>
      <c r="B260" t="s">
        <v>27</v>
      </c>
      <c r="C260" t="s">
        <v>40</v>
      </c>
      <c r="D260" t="s">
        <v>25</v>
      </c>
      <c r="E260" t="s">
        <v>14</v>
      </c>
      <c r="F260">
        <v>26</v>
      </c>
      <c r="G260">
        <v>999</v>
      </c>
      <c r="H260">
        <v>1112</v>
      </c>
      <c r="I260">
        <v>25974</v>
      </c>
      <c r="J260">
        <v>28912</v>
      </c>
      <c r="K260">
        <v>2938</v>
      </c>
    </row>
    <row r="261" spans="1:11" x14ac:dyDescent="0.3">
      <c r="A261" s="10">
        <v>45525</v>
      </c>
      <c r="B261" t="s">
        <v>27</v>
      </c>
      <c r="C261" t="s">
        <v>40</v>
      </c>
      <c r="D261" t="s">
        <v>34</v>
      </c>
      <c r="E261" t="s">
        <v>14</v>
      </c>
      <c r="F261">
        <v>30</v>
      </c>
      <c r="G261">
        <v>792</v>
      </c>
      <c r="H261">
        <v>1010</v>
      </c>
      <c r="I261">
        <v>23760</v>
      </c>
      <c r="J261">
        <v>30300</v>
      </c>
      <c r="K261">
        <v>6540</v>
      </c>
    </row>
    <row r="262" spans="1:11" x14ac:dyDescent="0.3">
      <c r="A262" s="10">
        <v>45527</v>
      </c>
      <c r="B262" t="s">
        <v>27</v>
      </c>
      <c r="C262" t="s">
        <v>40</v>
      </c>
      <c r="D262" t="s">
        <v>32</v>
      </c>
      <c r="E262" t="s">
        <v>14</v>
      </c>
      <c r="F262">
        <v>22</v>
      </c>
      <c r="G262">
        <v>774</v>
      </c>
      <c r="H262">
        <v>1387</v>
      </c>
      <c r="I262">
        <v>17028</v>
      </c>
      <c r="J262">
        <v>30514</v>
      </c>
      <c r="K262">
        <v>13486</v>
      </c>
    </row>
    <row r="263" spans="1:11" x14ac:dyDescent="0.3">
      <c r="A263" s="10">
        <v>45642</v>
      </c>
      <c r="B263" t="s">
        <v>21</v>
      </c>
      <c r="C263" t="s">
        <v>38</v>
      </c>
      <c r="D263" t="s">
        <v>25</v>
      </c>
      <c r="E263" t="s">
        <v>14</v>
      </c>
      <c r="F263">
        <v>56</v>
      </c>
      <c r="G263">
        <v>516</v>
      </c>
      <c r="H263">
        <v>1316</v>
      </c>
      <c r="I263">
        <v>28896</v>
      </c>
      <c r="J263">
        <v>73696</v>
      </c>
      <c r="K263">
        <v>44800</v>
      </c>
    </row>
    <row r="264" spans="1:11" x14ac:dyDescent="0.3">
      <c r="A264" s="10">
        <v>45589</v>
      </c>
      <c r="B264" t="s">
        <v>27</v>
      </c>
      <c r="C264" t="s">
        <v>42</v>
      </c>
      <c r="D264" t="s">
        <v>32</v>
      </c>
      <c r="E264" t="s">
        <v>14</v>
      </c>
      <c r="F264">
        <v>20</v>
      </c>
      <c r="G264">
        <v>999</v>
      </c>
      <c r="H264">
        <v>1191</v>
      </c>
      <c r="I264">
        <v>19980</v>
      </c>
      <c r="J264">
        <v>23820</v>
      </c>
      <c r="K264">
        <v>3840</v>
      </c>
    </row>
    <row r="265" spans="1:11" x14ac:dyDescent="0.3">
      <c r="A265" s="10">
        <v>45591</v>
      </c>
      <c r="B265" t="s">
        <v>27</v>
      </c>
      <c r="C265" t="s">
        <v>42</v>
      </c>
      <c r="D265" t="s">
        <v>20</v>
      </c>
      <c r="E265" t="s">
        <v>19</v>
      </c>
      <c r="F265">
        <v>29</v>
      </c>
      <c r="G265">
        <v>661</v>
      </c>
      <c r="H265">
        <v>1400</v>
      </c>
      <c r="I265">
        <v>19169</v>
      </c>
      <c r="J265">
        <v>40600</v>
      </c>
      <c r="K265">
        <v>21431</v>
      </c>
    </row>
    <row r="266" spans="1:11" x14ac:dyDescent="0.3">
      <c r="A266" s="10">
        <v>45596</v>
      </c>
      <c r="B266" t="s">
        <v>27</v>
      </c>
      <c r="C266" t="s">
        <v>28</v>
      </c>
      <c r="D266" t="s">
        <v>13</v>
      </c>
      <c r="E266" t="s">
        <v>19</v>
      </c>
      <c r="F266">
        <v>30</v>
      </c>
      <c r="G266">
        <v>539</v>
      </c>
      <c r="H266">
        <v>1364</v>
      </c>
      <c r="I266">
        <v>16170</v>
      </c>
      <c r="J266">
        <v>40920</v>
      </c>
      <c r="K266">
        <v>24750</v>
      </c>
    </row>
    <row r="267" spans="1:11" x14ac:dyDescent="0.3">
      <c r="A267" s="10">
        <v>45646</v>
      </c>
      <c r="B267" t="s">
        <v>21</v>
      </c>
      <c r="C267" t="s">
        <v>38</v>
      </c>
      <c r="D267" t="s">
        <v>25</v>
      </c>
      <c r="E267" t="s">
        <v>14</v>
      </c>
      <c r="F267">
        <v>60</v>
      </c>
      <c r="G267">
        <v>901</v>
      </c>
      <c r="H267">
        <v>1148</v>
      </c>
      <c r="I267">
        <v>54060</v>
      </c>
      <c r="J267">
        <v>68880</v>
      </c>
      <c r="K267">
        <v>14820</v>
      </c>
    </row>
    <row r="268" spans="1:11" x14ac:dyDescent="0.3">
      <c r="A268" s="10">
        <v>45597</v>
      </c>
      <c r="B268" t="s">
        <v>27</v>
      </c>
      <c r="C268" t="s">
        <v>28</v>
      </c>
      <c r="D268" t="s">
        <v>15</v>
      </c>
      <c r="E268" t="s">
        <v>19</v>
      </c>
      <c r="F268">
        <v>26</v>
      </c>
      <c r="G268">
        <v>726</v>
      </c>
      <c r="H268">
        <v>1335</v>
      </c>
      <c r="I268">
        <v>18876</v>
      </c>
      <c r="J268">
        <v>34710</v>
      </c>
      <c r="K268">
        <v>15834</v>
      </c>
    </row>
    <row r="269" spans="1:11" x14ac:dyDescent="0.3">
      <c r="A269" s="10">
        <v>45648</v>
      </c>
      <c r="B269" t="s">
        <v>21</v>
      </c>
      <c r="C269" t="s">
        <v>41</v>
      </c>
      <c r="D269" t="s">
        <v>39</v>
      </c>
      <c r="E269" t="s">
        <v>14</v>
      </c>
      <c r="F269">
        <v>50</v>
      </c>
      <c r="G269">
        <v>749</v>
      </c>
      <c r="H269">
        <v>1269</v>
      </c>
      <c r="I269">
        <v>37450</v>
      </c>
      <c r="J269">
        <v>63450</v>
      </c>
      <c r="K269">
        <v>26000</v>
      </c>
    </row>
    <row r="270" spans="1:11" x14ac:dyDescent="0.3">
      <c r="A270" s="10">
        <v>45598</v>
      </c>
      <c r="B270" t="s">
        <v>27</v>
      </c>
      <c r="C270" t="s">
        <v>28</v>
      </c>
      <c r="D270" t="s">
        <v>16</v>
      </c>
      <c r="E270" t="s">
        <v>19</v>
      </c>
      <c r="F270">
        <v>29</v>
      </c>
      <c r="G270">
        <v>510</v>
      </c>
      <c r="H270">
        <v>1131</v>
      </c>
      <c r="I270">
        <v>14790</v>
      </c>
      <c r="J270">
        <v>32799</v>
      </c>
      <c r="K270">
        <v>18009</v>
      </c>
    </row>
    <row r="271" spans="1:11" x14ac:dyDescent="0.3">
      <c r="A271" s="10">
        <v>45599</v>
      </c>
      <c r="B271" t="s">
        <v>27</v>
      </c>
      <c r="C271" t="s">
        <v>28</v>
      </c>
      <c r="D271" t="s">
        <v>17</v>
      </c>
      <c r="E271" t="s">
        <v>14</v>
      </c>
      <c r="F271">
        <v>27</v>
      </c>
      <c r="G271">
        <v>752</v>
      </c>
      <c r="H271">
        <v>1258</v>
      </c>
      <c r="I271">
        <v>20304</v>
      </c>
      <c r="J271">
        <v>33966</v>
      </c>
      <c r="K271">
        <v>13662</v>
      </c>
    </row>
    <row r="272" spans="1:11" x14ac:dyDescent="0.3">
      <c r="A272" s="10">
        <v>45600</v>
      </c>
      <c r="B272" t="s">
        <v>27</v>
      </c>
      <c r="C272" t="s">
        <v>28</v>
      </c>
      <c r="D272" t="s">
        <v>17</v>
      </c>
      <c r="E272" t="s">
        <v>14</v>
      </c>
      <c r="F272">
        <v>28</v>
      </c>
      <c r="G272">
        <v>924</v>
      </c>
      <c r="H272">
        <v>847</v>
      </c>
      <c r="I272">
        <v>25872</v>
      </c>
      <c r="J272">
        <v>23716</v>
      </c>
      <c r="K272">
        <v>-2156</v>
      </c>
    </row>
    <row r="273" spans="1:11" x14ac:dyDescent="0.3">
      <c r="A273" s="10">
        <v>45601</v>
      </c>
      <c r="B273" t="s">
        <v>27</v>
      </c>
      <c r="C273" t="s">
        <v>28</v>
      </c>
      <c r="D273" t="s">
        <v>18</v>
      </c>
      <c r="E273" t="s">
        <v>14</v>
      </c>
      <c r="F273">
        <v>26</v>
      </c>
      <c r="G273">
        <v>643</v>
      </c>
      <c r="H273">
        <v>1341</v>
      </c>
      <c r="I273">
        <v>16718</v>
      </c>
      <c r="J273">
        <v>34866</v>
      </c>
      <c r="K273">
        <v>18148</v>
      </c>
    </row>
    <row r="274" spans="1:11" x14ac:dyDescent="0.3">
      <c r="A274" s="10">
        <v>45653</v>
      </c>
      <c r="B274" t="s">
        <v>21</v>
      </c>
      <c r="C274" t="s">
        <v>41</v>
      </c>
      <c r="D274" t="s">
        <v>15</v>
      </c>
      <c r="E274" t="s">
        <v>19</v>
      </c>
      <c r="F274">
        <v>59</v>
      </c>
      <c r="G274">
        <v>774</v>
      </c>
      <c r="H274">
        <v>1374</v>
      </c>
      <c r="I274">
        <v>45666</v>
      </c>
      <c r="J274">
        <v>81066</v>
      </c>
      <c r="K274">
        <v>35400</v>
      </c>
    </row>
    <row r="275" spans="1:11" x14ac:dyDescent="0.3">
      <c r="A275" s="10">
        <v>45609</v>
      </c>
      <c r="B275" t="s">
        <v>27</v>
      </c>
      <c r="C275" t="s">
        <v>33</v>
      </c>
      <c r="D275" t="s">
        <v>36</v>
      </c>
      <c r="E275" t="s">
        <v>19</v>
      </c>
      <c r="F275">
        <v>23</v>
      </c>
      <c r="G275">
        <v>584</v>
      </c>
      <c r="H275">
        <v>1140</v>
      </c>
      <c r="I275">
        <v>13432</v>
      </c>
      <c r="J275">
        <v>26220</v>
      </c>
      <c r="K275">
        <v>12788</v>
      </c>
    </row>
    <row r="276" spans="1:11" x14ac:dyDescent="0.3">
      <c r="A276" s="10">
        <v>45611</v>
      </c>
      <c r="B276" t="s">
        <v>27</v>
      </c>
      <c r="C276" t="s">
        <v>33</v>
      </c>
      <c r="D276" t="s">
        <v>23</v>
      </c>
      <c r="E276" t="s">
        <v>19</v>
      </c>
      <c r="F276">
        <v>21</v>
      </c>
      <c r="G276">
        <v>608</v>
      </c>
      <c r="H276">
        <v>983</v>
      </c>
      <c r="I276">
        <v>12768</v>
      </c>
      <c r="J276">
        <v>20643</v>
      </c>
      <c r="K276">
        <v>7875</v>
      </c>
    </row>
    <row r="277" spans="1:11" x14ac:dyDescent="0.3">
      <c r="A277" s="10">
        <v>45612</v>
      </c>
      <c r="B277" t="s">
        <v>27</v>
      </c>
      <c r="C277" t="s">
        <v>33</v>
      </c>
      <c r="D277" t="s">
        <v>26</v>
      </c>
      <c r="E277" t="s">
        <v>19</v>
      </c>
      <c r="F277">
        <v>30</v>
      </c>
      <c r="G277">
        <v>712</v>
      </c>
      <c r="H277">
        <v>1311</v>
      </c>
      <c r="I277">
        <v>21360</v>
      </c>
      <c r="J277">
        <v>39330</v>
      </c>
      <c r="K277">
        <v>17970</v>
      </c>
    </row>
    <row r="278" spans="1:11" x14ac:dyDescent="0.3">
      <c r="A278" s="10">
        <v>45613</v>
      </c>
      <c r="B278" t="s">
        <v>27</v>
      </c>
      <c r="C278" t="s">
        <v>33</v>
      </c>
      <c r="D278" t="s">
        <v>32</v>
      </c>
      <c r="E278" t="s">
        <v>19</v>
      </c>
      <c r="F278">
        <v>24</v>
      </c>
      <c r="G278">
        <v>672</v>
      </c>
      <c r="H278">
        <v>878</v>
      </c>
      <c r="I278">
        <v>16128</v>
      </c>
      <c r="J278">
        <v>21072</v>
      </c>
      <c r="K278">
        <v>4944</v>
      </c>
    </row>
    <row r="279" spans="1:11" x14ac:dyDescent="0.3">
      <c r="A279" s="10">
        <v>45615</v>
      </c>
      <c r="B279" t="s">
        <v>27</v>
      </c>
      <c r="C279" t="s">
        <v>33</v>
      </c>
      <c r="D279" t="s">
        <v>25</v>
      </c>
      <c r="E279" t="s">
        <v>14</v>
      </c>
      <c r="F279">
        <v>29</v>
      </c>
      <c r="G279">
        <v>520</v>
      </c>
      <c r="H279">
        <v>770</v>
      </c>
      <c r="I279">
        <v>15080</v>
      </c>
      <c r="J279">
        <v>22330</v>
      </c>
      <c r="K279">
        <v>7250</v>
      </c>
    </row>
    <row r="280" spans="1:11" x14ac:dyDescent="0.3">
      <c r="A280" s="10">
        <v>45617</v>
      </c>
      <c r="B280" t="s">
        <v>27</v>
      </c>
      <c r="C280" t="s">
        <v>33</v>
      </c>
      <c r="D280" t="s">
        <v>26</v>
      </c>
      <c r="E280" t="s">
        <v>19</v>
      </c>
      <c r="F280">
        <v>28</v>
      </c>
      <c r="G280">
        <v>884</v>
      </c>
      <c r="H280">
        <v>1165</v>
      </c>
      <c r="I280">
        <v>24752</v>
      </c>
      <c r="J280">
        <v>32620</v>
      </c>
      <c r="K280">
        <v>7868</v>
      </c>
    </row>
    <row r="281" spans="1:11" x14ac:dyDescent="0.3">
      <c r="A281" s="10">
        <v>45660</v>
      </c>
      <c r="B281" t="s">
        <v>11</v>
      </c>
      <c r="C281" t="s">
        <v>12</v>
      </c>
      <c r="D281" t="s">
        <v>36</v>
      </c>
      <c r="E281" t="s">
        <v>14</v>
      </c>
      <c r="F281">
        <v>11</v>
      </c>
      <c r="G281">
        <v>562</v>
      </c>
      <c r="H281">
        <v>800</v>
      </c>
      <c r="I281">
        <v>6182</v>
      </c>
      <c r="J281">
        <v>8800</v>
      </c>
      <c r="K281">
        <v>2618</v>
      </c>
    </row>
    <row r="282" spans="1:11" x14ac:dyDescent="0.3">
      <c r="A282" s="10">
        <v>45618</v>
      </c>
      <c r="B282" t="s">
        <v>27</v>
      </c>
      <c r="C282" t="s">
        <v>33</v>
      </c>
      <c r="D282" t="s">
        <v>18</v>
      </c>
      <c r="E282" t="s">
        <v>19</v>
      </c>
      <c r="F282">
        <v>25</v>
      </c>
      <c r="G282">
        <v>990</v>
      </c>
      <c r="H282">
        <v>868</v>
      </c>
      <c r="I282">
        <v>24750</v>
      </c>
      <c r="J282">
        <v>21700</v>
      </c>
      <c r="K282">
        <v>-3050</v>
      </c>
    </row>
    <row r="283" spans="1:11" x14ac:dyDescent="0.3">
      <c r="A283" s="10">
        <v>45662</v>
      </c>
      <c r="B283" t="s">
        <v>11</v>
      </c>
      <c r="C283" t="s">
        <v>12</v>
      </c>
      <c r="D283" t="s">
        <v>26</v>
      </c>
      <c r="E283" t="s">
        <v>14</v>
      </c>
      <c r="F283">
        <v>15</v>
      </c>
      <c r="G283">
        <v>992</v>
      </c>
      <c r="H283">
        <v>1404</v>
      </c>
      <c r="I283">
        <v>14880</v>
      </c>
      <c r="J283">
        <v>21060</v>
      </c>
      <c r="K283">
        <v>6180</v>
      </c>
    </row>
    <row r="284" spans="1:11" x14ac:dyDescent="0.3">
      <c r="A284" s="10">
        <v>45619</v>
      </c>
      <c r="B284" t="s">
        <v>27</v>
      </c>
      <c r="C284" t="s">
        <v>33</v>
      </c>
      <c r="D284" t="s">
        <v>26</v>
      </c>
      <c r="E284" t="s">
        <v>19</v>
      </c>
      <c r="F284">
        <v>22</v>
      </c>
      <c r="G284">
        <v>524</v>
      </c>
      <c r="H284">
        <v>1156</v>
      </c>
      <c r="I284">
        <v>11528</v>
      </c>
      <c r="J284">
        <v>25432</v>
      </c>
      <c r="K284">
        <v>13904</v>
      </c>
    </row>
    <row r="285" spans="1:11" x14ac:dyDescent="0.3">
      <c r="A285" s="10">
        <v>45664</v>
      </c>
      <c r="B285" t="s">
        <v>11</v>
      </c>
      <c r="C285" t="s">
        <v>12</v>
      </c>
      <c r="D285" t="s">
        <v>16</v>
      </c>
      <c r="E285" t="s">
        <v>14</v>
      </c>
      <c r="F285">
        <v>11</v>
      </c>
      <c r="G285">
        <v>668</v>
      </c>
      <c r="H285">
        <v>1096</v>
      </c>
      <c r="I285">
        <v>7348</v>
      </c>
      <c r="J285">
        <v>12056</v>
      </c>
      <c r="K285">
        <v>4708</v>
      </c>
    </row>
    <row r="286" spans="1:11" x14ac:dyDescent="0.3">
      <c r="A286" s="10">
        <v>45620</v>
      </c>
      <c r="B286" t="s">
        <v>27</v>
      </c>
      <c r="C286" t="s">
        <v>33</v>
      </c>
      <c r="D286" t="s">
        <v>29</v>
      </c>
      <c r="E286" t="s">
        <v>19</v>
      </c>
      <c r="F286">
        <v>26</v>
      </c>
      <c r="G286">
        <v>997</v>
      </c>
      <c r="H286">
        <v>982</v>
      </c>
      <c r="I286">
        <v>25922</v>
      </c>
      <c r="J286">
        <v>25532</v>
      </c>
      <c r="K286">
        <v>-390</v>
      </c>
    </row>
    <row r="287" spans="1:11" x14ac:dyDescent="0.3">
      <c r="A287" s="10">
        <v>45621</v>
      </c>
      <c r="B287" t="s">
        <v>27</v>
      </c>
      <c r="C287" t="s">
        <v>33</v>
      </c>
      <c r="D287" t="s">
        <v>18</v>
      </c>
      <c r="E287" t="s">
        <v>19</v>
      </c>
      <c r="F287">
        <v>27</v>
      </c>
      <c r="G287">
        <v>922</v>
      </c>
      <c r="H287">
        <v>1284</v>
      </c>
      <c r="I287">
        <v>24894</v>
      </c>
      <c r="J287">
        <v>34668</v>
      </c>
      <c r="K287">
        <v>9774</v>
      </c>
    </row>
    <row r="288" spans="1:11" x14ac:dyDescent="0.3">
      <c r="A288" s="10">
        <v>45622</v>
      </c>
      <c r="B288" t="s">
        <v>27</v>
      </c>
      <c r="C288" t="s">
        <v>33</v>
      </c>
      <c r="D288" t="s">
        <v>30</v>
      </c>
      <c r="E288" t="s">
        <v>14</v>
      </c>
      <c r="F288">
        <v>21</v>
      </c>
      <c r="G288">
        <v>978</v>
      </c>
      <c r="H288">
        <v>1139</v>
      </c>
      <c r="I288">
        <v>20538</v>
      </c>
      <c r="J288">
        <v>23919</v>
      </c>
      <c r="K288">
        <v>3381</v>
      </c>
    </row>
    <row r="289" spans="1:11" x14ac:dyDescent="0.3">
      <c r="A289" s="10">
        <v>45623</v>
      </c>
      <c r="B289" t="s">
        <v>27</v>
      </c>
      <c r="C289" t="s">
        <v>33</v>
      </c>
      <c r="D289" t="s">
        <v>31</v>
      </c>
      <c r="E289" t="s">
        <v>14</v>
      </c>
      <c r="F289">
        <v>24</v>
      </c>
      <c r="G289">
        <v>830</v>
      </c>
      <c r="H289">
        <v>1355</v>
      </c>
      <c r="I289">
        <v>19920</v>
      </c>
      <c r="J289">
        <v>32520</v>
      </c>
      <c r="K289">
        <v>12600</v>
      </c>
    </row>
    <row r="290" spans="1:11" x14ac:dyDescent="0.3">
      <c r="A290" s="10">
        <v>45624</v>
      </c>
      <c r="B290" t="s">
        <v>27</v>
      </c>
      <c r="C290" t="s">
        <v>40</v>
      </c>
      <c r="D290" t="s">
        <v>23</v>
      </c>
      <c r="E290" t="s">
        <v>14</v>
      </c>
      <c r="F290">
        <v>21</v>
      </c>
      <c r="G290">
        <v>751</v>
      </c>
      <c r="H290">
        <v>1498</v>
      </c>
      <c r="I290">
        <v>15771</v>
      </c>
      <c r="J290">
        <v>31458</v>
      </c>
      <c r="K290">
        <v>15687</v>
      </c>
    </row>
    <row r="291" spans="1:11" x14ac:dyDescent="0.3">
      <c r="A291" s="10">
        <v>45625</v>
      </c>
      <c r="B291" t="s">
        <v>27</v>
      </c>
      <c r="C291" t="s">
        <v>40</v>
      </c>
      <c r="D291" t="s">
        <v>25</v>
      </c>
      <c r="E291" t="s">
        <v>14</v>
      </c>
      <c r="F291">
        <v>26</v>
      </c>
      <c r="G291">
        <v>520</v>
      </c>
      <c r="H291">
        <v>1261</v>
      </c>
      <c r="I291">
        <v>13520</v>
      </c>
      <c r="J291">
        <v>32786</v>
      </c>
      <c r="K291">
        <v>19266</v>
      </c>
    </row>
    <row r="292" spans="1:11" x14ac:dyDescent="0.3">
      <c r="A292" s="10">
        <v>45671</v>
      </c>
      <c r="B292" t="s">
        <v>21</v>
      </c>
      <c r="C292" t="s">
        <v>41</v>
      </c>
      <c r="D292" t="s">
        <v>32</v>
      </c>
      <c r="E292" t="s">
        <v>19</v>
      </c>
      <c r="F292">
        <v>56</v>
      </c>
      <c r="G292">
        <v>685</v>
      </c>
      <c r="H292">
        <v>771</v>
      </c>
      <c r="I292">
        <v>38360</v>
      </c>
      <c r="J292">
        <v>43176</v>
      </c>
      <c r="K292">
        <v>4816</v>
      </c>
    </row>
    <row r="293" spans="1:11" x14ac:dyDescent="0.3">
      <c r="A293" s="10">
        <v>45627</v>
      </c>
      <c r="B293" t="s">
        <v>27</v>
      </c>
      <c r="C293" t="s">
        <v>40</v>
      </c>
      <c r="D293" t="s">
        <v>34</v>
      </c>
      <c r="E293" t="s">
        <v>14</v>
      </c>
      <c r="F293">
        <v>21</v>
      </c>
      <c r="G293">
        <v>605</v>
      </c>
      <c r="H293">
        <v>1264</v>
      </c>
      <c r="I293">
        <v>12705</v>
      </c>
      <c r="J293">
        <v>26544</v>
      </c>
      <c r="K293">
        <v>13839</v>
      </c>
    </row>
    <row r="294" spans="1:11" x14ac:dyDescent="0.3">
      <c r="A294" s="10">
        <v>45628</v>
      </c>
      <c r="B294" t="s">
        <v>27</v>
      </c>
      <c r="C294" t="s">
        <v>40</v>
      </c>
      <c r="D294" t="s">
        <v>34</v>
      </c>
      <c r="E294" t="s">
        <v>14</v>
      </c>
      <c r="F294">
        <v>20</v>
      </c>
      <c r="G294">
        <v>666</v>
      </c>
      <c r="H294">
        <v>1087</v>
      </c>
      <c r="I294">
        <v>13320</v>
      </c>
      <c r="J294">
        <v>21740</v>
      </c>
      <c r="K294">
        <v>8420</v>
      </c>
    </row>
    <row r="295" spans="1:11" x14ac:dyDescent="0.3">
      <c r="A295" s="10">
        <v>45630</v>
      </c>
      <c r="B295" t="s">
        <v>27</v>
      </c>
      <c r="C295" t="s">
        <v>40</v>
      </c>
      <c r="D295" t="s">
        <v>25</v>
      </c>
      <c r="E295" t="s">
        <v>19</v>
      </c>
      <c r="F295">
        <v>23</v>
      </c>
      <c r="G295">
        <v>632</v>
      </c>
      <c r="H295">
        <v>762</v>
      </c>
      <c r="I295">
        <v>14536</v>
      </c>
      <c r="J295">
        <v>17526</v>
      </c>
      <c r="K295">
        <v>2990</v>
      </c>
    </row>
    <row r="296" spans="1:11" x14ac:dyDescent="0.3">
      <c r="A296" s="10">
        <v>45631</v>
      </c>
      <c r="B296" t="s">
        <v>27</v>
      </c>
      <c r="C296" t="s">
        <v>40</v>
      </c>
      <c r="D296" t="s">
        <v>20</v>
      </c>
      <c r="E296" t="s">
        <v>19</v>
      </c>
      <c r="F296">
        <v>21</v>
      </c>
      <c r="G296">
        <v>540</v>
      </c>
      <c r="H296">
        <v>812</v>
      </c>
      <c r="I296">
        <v>11340</v>
      </c>
      <c r="J296">
        <v>17052</v>
      </c>
      <c r="K296">
        <v>5712</v>
      </c>
    </row>
    <row r="297" spans="1:11" x14ac:dyDescent="0.3">
      <c r="A297" s="10">
        <v>45632</v>
      </c>
      <c r="B297" t="s">
        <v>27</v>
      </c>
      <c r="C297" t="s">
        <v>40</v>
      </c>
      <c r="D297" t="s">
        <v>39</v>
      </c>
      <c r="E297" t="s">
        <v>19</v>
      </c>
      <c r="F297">
        <v>30</v>
      </c>
      <c r="G297">
        <v>557</v>
      </c>
      <c r="H297">
        <v>886</v>
      </c>
      <c r="I297">
        <v>16710</v>
      </c>
      <c r="J297">
        <v>26580</v>
      </c>
      <c r="K297">
        <v>9870</v>
      </c>
    </row>
    <row r="298" spans="1:11" x14ac:dyDescent="0.3">
      <c r="A298" s="10">
        <v>45677</v>
      </c>
      <c r="B298" t="s">
        <v>11</v>
      </c>
      <c r="C298" t="s">
        <v>24</v>
      </c>
      <c r="D298" t="s">
        <v>44</v>
      </c>
      <c r="E298" t="s">
        <v>14</v>
      </c>
      <c r="F298">
        <v>20</v>
      </c>
      <c r="G298">
        <v>803</v>
      </c>
      <c r="H298">
        <v>941</v>
      </c>
      <c r="I298">
        <v>16060</v>
      </c>
      <c r="J298">
        <v>18820</v>
      </c>
      <c r="K298">
        <v>2760</v>
      </c>
    </row>
    <row r="299" spans="1:11" x14ac:dyDescent="0.3">
      <c r="A299" s="10">
        <v>45633</v>
      </c>
      <c r="B299" t="s">
        <v>27</v>
      </c>
      <c r="C299" t="s">
        <v>40</v>
      </c>
      <c r="D299" t="s">
        <v>26</v>
      </c>
      <c r="E299" t="s">
        <v>14</v>
      </c>
      <c r="F299">
        <v>24</v>
      </c>
      <c r="G299">
        <v>651</v>
      </c>
      <c r="H299">
        <v>1386</v>
      </c>
      <c r="I299">
        <v>15624</v>
      </c>
      <c r="J299">
        <v>33264</v>
      </c>
      <c r="K299">
        <v>17640</v>
      </c>
    </row>
    <row r="300" spans="1:11" x14ac:dyDescent="0.3">
      <c r="A300" s="10">
        <v>45635</v>
      </c>
      <c r="B300" t="s">
        <v>27</v>
      </c>
      <c r="C300" t="s">
        <v>40</v>
      </c>
      <c r="D300" t="s">
        <v>44</v>
      </c>
      <c r="E300" t="s">
        <v>19</v>
      </c>
      <c r="F300">
        <v>20</v>
      </c>
      <c r="G300">
        <v>565</v>
      </c>
      <c r="H300">
        <v>943</v>
      </c>
      <c r="I300">
        <v>11300</v>
      </c>
      <c r="J300">
        <v>18860</v>
      </c>
      <c r="K300">
        <v>7560</v>
      </c>
    </row>
    <row r="301" spans="1:11" x14ac:dyDescent="0.3">
      <c r="A301" s="10">
        <v>45689</v>
      </c>
      <c r="B301" t="s">
        <v>27</v>
      </c>
      <c r="C301" t="s">
        <v>40</v>
      </c>
      <c r="D301" t="s">
        <v>26</v>
      </c>
      <c r="E301" t="s">
        <v>14</v>
      </c>
      <c r="F301">
        <v>22</v>
      </c>
      <c r="G301">
        <v>810</v>
      </c>
      <c r="H301">
        <v>1201</v>
      </c>
      <c r="I301">
        <v>17820</v>
      </c>
      <c r="J301">
        <v>26422</v>
      </c>
      <c r="K301">
        <v>8602</v>
      </c>
    </row>
    <row r="302" spans="1:11" x14ac:dyDescent="0.3">
      <c r="A302" s="10">
        <v>45690</v>
      </c>
      <c r="B302" t="s">
        <v>27</v>
      </c>
      <c r="C302" t="s">
        <v>40</v>
      </c>
      <c r="D302" t="s">
        <v>43</v>
      </c>
      <c r="E302" t="s">
        <v>14</v>
      </c>
      <c r="F302">
        <v>23</v>
      </c>
      <c r="G302">
        <v>827</v>
      </c>
      <c r="H302">
        <v>1185</v>
      </c>
      <c r="I302">
        <v>19021</v>
      </c>
      <c r="J302">
        <v>27255</v>
      </c>
      <c r="K302">
        <v>8234</v>
      </c>
    </row>
    <row r="303" spans="1:11" x14ac:dyDescent="0.3">
      <c r="A303" s="10">
        <v>45691</v>
      </c>
      <c r="B303" t="s">
        <v>27</v>
      </c>
      <c r="C303" t="s">
        <v>40</v>
      </c>
      <c r="D303" t="s">
        <v>44</v>
      </c>
      <c r="E303" t="s">
        <v>14</v>
      </c>
      <c r="F303">
        <v>23</v>
      </c>
      <c r="G303">
        <v>570</v>
      </c>
      <c r="H303">
        <v>1230</v>
      </c>
      <c r="I303">
        <v>13110</v>
      </c>
      <c r="J303">
        <v>28290</v>
      </c>
      <c r="K303">
        <v>15180</v>
      </c>
    </row>
    <row r="304" spans="1:11" x14ac:dyDescent="0.3">
      <c r="A304" s="10">
        <v>45683</v>
      </c>
      <c r="B304" t="s">
        <v>11</v>
      </c>
      <c r="C304" t="s">
        <v>24</v>
      </c>
      <c r="D304" t="s">
        <v>18</v>
      </c>
      <c r="E304" t="s">
        <v>14</v>
      </c>
      <c r="F304">
        <v>19</v>
      </c>
      <c r="G304">
        <v>911</v>
      </c>
      <c r="H304">
        <v>1116</v>
      </c>
      <c r="I304">
        <v>17309</v>
      </c>
      <c r="J304">
        <v>21204</v>
      </c>
      <c r="K304">
        <v>3895</v>
      </c>
    </row>
    <row r="305" spans="1:11" x14ac:dyDescent="0.3">
      <c r="A305" s="10">
        <v>45692</v>
      </c>
      <c r="B305" t="s">
        <v>27</v>
      </c>
      <c r="C305" t="s">
        <v>40</v>
      </c>
      <c r="D305" t="s">
        <v>13</v>
      </c>
      <c r="E305" t="s">
        <v>19</v>
      </c>
      <c r="F305">
        <v>21</v>
      </c>
      <c r="G305">
        <v>938</v>
      </c>
      <c r="H305">
        <v>1275</v>
      </c>
      <c r="I305">
        <v>19698</v>
      </c>
      <c r="J305">
        <v>26775</v>
      </c>
      <c r="K305">
        <v>7077</v>
      </c>
    </row>
    <row r="306" spans="1:11" x14ac:dyDescent="0.3">
      <c r="A306" s="10">
        <v>45693</v>
      </c>
      <c r="B306" t="s">
        <v>27</v>
      </c>
      <c r="C306" t="s">
        <v>40</v>
      </c>
      <c r="D306" t="s">
        <v>15</v>
      </c>
      <c r="E306" t="s">
        <v>19</v>
      </c>
      <c r="F306">
        <v>24</v>
      </c>
      <c r="G306">
        <v>993</v>
      </c>
      <c r="H306">
        <v>987</v>
      </c>
      <c r="I306">
        <v>23832</v>
      </c>
      <c r="J306">
        <v>23688</v>
      </c>
      <c r="K306">
        <v>-144</v>
      </c>
    </row>
    <row r="307" spans="1:11" x14ac:dyDescent="0.3">
      <c r="A307" s="10">
        <v>45694</v>
      </c>
      <c r="B307" t="s">
        <v>27</v>
      </c>
      <c r="C307" t="s">
        <v>40</v>
      </c>
      <c r="D307" t="s">
        <v>16</v>
      </c>
      <c r="E307" t="s">
        <v>19</v>
      </c>
      <c r="F307">
        <v>20</v>
      </c>
      <c r="G307">
        <v>534</v>
      </c>
      <c r="H307">
        <v>1233</v>
      </c>
      <c r="I307">
        <v>10680</v>
      </c>
      <c r="J307">
        <v>24660</v>
      </c>
      <c r="K307">
        <v>13980</v>
      </c>
    </row>
    <row r="308" spans="1:11" x14ac:dyDescent="0.3">
      <c r="A308" s="10">
        <v>45687</v>
      </c>
      <c r="B308" t="s">
        <v>11</v>
      </c>
      <c r="C308" t="s">
        <v>24</v>
      </c>
      <c r="D308" t="s">
        <v>20</v>
      </c>
      <c r="E308" t="s">
        <v>19</v>
      </c>
      <c r="F308">
        <v>10</v>
      </c>
      <c r="G308">
        <v>911</v>
      </c>
      <c r="H308">
        <v>1097</v>
      </c>
      <c r="I308">
        <v>9110</v>
      </c>
      <c r="J308">
        <v>10970</v>
      </c>
      <c r="K308">
        <v>1860</v>
      </c>
    </row>
    <row r="309" spans="1:11" x14ac:dyDescent="0.3">
      <c r="A309" s="10">
        <v>45695</v>
      </c>
      <c r="B309" t="s">
        <v>27</v>
      </c>
      <c r="C309" t="s">
        <v>40</v>
      </c>
      <c r="D309" t="s">
        <v>17</v>
      </c>
      <c r="E309" t="s">
        <v>19</v>
      </c>
      <c r="F309">
        <v>23</v>
      </c>
      <c r="G309">
        <v>761</v>
      </c>
      <c r="H309">
        <v>901</v>
      </c>
      <c r="I309">
        <v>17503</v>
      </c>
      <c r="J309">
        <v>20723</v>
      </c>
      <c r="K309">
        <v>3220</v>
      </c>
    </row>
    <row r="310" spans="1:11" x14ac:dyDescent="0.3">
      <c r="A310" s="10">
        <v>45696</v>
      </c>
      <c r="B310" t="s">
        <v>27</v>
      </c>
      <c r="C310" t="s">
        <v>40</v>
      </c>
      <c r="D310" t="s">
        <v>17</v>
      </c>
      <c r="E310" t="s">
        <v>19</v>
      </c>
      <c r="F310">
        <v>23</v>
      </c>
      <c r="G310">
        <v>701</v>
      </c>
      <c r="H310">
        <v>1322</v>
      </c>
      <c r="I310">
        <v>16123</v>
      </c>
      <c r="J310">
        <v>30406</v>
      </c>
      <c r="K310">
        <v>14283</v>
      </c>
    </row>
    <row r="311" spans="1:11" x14ac:dyDescent="0.3">
      <c r="A311" s="10">
        <v>45697</v>
      </c>
      <c r="B311" t="s">
        <v>27</v>
      </c>
      <c r="C311" t="s">
        <v>40</v>
      </c>
      <c r="D311" t="s">
        <v>18</v>
      </c>
      <c r="E311" t="s">
        <v>14</v>
      </c>
      <c r="F311">
        <v>25</v>
      </c>
      <c r="G311">
        <v>541</v>
      </c>
      <c r="H311">
        <v>1090</v>
      </c>
      <c r="I311">
        <v>13525</v>
      </c>
      <c r="J311">
        <v>27250</v>
      </c>
      <c r="K311">
        <v>13725</v>
      </c>
    </row>
    <row r="312" spans="1:11" x14ac:dyDescent="0.3">
      <c r="A312" s="10">
        <v>45699</v>
      </c>
      <c r="B312" t="s">
        <v>27</v>
      </c>
      <c r="C312" t="s">
        <v>40</v>
      </c>
      <c r="D312" t="s">
        <v>23</v>
      </c>
      <c r="E312" t="s">
        <v>14</v>
      </c>
      <c r="F312">
        <v>28</v>
      </c>
      <c r="G312">
        <v>708</v>
      </c>
      <c r="H312">
        <v>1358</v>
      </c>
      <c r="I312">
        <v>19824</v>
      </c>
      <c r="J312">
        <v>38024</v>
      </c>
      <c r="K312">
        <v>18200</v>
      </c>
    </row>
    <row r="313" spans="1:11" x14ac:dyDescent="0.3">
      <c r="A313" s="10">
        <v>45383</v>
      </c>
      <c r="B313" t="s">
        <v>27</v>
      </c>
      <c r="C313" t="s">
        <v>28</v>
      </c>
      <c r="D313" t="s">
        <v>35</v>
      </c>
      <c r="E313" t="s">
        <v>19</v>
      </c>
      <c r="F313">
        <v>28</v>
      </c>
      <c r="G313">
        <v>826</v>
      </c>
      <c r="H313">
        <v>929</v>
      </c>
      <c r="I313">
        <v>23128</v>
      </c>
      <c r="J313">
        <v>26012</v>
      </c>
      <c r="K313">
        <v>2884</v>
      </c>
    </row>
    <row r="314" spans="1:11" x14ac:dyDescent="0.3">
      <c r="A314" s="10">
        <v>45384</v>
      </c>
      <c r="B314" t="s">
        <v>27</v>
      </c>
      <c r="C314" t="s">
        <v>42</v>
      </c>
      <c r="D314" t="s">
        <v>26</v>
      </c>
      <c r="E314" t="s">
        <v>19</v>
      </c>
      <c r="F314">
        <v>25</v>
      </c>
      <c r="G314">
        <v>952</v>
      </c>
      <c r="H314">
        <v>1261</v>
      </c>
      <c r="I314">
        <v>23800</v>
      </c>
      <c r="J314">
        <v>31525</v>
      </c>
      <c r="K314">
        <v>7725</v>
      </c>
    </row>
    <row r="315" spans="1:11" x14ac:dyDescent="0.3">
      <c r="A315" s="10">
        <v>45385</v>
      </c>
      <c r="B315" t="s">
        <v>27</v>
      </c>
      <c r="C315" t="s">
        <v>42</v>
      </c>
      <c r="D315" t="s">
        <v>17</v>
      </c>
      <c r="E315" t="s">
        <v>19</v>
      </c>
      <c r="F315">
        <v>20</v>
      </c>
      <c r="G315">
        <v>940</v>
      </c>
      <c r="H315">
        <v>1259</v>
      </c>
      <c r="I315">
        <v>18800</v>
      </c>
      <c r="J315">
        <v>25180</v>
      </c>
      <c r="K315">
        <v>6380</v>
      </c>
    </row>
    <row r="316" spans="1:11" x14ac:dyDescent="0.3">
      <c r="A316" s="10">
        <v>45386</v>
      </c>
      <c r="B316" t="s">
        <v>27</v>
      </c>
      <c r="C316" t="s">
        <v>42</v>
      </c>
      <c r="D316" t="s">
        <v>34</v>
      </c>
      <c r="E316" t="s">
        <v>19</v>
      </c>
      <c r="F316">
        <v>22</v>
      </c>
      <c r="G316">
        <v>785</v>
      </c>
      <c r="H316">
        <v>1292</v>
      </c>
      <c r="I316">
        <v>17270</v>
      </c>
      <c r="J316">
        <v>28424</v>
      </c>
      <c r="K316">
        <v>11154</v>
      </c>
    </row>
    <row r="317" spans="1:11" x14ac:dyDescent="0.3">
      <c r="A317" s="10">
        <v>45391</v>
      </c>
      <c r="B317" t="s">
        <v>27</v>
      </c>
      <c r="C317" t="s">
        <v>28</v>
      </c>
      <c r="D317" t="s">
        <v>32</v>
      </c>
      <c r="E317" t="s">
        <v>14</v>
      </c>
      <c r="F317">
        <v>21</v>
      </c>
      <c r="G317">
        <v>879</v>
      </c>
      <c r="H317">
        <v>1019</v>
      </c>
      <c r="I317">
        <v>18459</v>
      </c>
      <c r="J317">
        <v>21399</v>
      </c>
      <c r="K317">
        <v>2940</v>
      </c>
    </row>
    <row r="318" spans="1:11" x14ac:dyDescent="0.3">
      <c r="A318" s="10">
        <v>45392</v>
      </c>
      <c r="B318" t="s">
        <v>27</v>
      </c>
      <c r="C318" t="s">
        <v>28</v>
      </c>
      <c r="D318" t="s">
        <v>23</v>
      </c>
      <c r="E318" t="s">
        <v>14</v>
      </c>
      <c r="F318">
        <v>28</v>
      </c>
      <c r="G318">
        <v>937</v>
      </c>
      <c r="H318">
        <v>872</v>
      </c>
      <c r="I318">
        <v>26236</v>
      </c>
      <c r="J318">
        <v>24416</v>
      </c>
      <c r="K318">
        <v>-1820</v>
      </c>
    </row>
    <row r="319" spans="1:11" x14ac:dyDescent="0.3">
      <c r="A319" s="10">
        <v>45698</v>
      </c>
      <c r="B319" t="s">
        <v>27</v>
      </c>
      <c r="C319" t="s">
        <v>40</v>
      </c>
      <c r="D319" t="s">
        <v>20</v>
      </c>
      <c r="E319" t="s">
        <v>14</v>
      </c>
      <c r="F319">
        <v>26</v>
      </c>
      <c r="G319">
        <v>751</v>
      </c>
      <c r="H319">
        <v>1292</v>
      </c>
      <c r="I319">
        <v>19526</v>
      </c>
      <c r="J319">
        <v>33592</v>
      </c>
      <c r="K319">
        <v>14066</v>
      </c>
    </row>
    <row r="320" spans="1:11" x14ac:dyDescent="0.3">
      <c r="A320" s="10">
        <v>45393</v>
      </c>
      <c r="B320" t="s">
        <v>27</v>
      </c>
      <c r="C320" t="s">
        <v>28</v>
      </c>
      <c r="D320" t="s">
        <v>25</v>
      </c>
      <c r="E320" t="s">
        <v>14</v>
      </c>
      <c r="F320">
        <v>22</v>
      </c>
      <c r="G320">
        <v>832</v>
      </c>
      <c r="H320">
        <v>769</v>
      </c>
      <c r="I320">
        <v>18304</v>
      </c>
      <c r="J320">
        <v>16918</v>
      </c>
      <c r="K320">
        <v>-1386</v>
      </c>
    </row>
    <row r="321" spans="1:11" x14ac:dyDescent="0.3">
      <c r="A321" s="10">
        <v>45394</v>
      </c>
      <c r="B321" t="s">
        <v>27</v>
      </c>
      <c r="C321" t="s">
        <v>28</v>
      </c>
      <c r="D321" t="s">
        <v>25</v>
      </c>
      <c r="E321" t="s">
        <v>14</v>
      </c>
      <c r="F321">
        <v>28</v>
      </c>
      <c r="G321">
        <v>832</v>
      </c>
      <c r="H321">
        <v>1028</v>
      </c>
      <c r="I321">
        <v>23296</v>
      </c>
      <c r="J321">
        <v>28784</v>
      </c>
      <c r="K321">
        <v>5488</v>
      </c>
    </row>
    <row r="322" spans="1:11" x14ac:dyDescent="0.3">
      <c r="A322" s="10">
        <v>45396</v>
      </c>
      <c r="B322" t="s">
        <v>27</v>
      </c>
      <c r="C322" t="s">
        <v>28</v>
      </c>
      <c r="D322" t="s">
        <v>18</v>
      </c>
      <c r="E322" t="s">
        <v>14</v>
      </c>
      <c r="F322">
        <v>22</v>
      </c>
      <c r="G322">
        <v>622</v>
      </c>
      <c r="H322">
        <v>822</v>
      </c>
      <c r="I322">
        <v>13684</v>
      </c>
      <c r="J322">
        <v>18084</v>
      </c>
      <c r="K322">
        <v>4400</v>
      </c>
    </row>
    <row r="323" spans="1:11" x14ac:dyDescent="0.3">
      <c r="A323" s="10">
        <v>45702</v>
      </c>
      <c r="B323" t="s">
        <v>21</v>
      </c>
      <c r="C323" t="s">
        <v>38</v>
      </c>
      <c r="D323" t="s">
        <v>34</v>
      </c>
      <c r="E323" t="s">
        <v>14</v>
      </c>
      <c r="F323">
        <v>55</v>
      </c>
      <c r="G323">
        <v>856</v>
      </c>
      <c r="H323">
        <v>756</v>
      </c>
      <c r="I323">
        <v>47080</v>
      </c>
      <c r="J323">
        <v>41580</v>
      </c>
      <c r="K323">
        <v>-5500</v>
      </c>
    </row>
    <row r="324" spans="1:11" x14ac:dyDescent="0.3">
      <c r="A324" s="10">
        <v>45404</v>
      </c>
      <c r="B324" t="s">
        <v>27</v>
      </c>
      <c r="C324" t="s">
        <v>33</v>
      </c>
      <c r="D324" t="s">
        <v>25</v>
      </c>
      <c r="E324" t="s">
        <v>19</v>
      </c>
      <c r="F324">
        <v>23</v>
      </c>
      <c r="G324">
        <v>663</v>
      </c>
      <c r="H324">
        <v>1153</v>
      </c>
      <c r="I324">
        <v>15249</v>
      </c>
      <c r="J324">
        <v>26519</v>
      </c>
      <c r="K324">
        <v>11270</v>
      </c>
    </row>
    <row r="325" spans="1:11" x14ac:dyDescent="0.3">
      <c r="A325" s="10">
        <v>45406</v>
      </c>
      <c r="B325" t="s">
        <v>27</v>
      </c>
      <c r="C325" t="s">
        <v>33</v>
      </c>
      <c r="D325" t="s">
        <v>34</v>
      </c>
      <c r="E325" t="s">
        <v>19</v>
      </c>
      <c r="F325">
        <v>23</v>
      </c>
      <c r="G325">
        <v>779</v>
      </c>
      <c r="H325">
        <v>1415</v>
      </c>
      <c r="I325">
        <v>17917</v>
      </c>
      <c r="J325">
        <v>32545</v>
      </c>
      <c r="K325">
        <v>14628</v>
      </c>
    </row>
    <row r="326" spans="1:11" x14ac:dyDescent="0.3">
      <c r="A326" s="10">
        <v>45408</v>
      </c>
      <c r="B326" t="s">
        <v>27</v>
      </c>
      <c r="C326" t="s">
        <v>33</v>
      </c>
      <c r="D326" t="s">
        <v>25</v>
      </c>
      <c r="E326" t="s">
        <v>14</v>
      </c>
      <c r="F326">
        <v>29</v>
      </c>
      <c r="G326">
        <v>952</v>
      </c>
      <c r="H326">
        <v>1428</v>
      </c>
      <c r="I326">
        <v>27608</v>
      </c>
      <c r="J326">
        <v>41412</v>
      </c>
      <c r="K326">
        <v>13804</v>
      </c>
    </row>
    <row r="327" spans="1:11" x14ac:dyDescent="0.3">
      <c r="A327" s="10">
        <v>45409</v>
      </c>
      <c r="B327" t="s">
        <v>27</v>
      </c>
      <c r="C327" t="s">
        <v>33</v>
      </c>
      <c r="D327" t="s">
        <v>20</v>
      </c>
      <c r="E327" t="s">
        <v>14</v>
      </c>
      <c r="F327">
        <v>26</v>
      </c>
      <c r="G327">
        <v>983</v>
      </c>
      <c r="H327">
        <v>1270</v>
      </c>
      <c r="I327">
        <v>25558</v>
      </c>
      <c r="J327">
        <v>33020</v>
      </c>
      <c r="K327">
        <v>7462</v>
      </c>
    </row>
    <row r="328" spans="1:11" x14ac:dyDescent="0.3">
      <c r="A328" s="10">
        <v>45410</v>
      </c>
      <c r="B328" t="s">
        <v>27</v>
      </c>
      <c r="C328" t="s">
        <v>33</v>
      </c>
      <c r="D328" t="s">
        <v>39</v>
      </c>
      <c r="E328" t="s">
        <v>14</v>
      </c>
      <c r="F328">
        <v>28</v>
      </c>
      <c r="G328">
        <v>814</v>
      </c>
      <c r="H328">
        <v>1343</v>
      </c>
      <c r="I328">
        <v>22792</v>
      </c>
      <c r="J328">
        <v>37604</v>
      </c>
      <c r="K328">
        <v>14812</v>
      </c>
    </row>
    <row r="329" spans="1:11" x14ac:dyDescent="0.3">
      <c r="A329" s="10">
        <v>45411</v>
      </c>
      <c r="B329" t="s">
        <v>27</v>
      </c>
      <c r="C329" t="s">
        <v>33</v>
      </c>
      <c r="D329" t="s">
        <v>26</v>
      </c>
      <c r="E329" t="s">
        <v>14</v>
      </c>
      <c r="F329">
        <v>26</v>
      </c>
      <c r="G329">
        <v>835</v>
      </c>
      <c r="H329">
        <v>973</v>
      </c>
      <c r="I329">
        <v>21710</v>
      </c>
      <c r="J329">
        <v>25298</v>
      </c>
      <c r="K329">
        <v>3588</v>
      </c>
    </row>
    <row r="330" spans="1:11" x14ac:dyDescent="0.3">
      <c r="A330" s="10">
        <v>45709</v>
      </c>
      <c r="B330" t="s">
        <v>21</v>
      </c>
      <c r="C330" t="s">
        <v>38</v>
      </c>
      <c r="D330" t="s">
        <v>43</v>
      </c>
      <c r="E330" t="s">
        <v>19</v>
      </c>
      <c r="F330">
        <v>88</v>
      </c>
      <c r="G330">
        <v>635</v>
      </c>
      <c r="H330">
        <v>1370</v>
      </c>
      <c r="I330">
        <v>55880</v>
      </c>
      <c r="J330">
        <v>120560</v>
      </c>
      <c r="K330">
        <v>64680</v>
      </c>
    </row>
    <row r="331" spans="1:11" x14ac:dyDescent="0.3">
      <c r="A331" s="10">
        <v>45412</v>
      </c>
      <c r="B331" t="s">
        <v>27</v>
      </c>
      <c r="C331" t="s">
        <v>33</v>
      </c>
      <c r="D331" t="s">
        <v>43</v>
      </c>
      <c r="E331" t="s">
        <v>14</v>
      </c>
      <c r="F331">
        <v>24</v>
      </c>
      <c r="G331">
        <v>631</v>
      </c>
      <c r="H331">
        <v>1304</v>
      </c>
      <c r="I331">
        <v>15144</v>
      </c>
      <c r="J331">
        <v>31296</v>
      </c>
      <c r="K331">
        <v>16152</v>
      </c>
    </row>
    <row r="332" spans="1:11" x14ac:dyDescent="0.3">
      <c r="A332" s="10">
        <v>45413</v>
      </c>
      <c r="B332" t="s">
        <v>27</v>
      </c>
      <c r="C332" t="s">
        <v>33</v>
      </c>
      <c r="D332" t="s">
        <v>44</v>
      </c>
      <c r="E332" t="s">
        <v>14</v>
      </c>
      <c r="F332">
        <v>24</v>
      </c>
      <c r="G332">
        <v>833</v>
      </c>
      <c r="H332">
        <v>1280</v>
      </c>
      <c r="I332">
        <v>19992</v>
      </c>
      <c r="J332">
        <v>30720</v>
      </c>
      <c r="K332">
        <v>10728</v>
      </c>
    </row>
    <row r="333" spans="1:11" x14ac:dyDescent="0.3">
      <c r="A333" s="10">
        <v>45414</v>
      </c>
      <c r="B333" t="s">
        <v>27</v>
      </c>
      <c r="C333" t="s">
        <v>33</v>
      </c>
      <c r="D333" t="s">
        <v>13</v>
      </c>
      <c r="E333" t="s">
        <v>19</v>
      </c>
      <c r="F333">
        <v>21</v>
      </c>
      <c r="G333">
        <v>680</v>
      </c>
      <c r="H333">
        <v>1049</v>
      </c>
      <c r="I333">
        <v>14280</v>
      </c>
      <c r="J333">
        <v>22029</v>
      </c>
      <c r="K333">
        <v>7749</v>
      </c>
    </row>
    <row r="334" spans="1:11" x14ac:dyDescent="0.3">
      <c r="A334" s="10">
        <v>45415</v>
      </c>
      <c r="B334" t="s">
        <v>27</v>
      </c>
      <c r="C334" t="s">
        <v>33</v>
      </c>
      <c r="D334" t="s">
        <v>15</v>
      </c>
      <c r="E334" t="s">
        <v>19</v>
      </c>
      <c r="F334">
        <v>23</v>
      </c>
      <c r="G334">
        <v>667</v>
      </c>
      <c r="H334">
        <v>962</v>
      </c>
      <c r="I334">
        <v>15341</v>
      </c>
      <c r="J334">
        <v>22126</v>
      </c>
      <c r="K334">
        <v>6785</v>
      </c>
    </row>
    <row r="335" spans="1:11" x14ac:dyDescent="0.3">
      <c r="A335" s="10">
        <v>45416</v>
      </c>
      <c r="B335" t="s">
        <v>27</v>
      </c>
      <c r="C335" t="s">
        <v>33</v>
      </c>
      <c r="D335" t="s">
        <v>16</v>
      </c>
      <c r="E335" t="s">
        <v>19</v>
      </c>
      <c r="F335">
        <v>24</v>
      </c>
      <c r="G335">
        <v>504</v>
      </c>
      <c r="H335">
        <v>1283</v>
      </c>
      <c r="I335">
        <v>12096</v>
      </c>
      <c r="J335">
        <v>30792</v>
      </c>
      <c r="K335">
        <v>18696</v>
      </c>
    </row>
    <row r="336" spans="1:11" x14ac:dyDescent="0.3">
      <c r="A336" s="10">
        <v>45417</v>
      </c>
      <c r="B336" t="s">
        <v>27</v>
      </c>
      <c r="C336" t="s">
        <v>33</v>
      </c>
      <c r="D336" t="s">
        <v>17</v>
      </c>
      <c r="E336" t="s">
        <v>19</v>
      </c>
      <c r="F336">
        <v>26</v>
      </c>
      <c r="G336">
        <v>985</v>
      </c>
      <c r="H336">
        <v>1407</v>
      </c>
      <c r="I336">
        <v>25610</v>
      </c>
      <c r="J336">
        <v>36582</v>
      </c>
      <c r="K336">
        <v>10972</v>
      </c>
    </row>
    <row r="337" spans="1:11" x14ac:dyDescent="0.3">
      <c r="A337" s="10">
        <v>45418</v>
      </c>
      <c r="B337" t="s">
        <v>27</v>
      </c>
      <c r="C337" t="s">
        <v>33</v>
      </c>
      <c r="D337" t="s">
        <v>17</v>
      </c>
      <c r="E337" t="s">
        <v>14</v>
      </c>
      <c r="F337">
        <v>27</v>
      </c>
      <c r="G337">
        <v>890</v>
      </c>
      <c r="H337">
        <v>853</v>
      </c>
      <c r="I337">
        <v>24030</v>
      </c>
      <c r="J337">
        <v>23031</v>
      </c>
      <c r="K337">
        <v>-999</v>
      </c>
    </row>
    <row r="338" spans="1:11" x14ac:dyDescent="0.3">
      <c r="A338" s="10">
        <v>45419</v>
      </c>
      <c r="B338" t="s">
        <v>27</v>
      </c>
      <c r="C338" t="s">
        <v>40</v>
      </c>
      <c r="D338" t="s">
        <v>18</v>
      </c>
      <c r="E338" t="s">
        <v>14</v>
      </c>
      <c r="F338">
        <v>21</v>
      </c>
      <c r="G338">
        <v>722</v>
      </c>
      <c r="H338">
        <v>1247</v>
      </c>
      <c r="I338">
        <v>15162</v>
      </c>
      <c r="J338">
        <v>26187</v>
      </c>
      <c r="K338">
        <v>11025</v>
      </c>
    </row>
    <row r="339" spans="1:11" x14ac:dyDescent="0.3">
      <c r="A339" s="10">
        <v>45420</v>
      </c>
      <c r="B339" t="s">
        <v>27</v>
      </c>
      <c r="C339" t="s">
        <v>40</v>
      </c>
      <c r="D339" t="s">
        <v>20</v>
      </c>
      <c r="E339" t="s">
        <v>14</v>
      </c>
      <c r="F339">
        <v>22</v>
      </c>
      <c r="G339">
        <v>725</v>
      </c>
      <c r="H339">
        <v>765</v>
      </c>
      <c r="I339">
        <v>15950</v>
      </c>
      <c r="J339">
        <v>16830</v>
      </c>
      <c r="K339">
        <v>880</v>
      </c>
    </row>
    <row r="340" spans="1:11" x14ac:dyDescent="0.3">
      <c r="A340" s="10">
        <v>45421</v>
      </c>
      <c r="B340" t="s">
        <v>27</v>
      </c>
      <c r="C340" t="s">
        <v>40</v>
      </c>
      <c r="D340" t="s">
        <v>17</v>
      </c>
      <c r="E340" t="s">
        <v>14</v>
      </c>
      <c r="F340">
        <v>26</v>
      </c>
      <c r="G340">
        <v>509</v>
      </c>
      <c r="H340">
        <v>1120</v>
      </c>
      <c r="I340">
        <v>13234</v>
      </c>
      <c r="J340">
        <v>29120</v>
      </c>
      <c r="K340">
        <v>15886</v>
      </c>
    </row>
    <row r="341" spans="1:11" x14ac:dyDescent="0.3">
      <c r="A341" s="10">
        <v>45389</v>
      </c>
      <c r="B341" t="s">
        <v>21</v>
      </c>
      <c r="C341" t="s">
        <v>22</v>
      </c>
      <c r="D341" t="s">
        <v>23</v>
      </c>
      <c r="E341" t="s">
        <v>19</v>
      </c>
      <c r="F341">
        <v>55</v>
      </c>
      <c r="G341">
        <v>906</v>
      </c>
      <c r="H341">
        <v>880</v>
      </c>
      <c r="I341">
        <v>49830</v>
      </c>
      <c r="J341">
        <v>48400</v>
      </c>
      <c r="K341">
        <v>-1430</v>
      </c>
    </row>
    <row r="342" spans="1:11" x14ac:dyDescent="0.3">
      <c r="A342" s="10">
        <v>45422</v>
      </c>
      <c r="B342" t="s">
        <v>27</v>
      </c>
      <c r="C342" t="s">
        <v>40</v>
      </c>
      <c r="D342" t="s">
        <v>36</v>
      </c>
      <c r="E342" t="s">
        <v>14</v>
      </c>
      <c r="F342">
        <v>28</v>
      </c>
      <c r="G342">
        <v>905</v>
      </c>
      <c r="H342">
        <v>958</v>
      </c>
      <c r="I342">
        <v>25340</v>
      </c>
      <c r="J342">
        <v>26824</v>
      </c>
      <c r="K342">
        <v>1484</v>
      </c>
    </row>
    <row r="343" spans="1:11" x14ac:dyDescent="0.3">
      <c r="A343" s="10">
        <v>45423</v>
      </c>
      <c r="B343" t="s">
        <v>27</v>
      </c>
      <c r="C343" t="s">
        <v>40</v>
      </c>
      <c r="D343" t="s">
        <v>35</v>
      </c>
      <c r="E343" t="s">
        <v>14</v>
      </c>
      <c r="F343">
        <v>22</v>
      </c>
      <c r="G343">
        <v>866</v>
      </c>
      <c r="H343">
        <v>1453</v>
      </c>
      <c r="I343">
        <v>19052</v>
      </c>
      <c r="J343">
        <v>31966</v>
      </c>
      <c r="K343">
        <v>12914</v>
      </c>
    </row>
    <row r="344" spans="1:11" x14ac:dyDescent="0.3">
      <c r="A344" s="10">
        <v>45424</v>
      </c>
      <c r="B344" t="s">
        <v>27</v>
      </c>
      <c r="C344" t="s">
        <v>40</v>
      </c>
      <c r="D344" t="s">
        <v>26</v>
      </c>
      <c r="E344" t="s">
        <v>14</v>
      </c>
      <c r="F344">
        <v>23</v>
      </c>
      <c r="G344">
        <v>816</v>
      </c>
      <c r="H344">
        <v>1273</v>
      </c>
      <c r="I344">
        <v>18768</v>
      </c>
      <c r="J344">
        <v>29279</v>
      </c>
      <c r="K344">
        <v>10511</v>
      </c>
    </row>
    <row r="345" spans="1:11" x14ac:dyDescent="0.3">
      <c r="A345" s="10">
        <v>45425</v>
      </c>
      <c r="B345" t="s">
        <v>27</v>
      </c>
      <c r="C345" t="s">
        <v>40</v>
      </c>
      <c r="D345" t="s">
        <v>17</v>
      </c>
      <c r="E345" t="s">
        <v>14</v>
      </c>
      <c r="F345">
        <v>30</v>
      </c>
      <c r="G345">
        <v>738</v>
      </c>
      <c r="H345">
        <v>1216</v>
      </c>
      <c r="I345">
        <v>22140</v>
      </c>
      <c r="J345">
        <v>36480</v>
      </c>
      <c r="K345">
        <v>14340</v>
      </c>
    </row>
    <row r="346" spans="1:11" x14ac:dyDescent="0.3">
      <c r="A346" s="10">
        <v>45426</v>
      </c>
      <c r="B346" t="s">
        <v>27</v>
      </c>
      <c r="C346" t="s">
        <v>40</v>
      </c>
      <c r="D346" t="s">
        <v>34</v>
      </c>
      <c r="E346" t="s">
        <v>14</v>
      </c>
      <c r="F346">
        <v>24</v>
      </c>
      <c r="G346">
        <v>653</v>
      </c>
      <c r="H346">
        <v>1293</v>
      </c>
      <c r="I346">
        <v>15672</v>
      </c>
      <c r="J346">
        <v>31032</v>
      </c>
      <c r="K346">
        <v>15360</v>
      </c>
    </row>
    <row r="347" spans="1:11" x14ac:dyDescent="0.3">
      <c r="A347" s="10">
        <v>45395</v>
      </c>
      <c r="B347" t="s">
        <v>27</v>
      </c>
      <c r="C347" t="s">
        <v>28</v>
      </c>
      <c r="D347" t="s">
        <v>26</v>
      </c>
      <c r="E347" t="s">
        <v>14</v>
      </c>
      <c r="F347">
        <v>22</v>
      </c>
      <c r="G347">
        <v>692</v>
      </c>
      <c r="H347">
        <v>906</v>
      </c>
      <c r="I347">
        <v>15224</v>
      </c>
      <c r="J347">
        <v>19932</v>
      </c>
      <c r="K347">
        <v>4708</v>
      </c>
    </row>
    <row r="348" spans="1:11" x14ac:dyDescent="0.3">
      <c r="A348" s="10">
        <v>45427</v>
      </c>
      <c r="B348" t="s">
        <v>27</v>
      </c>
      <c r="C348" t="s">
        <v>40</v>
      </c>
      <c r="D348" t="s">
        <v>36</v>
      </c>
      <c r="E348" t="s">
        <v>14</v>
      </c>
      <c r="F348">
        <v>30</v>
      </c>
      <c r="G348">
        <v>583</v>
      </c>
      <c r="H348">
        <v>1500</v>
      </c>
      <c r="I348">
        <v>17490</v>
      </c>
      <c r="J348">
        <v>45000</v>
      </c>
      <c r="K348">
        <v>27510</v>
      </c>
    </row>
    <row r="349" spans="1:11" x14ac:dyDescent="0.3">
      <c r="A349" s="10">
        <v>45428</v>
      </c>
      <c r="B349" t="s">
        <v>27</v>
      </c>
      <c r="C349" t="s">
        <v>40</v>
      </c>
      <c r="D349" t="s">
        <v>37</v>
      </c>
      <c r="E349" t="s">
        <v>19</v>
      </c>
      <c r="F349">
        <v>26</v>
      </c>
      <c r="G349">
        <v>1000</v>
      </c>
      <c r="H349">
        <v>765</v>
      </c>
      <c r="I349">
        <v>26000</v>
      </c>
      <c r="J349">
        <v>19890</v>
      </c>
      <c r="K349">
        <v>-6110</v>
      </c>
    </row>
    <row r="350" spans="1:11" x14ac:dyDescent="0.3">
      <c r="A350" s="10">
        <v>45429</v>
      </c>
      <c r="B350" t="s">
        <v>27</v>
      </c>
      <c r="C350" t="s">
        <v>40</v>
      </c>
      <c r="D350" t="s">
        <v>23</v>
      </c>
      <c r="E350" t="s">
        <v>19</v>
      </c>
      <c r="F350">
        <v>27</v>
      </c>
      <c r="G350">
        <v>913</v>
      </c>
      <c r="H350">
        <v>1197</v>
      </c>
      <c r="I350">
        <v>24651</v>
      </c>
      <c r="J350">
        <v>32319</v>
      </c>
      <c r="K350">
        <v>7668</v>
      </c>
    </row>
    <row r="351" spans="1:11" x14ac:dyDescent="0.3">
      <c r="A351" s="10">
        <v>45430</v>
      </c>
      <c r="B351" t="s">
        <v>27</v>
      </c>
      <c r="C351" t="s">
        <v>40</v>
      </c>
      <c r="D351" t="s">
        <v>26</v>
      </c>
      <c r="E351" t="s">
        <v>19</v>
      </c>
      <c r="F351">
        <v>29</v>
      </c>
      <c r="G351">
        <v>735</v>
      </c>
      <c r="H351">
        <v>1388</v>
      </c>
      <c r="I351">
        <v>21315</v>
      </c>
      <c r="J351">
        <v>40252</v>
      </c>
      <c r="K351">
        <v>18937</v>
      </c>
    </row>
    <row r="352" spans="1:11" x14ac:dyDescent="0.3">
      <c r="A352" s="10">
        <v>45484</v>
      </c>
      <c r="B352" t="s">
        <v>27</v>
      </c>
      <c r="C352" t="s">
        <v>40</v>
      </c>
      <c r="D352" t="s">
        <v>25</v>
      </c>
      <c r="E352" t="s">
        <v>19</v>
      </c>
      <c r="F352">
        <v>29</v>
      </c>
      <c r="G352">
        <v>965</v>
      </c>
      <c r="H352">
        <v>1195</v>
      </c>
      <c r="I352">
        <v>27985</v>
      </c>
      <c r="J352">
        <v>34655</v>
      </c>
      <c r="K352">
        <v>6670</v>
      </c>
    </row>
    <row r="353" spans="1:11" x14ac:dyDescent="0.3">
      <c r="A353" s="10">
        <v>45485</v>
      </c>
      <c r="B353" t="s">
        <v>27</v>
      </c>
      <c r="C353" t="s">
        <v>40</v>
      </c>
      <c r="D353" t="s">
        <v>34</v>
      </c>
      <c r="E353" t="s">
        <v>19</v>
      </c>
      <c r="F353">
        <v>24</v>
      </c>
      <c r="G353">
        <v>970</v>
      </c>
      <c r="H353">
        <v>1256</v>
      </c>
      <c r="I353">
        <v>23280</v>
      </c>
      <c r="J353">
        <v>30144</v>
      </c>
      <c r="K353">
        <v>6864</v>
      </c>
    </row>
    <row r="354" spans="1:11" x14ac:dyDescent="0.3">
      <c r="A354" s="10">
        <v>45486</v>
      </c>
      <c r="B354" t="s">
        <v>27</v>
      </c>
      <c r="C354" t="s">
        <v>40</v>
      </c>
      <c r="D354" t="s">
        <v>34</v>
      </c>
      <c r="E354" t="s">
        <v>19</v>
      </c>
      <c r="F354">
        <v>22</v>
      </c>
      <c r="G354">
        <v>974</v>
      </c>
      <c r="H354">
        <v>1329</v>
      </c>
      <c r="I354">
        <v>21428</v>
      </c>
      <c r="J354">
        <v>29238</v>
      </c>
      <c r="K354">
        <v>7810</v>
      </c>
    </row>
    <row r="355" spans="1:11" x14ac:dyDescent="0.3">
      <c r="A355" s="10">
        <v>45487</v>
      </c>
      <c r="B355" t="s">
        <v>27</v>
      </c>
      <c r="C355" t="s">
        <v>40</v>
      </c>
      <c r="D355" t="s">
        <v>32</v>
      </c>
      <c r="E355" t="s">
        <v>19</v>
      </c>
      <c r="F355">
        <v>21</v>
      </c>
      <c r="G355">
        <v>915</v>
      </c>
      <c r="H355">
        <v>1442</v>
      </c>
      <c r="I355">
        <v>19215</v>
      </c>
      <c r="J355">
        <v>30282</v>
      </c>
      <c r="K355">
        <v>11067</v>
      </c>
    </row>
    <row r="356" spans="1:11" x14ac:dyDescent="0.3">
      <c r="A356" s="10">
        <v>45489</v>
      </c>
      <c r="B356" t="s">
        <v>27</v>
      </c>
      <c r="C356" t="s">
        <v>40</v>
      </c>
      <c r="D356" t="s">
        <v>20</v>
      </c>
      <c r="E356" t="s">
        <v>14</v>
      </c>
      <c r="F356">
        <v>27</v>
      </c>
      <c r="G356">
        <v>605</v>
      </c>
      <c r="H356">
        <v>826</v>
      </c>
      <c r="I356">
        <v>16335</v>
      </c>
      <c r="J356">
        <v>22302</v>
      </c>
      <c r="K356">
        <v>5967</v>
      </c>
    </row>
    <row r="357" spans="1:11" x14ac:dyDescent="0.3">
      <c r="A357" s="10">
        <v>45405</v>
      </c>
      <c r="B357" t="s">
        <v>27</v>
      </c>
      <c r="C357" t="s">
        <v>33</v>
      </c>
      <c r="D357" t="s">
        <v>34</v>
      </c>
      <c r="E357" t="s">
        <v>19</v>
      </c>
      <c r="F357">
        <v>29</v>
      </c>
      <c r="G357">
        <v>893</v>
      </c>
      <c r="H357">
        <v>865</v>
      </c>
      <c r="I357">
        <v>25897</v>
      </c>
      <c r="J357">
        <v>25085</v>
      </c>
      <c r="K357">
        <v>-812</v>
      </c>
    </row>
    <row r="358" spans="1:11" x14ac:dyDescent="0.3">
      <c r="A358" s="10">
        <v>45490</v>
      </c>
      <c r="B358" t="s">
        <v>27</v>
      </c>
      <c r="C358" t="s">
        <v>40</v>
      </c>
      <c r="D358" t="s">
        <v>39</v>
      </c>
      <c r="E358" t="s">
        <v>14</v>
      </c>
      <c r="F358">
        <v>29</v>
      </c>
      <c r="G358">
        <v>689</v>
      </c>
      <c r="H358">
        <v>783</v>
      </c>
      <c r="I358">
        <v>19981</v>
      </c>
      <c r="J358">
        <v>22707</v>
      </c>
      <c r="K358">
        <v>2726</v>
      </c>
    </row>
    <row r="359" spans="1:11" x14ac:dyDescent="0.3">
      <c r="A359" s="10">
        <v>45407</v>
      </c>
      <c r="B359" t="s">
        <v>27</v>
      </c>
      <c r="C359" t="s">
        <v>33</v>
      </c>
      <c r="D359" t="s">
        <v>32</v>
      </c>
      <c r="E359" t="s">
        <v>14</v>
      </c>
      <c r="F359">
        <v>24</v>
      </c>
      <c r="G359">
        <v>859</v>
      </c>
      <c r="H359">
        <v>1473</v>
      </c>
      <c r="I359">
        <v>20616</v>
      </c>
      <c r="J359">
        <v>35352</v>
      </c>
      <c r="K359">
        <v>14736</v>
      </c>
    </row>
    <row r="360" spans="1:11" x14ac:dyDescent="0.3">
      <c r="A360" s="10">
        <v>45491</v>
      </c>
      <c r="B360" t="s">
        <v>27</v>
      </c>
      <c r="C360" t="s">
        <v>40</v>
      </c>
      <c r="D360" t="s">
        <v>26</v>
      </c>
      <c r="E360" t="s">
        <v>14</v>
      </c>
      <c r="F360">
        <v>25</v>
      </c>
      <c r="G360">
        <v>861</v>
      </c>
      <c r="H360">
        <v>843</v>
      </c>
      <c r="I360">
        <v>21525</v>
      </c>
      <c r="J360">
        <v>21075</v>
      </c>
      <c r="K360">
        <v>-450</v>
      </c>
    </row>
    <row r="361" spans="1:11" x14ac:dyDescent="0.3">
      <c r="A361" s="10">
        <v>45492</v>
      </c>
      <c r="B361" t="s">
        <v>27</v>
      </c>
      <c r="C361" t="s">
        <v>40</v>
      </c>
      <c r="D361" t="s">
        <v>43</v>
      </c>
      <c r="E361" t="s">
        <v>14</v>
      </c>
      <c r="F361">
        <v>22</v>
      </c>
      <c r="G361">
        <v>629</v>
      </c>
      <c r="H361">
        <v>1263</v>
      </c>
      <c r="I361">
        <v>13838</v>
      </c>
      <c r="J361">
        <v>27786</v>
      </c>
      <c r="K361">
        <v>13948</v>
      </c>
    </row>
    <row r="362" spans="1:11" x14ac:dyDescent="0.3">
      <c r="A362" s="10">
        <v>45493</v>
      </c>
      <c r="B362" t="s">
        <v>27</v>
      </c>
      <c r="C362" t="s">
        <v>40</v>
      </c>
      <c r="D362" t="s">
        <v>44</v>
      </c>
      <c r="E362" t="s">
        <v>14</v>
      </c>
      <c r="F362">
        <v>22</v>
      </c>
      <c r="G362">
        <v>779</v>
      </c>
      <c r="H362">
        <v>1301</v>
      </c>
      <c r="I362">
        <v>17138</v>
      </c>
      <c r="J362">
        <v>28622</v>
      </c>
      <c r="K362">
        <v>11484</v>
      </c>
    </row>
    <row r="363" spans="1:11" x14ac:dyDescent="0.3">
      <c r="A363" s="10">
        <v>45494</v>
      </c>
      <c r="B363" t="s">
        <v>27</v>
      </c>
      <c r="C363" t="s">
        <v>40</v>
      </c>
      <c r="D363" t="s">
        <v>13</v>
      </c>
      <c r="E363" t="s">
        <v>14</v>
      </c>
      <c r="F363">
        <v>23</v>
      </c>
      <c r="G363">
        <v>730</v>
      </c>
      <c r="H363">
        <v>1189</v>
      </c>
      <c r="I363">
        <v>16790</v>
      </c>
      <c r="J363">
        <v>27347</v>
      </c>
      <c r="K363">
        <v>10557</v>
      </c>
    </row>
    <row r="364" spans="1:11" x14ac:dyDescent="0.3">
      <c r="A364" s="10">
        <v>45517</v>
      </c>
      <c r="B364" t="s">
        <v>27</v>
      </c>
      <c r="C364" t="s">
        <v>40</v>
      </c>
      <c r="D364" t="s">
        <v>26</v>
      </c>
      <c r="E364" t="s">
        <v>19</v>
      </c>
      <c r="F364">
        <v>26</v>
      </c>
      <c r="G364">
        <v>847</v>
      </c>
      <c r="H364">
        <v>1116</v>
      </c>
      <c r="I364">
        <v>22022</v>
      </c>
      <c r="J364">
        <v>29016</v>
      </c>
      <c r="K364">
        <v>6994</v>
      </c>
    </row>
    <row r="365" spans="1:11" x14ac:dyDescent="0.3">
      <c r="A365" s="10">
        <v>45518</v>
      </c>
      <c r="B365" t="s">
        <v>27</v>
      </c>
      <c r="C365" t="s">
        <v>40</v>
      </c>
      <c r="D365" t="s">
        <v>29</v>
      </c>
      <c r="E365" t="s">
        <v>19</v>
      </c>
      <c r="F365">
        <v>24</v>
      </c>
      <c r="G365">
        <v>942</v>
      </c>
      <c r="H365">
        <v>1313</v>
      </c>
      <c r="I365">
        <v>22608</v>
      </c>
      <c r="J365">
        <v>31512</v>
      </c>
      <c r="K365">
        <v>8904</v>
      </c>
    </row>
    <row r="366" spans="1:11" x14ac:dyDescent="0.3">
      <c r="A366" s="10">
        <v>45519</v>
      </c>
      <c r="B366" t="s">
        <v>27</v>
      </c>
      <c r="C366" t="s">
        <v>40</v>
      </c>
      <c r="D366" t="s">
        <v>18</v>
      </c>
      <c r="E366" t="s">
        <v>14</v>
      </c>
      <c r="F366">
        <v>20</v>
      </c>
      <c r="G366">
        <v>751</v>
      </c>
      <c r="H366">
        <v>861</v>
      </c>
      <c r="I366">
        <v>15020</v>
      </c>
      <c r="J366">
        <v>17220</v>
      </c>
      <c r="K366">
        <v>2200</v>
      </c>
    </row>
    <row r="367" spans="1:11" x14ac:dyDescent="0.3">
      <c r="A367" s="10">
        <v>45521</v>
      </c>
      <c r="B367" t="s">
        <v>27</v>
      </c>
      <c r="C367" t="s">
        <v>40</v>
      </c>
      <c r="D367" t="s">
        <v>31</v>
      </c>
      <c r="E367" t="s">
        <v>19</v>
      </c>
      <c r="F367">
        <v>28</v>
      </c>
      <c r="G367">
        <v>855</v>
      </c>
      <c r="H367">
        <v>930</v>
      </c>
      <c r="I367">
        <v>23940</v>
      </c>
      <c r="J367">
        <v>26040</v>
      </c>
      <c r="K367">
        <v>2100</v>
      </c>
    </row>
    <row r="368" spans="1:11" x14ac:dyDescent="0.3">
      <c r="A368" s="10">
        <v>45522</v>
      </c>
      <c r="B368" t="s">
        <v>27</v>
      </c>
      <c r="C368" t="s">
        <v>40</v>
      </c>
      <c r="D368" t="s">
        <v>23</v>
      </c>
      <c r="E368" t="s">
        <v>19</v>
      </c>
      <c r="F368">
        <v>22</v>
      </c>
      <c r="G368">
        <v>806</v>
      </c>
      <c r="H368">
        <v>1391</v>
      </c>
      <c r="I368">
        <v>17732</v>
      </c>
      <c r="J368">
        <v>30602</v>
      </c>
      <c r="K368">
        <v>12870</v>
      </c>
    </row>
    <row r="369" spans="1:11" x14ac:dyDescent="0.3">
      <c r="A369" s="10">
        <v>45523</v>
      </c>
      <c r="B369" t="s">
        <v>27</v>
      </c>
      <c r="C369" t="s">
        <v>40</v>
      </c>
      <c r="D369" t="s">
        <v>25</v>
      </c>
      <c r="E369" t="s">
        <v>19</v>
      </c>
      <c r="F369">
        <v>30</v>
      </c>
      <c r="G369">
        <v>624</v>
      </c>
      <c r="H369">
        <v>999</v>
      </c>
      <c r="I369">
        <v>18720</v>
      </c>
      <c r="J369">
        <v>29970</v>
      </c>
      <c r="K369">
        <v>11250</v>
      </c>
    </row>
    <row r="370" spans="1:11" x14ac:dyDescent="0.3">
      <c r="A370" s="10">
        <v>45524</v>
      </c>
      <c r="B370" t="s">
        <v>27</v>
      </c>
      <c r="C370" t="s">
        <v>40</v>
      </c>
      <c r="D370" t="s">
        <v>25</v>
      </c>
      <c r="E370" t="s">
        <v>14</v>
      </c>
      <c r="F370">
        <v>25</v>
      </c>
      <c r="G370">
        <v>533</v>
      </c>
      <c r="H370">
        <v>860</v>
      </c>
      <c r="I370">
        <v>13325</v>
      </c>
      <c r="J370">
        <v>21500</v>
      </c>
      <c r="K370">
        <v>8175</v>
      </c>
    </row>
    <row r="371" spans="1:11" x14ac:dyDescent="0.3">
      <c r="A371" s="10">
        <v>45525</v>
      </c>
      <c r="B371" t="s">
        <v>27</v>
      </c>
      <c r="C371" t="s">
        <v>40</v>
      </c>
      <c r="D371" t="s">
        <v>34</v>
      </c>
      <c r="E371" t="s">
        <v>14</v>
      </c>
      <c r="F371">
        <v>20</v>
      </c>
      <c r="G371">
        <v>681</v>
      </c>
      <c r="H371">
        <v>823</v>
      </c>
      <c r="I371">
        <v>13620</v>
      </c>
      <c r="J371">
        <v>16460</v>
      </c>
      <c r="K371">
        <v>2840</v>
      </c>
    </row>
    <row r="372" spans="1:11" x14ac:dyDescent="0.3">
      <c r="A372" s="10">
        <v>45527</v>
      </c>
      <c r="B372" t="s">
        <v>27</v>
      </c>
      <c r="C372" t="s">
        <v>40</v>
      </c>
      <c r="D372" t="s">
        <v>32</v>
      </c>
      <c r="E372" t="s">
        <v>14</v>
      </c>
      <c r="F372">
        <v>23</v>
      </c>
      <c r="G372">
        <v>577</v>
      </c>
      <c r="H372">
        <v>1125</v>
      </c>
      <c r="I372">
        <v>13271</v>
      </c>
      <c r="J372">
        <v>25875</v>
      </c>
      <c r="K372">
        <v>12604</v>
      </c>
    </row>
    <row r="373" spans="1:11" x14ac:dyDescent="0.3">
      <c r="A373" s="10">
        <v>45589</v>
      </c>
      <c r="B373" t="s">
        <v>27</v>
      </c>
      <c r="C373" t="s">
        <v>42</v>
      </c>
      <c r="D373" t="s">
        <v>32</v>
      </c>
      <c r="E373" t="s">
        <v>14</v>
      </c>
      <c r="F373">
        <v>28</v>
      </c>
      <c r="G373">
        <v>537</v>
      </c>
      <c r="H373">
        <v>828</v>
      </c>
      <c r="I373">
        <v>15036</v>
      </c>
      <c r="J373">
        <v>23184</v>
      </c>
      <c r="K373">
        <v>8148</v>
      </c>
    </row>
    <row r="374" spans="1:11" x14ac:dyDescent="0.3">
      <c r="A374" s="10">
        <v>45591</v>
      </c>
      <c r="B374" t="s">
        <v>27</v>
      </c>
      <c r="C374" t="s">
        <v>42</v>
      </c>
      <c r="D374" t="s">
        <v>20</v>
      </c>
      <c r="E374" t="s">
        <v>19</v>
      </c>
      <c r="F374">
        <v>23</v>
      </c>
      <c r="G374">
        <v>746</v>
      </c>
      <c r="H374">
        <v>1410</v>
      </c>
      <c r="I374">
        <v>17158</v>
      </c>
      <c r="J374">
        <v>32430</v>
      </c>
      <c r="K374">
        <v>15272</v>
      </c>
    </row>
    <row r="375" spans="1:11" x14ac:dyDescent="0.3">
      <c r="A375" s="10">
        <v>45596</v>
      </c>
      <c r="B375" t="s">
        <v>27</v>
      </c>
      <c r="C375" t="s">
        <v>28</v>
      </c>
      <c r="D375" t="s">
        <v>13</v>
      </c>
      <c r="E375" t="s">
        <v>19</v>
      </c>
      <c r="F375">
        <v>29</v>
      </c>
      <c r="G375">
        <v>895</v>
      </c>
      <c r="H375">
        <v>882</v>
      </c>
      <c r="I375">
        <v>25955</v>
      </c>
      <c r="J375">
        <v>25578</v>
      </c>
      <c r="K375">
        <v>-377</v>
      </c>
    </row>
    <row r="376" spans="1:11" x14ac:dyDescent="0.3">
      <c r="A376" s="10">
        <v>45597</v>
      </c>
      <c r="B376" t="s">
        <v>27</v>
      </c>
      <c r="C376" t="s">
        <v>28</v>
      </c>
      <c r="D376" t="s">
        <v>15</v>
      </c>
      <c r="E376" t="s">
        <v>19</v>
      </c>
      <c r="F376">
        <v>26</v>
      </c>
      <c r="G376">
        <v>728</v>
      </c>
      <c r="H376">
        <v>1466</v>
      </c>
      <c r="I376">
        <v>18928</v>
      </c>
      <c r="J376">
        <v>38116</v>
      </c>
      <c r="K376">
        <v>19188</v>
      </c>
    </row>
    <row r="377" spans="1:11" x14ac:dyDescent="0.3">
      <c r="A377" s="10">
        <v>45598</v>
      </c>
      <c r="B377" t="s">
        <v>27</v>
      </c>
      <c r="C377" t="s">
        <v>28</v>
      </c>
      <c r="D377" t="s">
        <v>16</v>
      </c>
      <c r="E377" t="s">
        <v>19</v>
      </c>
      <c r="F377">
        <v>22</v>
      </c>
      <c r="G377">
        <v>586</v>
      </c>
      <c r="H377">
        <v>1206</v>
      </c>
      <c r="I377">
        <v>12892</v>
      </c>
      <c r="J377">
        <v>26532</v>
      </c>
      <c r="K377">
        <v>13640</v>
      </c>
    </row>
    <row r="378" spans="1:11" x14ac:dyDescent="0.3">
      <c r="A378" s="10">
        <v>45599</v>
      </c>
      <c r="B378" t="s">
        <v>27</v>
      </c>
      <c r="C378" t="s">
        <v>28</v>
      </c>
      <c r="D378" t="s">
        <v>17</v>
      </c>
      <c r="E378" t="s">
        <v>14</v>
      </c>
      <c r="F378">
        <v>29</v>
      </c>
      <c r="G378">
        <v>724</v>
      </c>
      <c r="H378">
        <v>858</v>
      </c>
      <c r="I378">
        <v>20996</v>
      </c>
      <c r="J378">
        <v>24882</v>
      </c>
      <c r="K378">
        <v>3886</v>
      </c>
    </row>
    <row r="379" spans="1:11" x14ac:dyDescent="0.3">
      <c r="A379" s="10">
        <v>45600</v>
      </c>
      <c r="B379" t="s">
        <v>27</v>
      </c>
      <c r="C379" t="s">
        <v>28</v>
      </c>
      <c r="D379" t="s">
        <v>17</v>
      </c>
      <c r="E379" t="s">
        <v>14</v>
      </c>
      <c r="F379">
        <v>20</v>
      </c>
      <c r="G379">
        <v>941</v>
      </c>
      <c r="H379">
        <v>1181</v>
      </c>
      <c r="I379">
        <v>18820</v>
      </c>
      <c r="J379">
        <v>23620</v>
      </c>
      <c r="K379">
        <v>4800</v>
      </c>
    </row>
    <row r="380" spans="1:11" x14ac:dyDescent="0.3">
      <c r="A380" s="10">
        <v>45601</v>
      </c>
      <c r="B380" t="s">
        <v>27</v>
      </c>
      <c r="C380" t="s">
        <v>28</v>
      </c>
      <c r="D380" t="s">
        <v>18</v>
      </c>
      <c r="E380" t="s">
        <v>14</v>
      </c>
      <c r="F380">
        <v>22</v>
      </c>
      <c r="G380">
        <v>618</v>
      </c>
      <c r="H380">
        <v>1373</v>
      </c>
      <c r="I380">
        <v>13596</v>
      </c>
      <c r="J380">
        <v>30206</v>
      </c>
      <c r="K380">
        <v>16610</v>
      </c>
    </row>
    <row r="381" spans="1:11" x14ac:dyDescent="0.3">
      <c r="A381" s="10">
        <v>45609</v>
      </c>
      <c r="B381" t="s">
        <v>27</v>
      </c>
      <c r="C381" t="s">
        <v>33</v>
      </c>
      <c r="D381" t="s">
        <v>36</v>
      </c>
      <c r="E381" t="s">
        <v>19</v>
      </c>
      <c r="F381">
        <v>28</v>
      </c>
      <c r="G381">
        <v>896</v>
      </c>
      <c r="H381">
        <v>1363</v>
      </c>
      <c r="I381">
        <v>25088</v>
      </c>
      <c r="J381">
        <v>38164</v>
      </c>
      <c r="K381">
        <v>13076</v>
      </c>
    </row>
    <row r="382" spans="1:11" x14ac:dyDescent="0.3">
      <c r="A382" s="10">
        <v>45611</v>
      </c>
      <c r="B382" t="s">
        <v>27</v>
      </c>
      <c r="C382" t="s">
        <v>33</v>
      </c>
      <c r="D382" t="s">
        <v>23</v>
      </c>
      <c r="E382" t="s">
        <v>19</v>
      </c>
      <c r="F382">
        <v>28</v>
      </c>
      <c r="G382">
        <v>986</v>
      </c>
      <c r="H382">
        <v>866</v>
      </c>
      <c r="I382">
        <v>27608</v>
      </c>
      <c r="J382">
        <v>24248</v>
      </c>
      <c r="K382">
        <v>-3360</v>
      </c>
    </row>
    <row r="383" spans="1:11" x14ac:dyDescent="0.3">
      <c r="A383" s="10">
        <v>45612</v>
      </c>
      <c r="B383" t="s">
        <v>27</v>
      </c>
      <c r="C383" t="s">
        <v>33</v>
      </c>
      <c r="D383" t="s">
        <v>26</v>
      </c>
      <c r="E383" t="s">
        <v>19</v>
      </c>
      <c r="F383">
        <v>27</v>
      </c>
      <c r="G383">
        <v>951</v>
      </c>
      <c r="H383">
        <v>1255</v>
      </c>
      <c r="I383">
        <v>25677</v>
      </c>
      <c r="J383">
        <v>33885</v>
      </c>
      <c r="K383">
        <v>8208</v>
      </c>
    </row>
    <row r="384" spans="1:11" x14ac:dyDescent="0.3">
      <c r="A384" s="10">
        <v>45432</v>
      </c>
      <c r="B384" t="s">
        <v>21</v>
      </c>
      <c r="C384" t="s">
        <v>38</v>
      </c>
      <c r="D384" t="s">
        <v>23</v>
      </c>
      <c r="E384" t="s">
        <v>19</v>
      </c>
      <c r="F384">
        <v>63</v>
      </c>
      <c r="G384">
        <v>929</v>
      </c>
      <c r="H384">
        <v>1320</v>
      </c>
      <c r="I384">
        <v>58527</v>
      </c>
      <c r="J384">
        <v>83160</v>
      </c>
      <c r="K384">
        <v>24633</v>
      </c>
    </row>
    <row r="385" spans="1:11" x14ac:dyDescent="0.3">
      <c r="A385" s="10">
        <v>45613</v>
      </c>
      <c r="B385" t="s">
        <v>27</v>
      </c>
      <c r="C385" t="s">
        <v>33</v>
      </c>
      <c r="D385" t="s">
        <v>32</v>
      </c>
      <c r="E385" t="s">
        <v>19</v>
      </c>
      <c r="F385">
        <v>22</v>
      </c>
      <c r="G385">
        <v>783</v>
      </c>
      <c r="H385">
        <v>886</v>
      </c>
      <c r="I385">
        <v>17226</v>
      </c>
      <c r="J385">
        <v>19492</v>
      </c>
      <c r="K385">
        <v>2266</v>
      </c>
    </row>
    <row r="386" spans="1:11" x14ac:dyDescent="0.3">
      <c r="A386" s="10">
        <v>45615</v>
      </c>
      <c r="B386" t="s">
        <v>27</v>
      </c>
      <c r="C386" t="s">
        <v>33</v>
      </c>
      <c r="D386" t="s">
        <v>25</v>
      </c>
      <c r="E386" t="s">
        <v>14</v>
      </c>
      <c r="F386">
        <v>21</v>
      </c>
      <c r="G386">
        <v>547</v>
      </c>
      <c r="H386">
        <v>784</v>
      </c>
      <c r="I386">
        <v>11487</v>
      </c>
      <c r="J386">
        <v>16464</v>
      </c>
      <c r="K386">
        <v>4977</v>
      </c>
    </row>
    <row r="387" spans="1:11" x14ac:dyDescent="0.3">
      <c r="A387" s="10">
        <v>45617</v>
      </c>
      <c r="B387" t="s">
        <v>27</v>
      </c>
      <c r="C387" t="s">
        <v>33</v>
      </c>
      <c r="D387" t="s">
        <v>26</v>
      </c>
      <c r="E387" t="s">
        <v>19</v>
      </c>
      <c r="F387">
        <v>20</v>
      </c>
      <c r="G387">
        <v>737</v>
      </c>
      <c r="H387">
        <v>932</v>
      </c>
      <c r="I387">
        <v>14740</v>
      </c>
      <c r="J387">
        <v>18640</v>
      </c>
      <c r="K387">
        <v>3900</v>
      </c>
    </row>
    <row r="388" spans="1:11" x14ac:dyDescent="0.3">
      <c r="A388" s="10">
        <v>45618</v>
      </c>
      <c r="B388" t="s">
        <v>27</v>
      </c>
      <c r="C388" t="s">
        <v>33</v>
      </c>
      <c r="D388" t="s">
        <v>18</v>
      </c>
      <c r="E388" t="s">
        <v>19</v>
      </c>
      <c r="F388">
        <v>25</v>
      </c>
      <c r="G388">
        <v>924</v>
      </c>
      <c r="H388">
        <v>1062</v>
      </c>
      <c r="I388">
        <v>23100</v>
      </c>
      <c r="J388">
        <v>26550</v>
      </c>
      <c r="K388">
        <v>3450</v>
      </c>
    </row>
    <row r="389" spans="1:11" x14ac:dyDescent="0.3">
      <c r="A389" s="10">
        <v>45619</v>
      </c>
      <c r="B389" t="s">
        <v>27</v>
      </c>
      <c r="C389" t="s">
        <v>33</v>
      </c>
      <c r="D389" t="s">
        <v>26</v>
      </c>
      <c r="E389" t="s">
        <v>19</v>
      </c>
      <c r="F389">
        <v>28</v>
      </c>
      <c r="G389">
        <v>665</v>
      </c>
      <c r="H389">
        <v>1467</v>
      </c>
      <c r="I389">
        <v>18620</v>
      </c>
      <c r="J389">
        <v>41076</v>
      </c>
      <c r="K389">
        <v>22456</v>
      </c>
    </row>
    <row r="390" spans="1:11" x14ac:dyDescent="0.3">
      <c r="A390" s="10">
        <v>45620</v>
      </c>
      <c r="B390" t="s">
        <v>27</v>
      </c>
      <c r="C390" t="s">
        <v>33</v>
      </c>
      <c r="D390" t="s">
        <v>29</v>
      </c>
      <c r="E390" t="s">
        <v>19</v>
      </c>
      <c r="F390">
        <v>24</v>
      </c>
      <c r="G390">
        <v>839</v>
      </c>
      <c r="H390">
        <v>1092</v>
      </c>
      <c r="I390">
        <v>20136</v>
      </c>
      <c r="J390">
        <v>26208</v>
      </c>
      <c r="K390">
        <v>6072</v>
      </c>
    </row>
    <row r="391" spans="1:11" x14ac:dyDescent="0.3">
      <c r="A391" s="10">
        <v>45621</v>
      </c>
      <c r="B391" t="s">
        <v>27</v>
      </c>
      <c r="C391" t="s">
        <v>33</v>
      </c>
      <c r="D391" t="s">
        <v>18</v>
      </c>
      <c r="E391" t="s">
        <v>19</v>
      </c>
      <c r="F391">
        <v>30</v>
      </c>
      <c r="G391">
        <v>790</v>
      </c>
      <c r="H391">
        <v>1245</v>
      </c>
      <c r="I391">
        <v>23700</v>
      </c>
      <c r="J391">
        <v>37350</v>
      </c>
      <c r="K391">
        <v>13650</v>
      </c>
    </row>
    <row r="392" spans="1:11" x14ac:dyDescent="0.3">
      <c r="A392" s="10">
        <v>45622</v>
      </c>
      <c r="B392" t="s">
        <v>27</v>
      </c>
      <c r="C392" t="s">
        <v>33</v>
      </c>
      <c r="D392" t="s">
        <v>30</v>
      </c>
      <c r="E392" t="s">
        <v>14</v>
      </c>
      <c r="F392">
        <v>30</v>
      </c>
      <c r="G392">
        <v>651</v>
      </c>
      <c r="H392">
        <v>1277</v>
      </c>
      <c r="I392">
        <v>19530</v>
      </c>
      <c r="J392">
        <v>38310</v>
      </c>
      <c r="K392">
        <v>18780</v>
      </c>
    </row>
    <row r="393" spans="1:11" x14ac:dyDescent="0.3">
      <c r="A393" s="10">
        <v>45441</v>
      </c>
      <c r="B393" t="s">
        <v>21</v>
      </c>
      <c r="C393" t="s">
        <v>38</v>
      </c>
      <c r="D393" t="s">
        <v>31</v>
      </c>
      <c r="E393" t="s">
        <v>19</v>
      </c>
      <c r="F393">
        <v>67</v>
      </c>
      <c r="G393">
        <v>796</v>
      </c>
      <c r="H393">
        <v>1347</v>
      </c>
      <c r="I393">
        <v>53332</v>
      </c>
      <c r="J393">
        <v>90249</v>
      </c>
      <c r="K393">
        <v>36917</v>
      </c>
    </row>
    <row r="394" spans="1:11" x14ac:dyDescent="0.3">
      <c r="A394" s="10">
        <v>45623</v>
      </c>
      <c r="B394" t="s">
        <v>27</v>
      </c>
      <c r="C394" t="s">
        <v>33</v>
      </c>
      <c r="D394" t="s">
        <v>31</v>
      </c>
      <c r="E394" t="s">
        <v>14</v>
      </c>
      <c r="F394">
        <v>23</v>
      </c>
      <c r="G394">
        <v>531</v>
      </c>
      <c r="H394">
        <v>1072</v>
      </c>
      <c r="I394">
        <v>12213</v>
      </c>
      <c r="J394">
        <v>24656</v>
      </c>
      <c r="K394">
        <v>12443</v>
      </c>
    </row>
    <row r="395" spans="1:11" x14ac:dyDescent="0.3">
      <c r="A395" s="10">
        <v>45624</v>
      </c>
      <c r="B395" t="s">
        <v>27</v>
      </c>
      <c r="C395" t="s">
        <v>40</v>
      </c>
      <c r="D395" t="s">
        <v>23</v>
      </c>
      <c r="E395" t="s">
        <v>14</v>
      </c>
      <c r="F395">
        <v>30</v>
      </c>
      <c r="G395">
        <v>591</v>
      </c>
      <c r="H395">
        <v>949</v>
      </c>
      <c r="I395">
        <v>17730</v>
      </c>
      <c r="J395">
        <v>28470</v>
      </c>
      <c r="K395">
        <v>10740</v>
      </c>
    </row>
    <row r="396" spans="1:11" x14ac:dyDescent="0.3">
      <c r="A396" s="10">
        <v>45625</v>
      </c>
      <c r="B396" t="s">
        <v>27</v>
      </c>
      <c r="C396" t="s">
        <v>40</v>
      </c>
      <c r="D396" t="s">
        <v>25</v>
      </c>
      <c r="E396" t="s">
        <v>14</v>
      </c>
      <c r="F396">
        <v>29</v>
      </c>
      <c r="G396">
        <v>621</v>
      </c>
      <c r="H396">
        <v>1485</v>
      </c>
      <c r="I396">
        <v>18009</v>
      </c>
      <c r="J396">
        <v>43065</v>
      </c>
      <c r="K396">
        <v>25056</v>
      </c>
    </row>
    <row r="397" spans="1:11" x14ac:dyDescent="0.3">
      <c r="A397" s="10">
        <v>45627</v>
      </c>
      <c r="B397" t="s">
        <v>27</v>
      </c>
      <c r="C397" t="s">
        <v>40</v>
      </c>
      <c r="D397" t="s">
        <v>34</v>
      </c>
      <c r="E397" t="s">
        <v>14</v>
      </c>
      <c r="F397">
        <v>30</v>
      </c>
      <c r="G397">
        <v>857</v>
      </c>
      <c r="H397">
        <v>1455</v>
      </c>
      <c r="I397">
        <v>25710</v>
      </c>
      <c r="J397">
        <v>43650</v>
      </c>
      <c r="K397">
        <v>17940</v>
      </c>
    </row>
    <row r="398" spans="1:11" x14ac:dyDescent="0.3">
      <c r="A398" s="10">
        <v>45628</v>
      </c>
      <c r="B398" t="s">
        <v>27</v>
      </c>
      <c r="C398" t="s">
        <v>40</v>
      </c>
      <c r="D398" t="s">
        <v>34</v>
      </c>
      <c r="E398" t="s">
        <v>14</v>
      </c>
      <c r="F398">
        <v>20</v>
      </c>
      <c r="G398">
        <v>897</v>
      </c>
      <c r="H398">
        <v>1024</v>
      </c>
      <c r="I398">
        <v>17940</v>
      </c>
      <c r="J398">
        <v>20480</v>
      </c>
      <c r="K398">
        <v>2540</v>
      </c>
    </row>
    <row r="399" spans="1:11" x14ac:dyDescent="0.3">
      <c r="A399" s="10">
        <v>45630</v>
      </c>
      <c r="B399" t="s">
        <v>27</v>
      </c>
      <c r="C399" t="s">
        <v>40</v>
      </c>
      <c r="D399" t="s">
        <v>25</v>
      </c>
      <c r="E399" t="s">
        <v>19</v>
      </c>
      <c r="F399">
        <v>22</v>
      </c>
      <c r="G399">
        <v>781</v>
      </c>
      <c r="H399">
        <v>1423</v>
      </c>
      <c r="I399">
        <v>17182</v>
      </c>
      <c r="J399">
        <v>31306</v>
      </c>
      <c r="K399">
        <v>14124</v>
      </c>
    </row>
    <row r="400" spans="1:11" x14ac:dyDescent="0.3">
      <c r="A400" s="10">
        <v>45631</v>
      </c>
      <c r="B400" t="s">
        <v>27</v>
      </c>
      <c r="C400" t="s">
        <v>40</v>
      </c>
      <c r="D400" t="s">
        <v>20</v>
      </c>
      <c r="E400" t="s">
        <v>19</v>
      </c>
      <c r="F400">
        <v>20</v>
      </c>
      <c r="G400">
        <v>854</v>
      </c>
      <c r="H400">
        <v>956</v>
      </c>
      <c r="I400">
        <v>17080</v>
      </c>
      <c r="J400">
        <v>19120</v>
      </c>
      <c r="K400">
        <v>2040</v>
      </c>
    </row>
    <row r="401" spans="1:11" x14ac:dyDescent="0.3">
      <c r="A401" s="10">
        <v>45632</v>
      </c>
      <c r="B401" t="s">
        <v>27</v>
      </c>
      <c r="C401" t="s">
        <v>40</v>
      </c>
      <c r="D401" t="s">
        <v>39</v>
      </c>
      <c r="E401" t="s">
        <v>19</v>
      </c>
      <c r="F401">
        <v>26</v>
      </c>
      <c r="G401">
        <v>909</v>
      </c>
      <c r="H401">
        <v>1206</v>
      </c>
      <c r="I401">
        <v>23634</v>
      </c>
      <c r="J401">
        <v>31356</v>
      </c>
      <c r="K401">
        <v>7722</v>
      </c>
    </row>
    <row r="402" spans="1:11" x14ac:dyDescent="0.3">
      <c r="A402" s="10">
        <v>45633</v>
      </c>
      <c r="B402" t="s">
        <v>27</v>
      </c>
      <c r="C402" t="s">
        <v>40</v>
      </c>
      <c r="D402" t="s">
        <v>26</v>
      </c>
      <c r="E402" t="s">
        <v>14</v>
      </c>
      <c r="F402">
        <v>20</v>
      </c>
      <c r="G402">
        <v>976</v>
      </c>
      <c r="H402">
        <v>905</v>
      </c>
      <c r="I402">
        <v>19520</v>
      </c>
      <c r="J402">
        <v>18100</v>
      </c>
      <c r="K402">
        <v>-1420</v>
      </c>
    </row>
    <row r="403" spans="1:11" x14ac:dyDescent="0.3">
      <c r="A403" s="10">
        <v>45635</v>
      </c>
      <c r="B403" t="s">
        <v>27</v>
      </c>
      <c r="C403" t="s">
        <v>40</v>
      </c>
      <c r="D403" t="s">
        <v>44</v>
      </c>
      <c r="E403" t="s">
        <v>19</v>
      </c>
      <c r="F403">
        <v>24</v>
      </c>
      <c r="G403">
        <v>787</v>
      </c>
      <c r="H403">
        <v>1122</v>
      </c>
      <c r="I403">
        <v>18888</v>
      </c>
      <c r="J403">
        <v>26928</v>
      </c>
      <c r="K403">
        <v>8040</v>
      </c>
    </row>
    <row r="404" spans="1:11" x14ac:dyDescent="0.3">
      <c r="A404" s="10">
        <v>45689</v>
      </c>
      <c r="B404" t="s">
        <v>27</v>
      </c>
      <c r="C404" t="s">
        <v>40</v>
      </c>
      <c r="D404" t="s">
        <v>26</v>
      </c>
      <c r="E404" t="s">
        <v>14</v>
      </c>
      <c r="F404">
        <v>23</v>
      </c>
      <c r="G404">
        <v>755</v>
      </c>
      <c r="H404">
        <v>806</v>
      </c>
      <c r="I404">
        <v>17365</v>
      </c>
      <c r="J404">
        <v>18538</v>
      </c>
      <c r="K404">
        <v>1173</v>
      </c>
    </row>
    <row r="405" spans="1:11" x14ac:dyDescent="0.3">
      <c r="A405" s="10">
        <v>45690</v>
      </c>
      <c r="B405" t="s">
        <v>27</v>
      </c>
      <c r="C405" t="s">
        <v>40</v>
      </c>
      <c r="D405" t="s">
        <v>43</v>
      </c>
      <c r="E405" t="s">
        <v>14</v>
      </c>
      <c r="F405">
        <v>26</v>
      </c>
      <c r="G405">
        <v>573</v>
      </c>
      <c r="H405">
        <v>1309</v>
      </c>
      <c r="I405">
        <v>14898</v>
      </c>
      <c r="J405">
        <v>34034</v>
      </c>
      <c r="K405">
        <v>19136</v>
      </c>
    </row>
    <row r="406" spans="1:11" x14ac:dyDescent="0.3">
      <c r="A406" s="10">
        <v>45691</v>
      </c>
      <c r="B406" t="s">
        <v>27</v>
      </c>
      <c r="C406" t="s">
        <v>40</v>
      </c>
      <c r="D406" t="s">
        <v>44</v>
      </c>
      <c r="E406" t="s">
        <v>14</v>
      </c>
      <c r="F406">
        <v>30</v>
      </c>
      <c r="G406">
        <v>946</v>
      </c>
      <c r="H406">
        <v>1089</v>
      </c>
      <c r="I406">
        <v>28380</v>
      </c>
      <c r="J406">
        <v>32670</v>
      </c>
      <c r="K406">
        <v>4290</v>
      </c>
    </row>
    <row r="407" spans="1:11" x14ac:dyDescent="0.3">
      <c r="A407" s="10">
        <v>45692</v>
      </c>
      <c r="B407" t="s">
        <v>27</v>
      </c>
      <c r="C407" t="s">
        <v>40</v>
      </c>
      <c r="D407" t="s">
        <v>13</v>
      </c>
      <c r="E407" t="s">
        <v>19</v>
      </c>
      <c r="F407">
        <v>22</v>
      </c>
      <c r="G407">
        <v>679</v>
      </c>
      <c r="H407">
        <v>1463</v>
      </c>
      <c r="I407">
        <v>14938</v>
      </c>
      <c r="J407">
        <v>32186</v>
      </c>
      <c r="K407">
        <v>17248</v>
      </c>
    </row>
    <row r="408" spans="1:11" x14ac:dyDescent="0.3">
      <c r="A408" s="10">
        <v>45693</v>
      </c>
      <c r="B408" t="s">
        <v>27</v>
      </c>
      <c r="C408" t="s">
        <v>40</v>
      </c>
      <c r="D408" t="s">
        <v>15</v>
      </c>
      <c r="E408" t="s">
        <v>19</v>
      </c>
      <c r="F408">
        <v>25</v>
      </c>
      <c r="G408">
        <v>975</v>
      </c>
      <c r="H408">
        <v>935</v>
      </c>
      <c r="I408">
        <v>24375</v>
      </c>
      <c r="J408">
        <v>23375</v>
      </c>
      <c r="K408">
        <v>-1000</v>
      </c>
    </row>
    <row r="409" spans="1:11" x14ac:dyDescent="0.3">
      <c r="A409" s="10">
        <v>45694</v>
      </c>
      <c r="B409" t="s">
        <v>27</v>
      </c>
      <c r="C409" t="s">
        <v>40</v>
      </c>
      <c r="D409" t="s">
        <v>16</v>
      </c>
      <c r="E409" t="s">
        <v>19</v>
      </c>
      <c r="F409">
        <v>24</v>
      </c>
      <c r="G409">
        <v>642</v>
      </c>
      <c r="H409">
        <v>996</v>
      </c>
      <c r="I409">
        <v>15408</v>
      </c>
      <c r="J409">
        <v>23904</v>
      </c>
      <c r="K409">
        <v>8496</v>
      </c>
    </row>
    <row r="410" spans="1:11" x14ac:dyDescent="0.3">
      <c r="A410" s="10">
        <v>45458</v>
      </c>
      <c r="B410" t="s">
        <v>11</v>
      </c>
      <c r="C410" t="s">
        <v>12</v>
      </c>
      <c r="D410" t="s">
        <v>17</v>
      </c>
      <c r="E410" t="s">
        <v>14</v>
      </c>
      <c r="F410">
        <v>14</v>
      </c>
      <c r="G410">
        <v>603</v>
      </c>
      <c r="H410">
        <v>1104</v>
      </c>
      <c r="I410">
        <v>8442</v>
      </c>
      <c r="J410">
        <v>15456</v>
      </c>
      <c r="K410">
        <v>7014</v>
      </c>
    </row>
    <row r="411" spans="1:11" x14ac:dyDescent="0.3">
      <c r="A411" s="10">
        <v>45695</v>
      </c>
      <c r="B411" t="s">
        <v>27</v>
      </c>
      <c r="C411" t="s">
        <v>40</v>
      </c>
      <c r="D411" t="s">
        <v>17</v>
      </c>
      <c r="E411" t="s">
        <v>19</v>
      </c>
      <c r="F411">
        <v>29</v>
      </c>
      <c r="G411">
        <v>598</v>
      </c>
      <c r="H411">
        <v>923</v>
      </c>
      <c r="I411">
        <v>17342</v>
      </c>
      <c r="J411">
        <v>26767</v>
      </c>
      <c r="K411">
        <v>9425</v>
      </c>
    </row>
    <row r="412" spans="1:11" x14ac:dyDescent="0.3">
      <c r="A412" s="10">
        <v>45696</v>
      </c>
      <c r="B412" t="s">
        <v>27</v>
      </c>
      <c r="C412" t="s">
        <v>40</v>
      </c>
      <c r="D412" t="s">
        <v>17</v>
      </c>
      <c r="E412" t="s">
        <v>19</v>
      </c>
      <c r="F412">
        <v>22</v>
      </c>
      <c r="G412">
        <v>719</v>
      </c>
      <c r="H412">
        <v>1079</v>
      </c>
      <c r="I412">
        <v>15818</v>
      </c>
      <c r="J412">
        <v>23738</v>
      </c>
      <c r="K412">
        <v>7920</v>
      </c>
    </row>
    <row r="413" spans="1:11" x14ac:dyDescent="0.3">
      <c r="A413" s="10">
        <v>45697</v>
      </c>
      <c r="B413" t="s">
        <v>27</v>
      </c>
      <c r="C413" t="s">
        <v>40</v>
      </c>
      <c r="D413" t="s">
        <v>18</v>
      </c>
      <c r="E413" t="s">
        <v>14</v>
      </c>
      <c r="F413">
        <v>30</v>
      </c>
      <c r="G413">
        <v>716</v>
      </c>
      <c r="H413">
        <v>956</v>
      </c>
      <c r="I413">
        <v>21480</v>
      </c>
      <c r="J413">
        <v>28680</v>
      </c>
      <c r="K413">
        <v>7200</v>
      </c>
    </row>
    <row r="414" spans="1:11" x14ac:dyDescent="0.3">
      <c r="A414" s="10">
        <v>45699</v>
      </c>
      <c r="B414" t="s">
        <v>27</v>
      </c>
      <c r="C414" t="s">
        <v>40</v>
      </c>
      <c r="D414" t="s">
        <v>23</v>
      </c>
      <c r="E414" t="s">
        <v>14</v>
      </c>
      <c r="F414">
        <v>29</v>
      </c>
      <c r="G414">
        <v>623</v>
      </c>
      <c r="H414">
        <v>919</v>
      </c>
      <c r="I414">
        <v>18067</v>
      </c>
      <c r="J414">
        <v>26651</v>
      </c>
      <c r="K414">
        <v>8584</v>
      </c>
    </row>
    <row r="415" spans="1:11" x14ac:dyDescent="0.3">
      <c r="A415" s="10">
        <v>45383</v>
      </c>
      <c r="B415" t="s">
        <v>27</v>
      </c>
      <c r="C415" t="s">
        <v>28</v>
      </c>
      <c r="D415" t="s">
        <v>35</v>
      </c>
      <c r="E415" t="s">
        <v>19</v>
      </c>
      <c r="F415">
        <v>21</v>
      </c>
      <c r="G415">
        <v>553</v>
      </c>
      <c r="H415">
        <v>1459</v>
      </c>
      <c r="I415">
        <v>11613</v>
      </c>
      <c r="J415">
        <v>30639</v>
      </c>
      <c r="K415">
        <v>19026</v>
      </c>
    </row>
    <row r="416" spans="1:11" x14ac:dyDescent="0.3">
      <c r="A416" s="10">
        <v>45464</v>
      </c>
      <c r="B416" t="s">
        <v>21</v>
      </c>
      <c r="C416" t="s">
        <v>38</v>
      </c>
      <c r="D416" t="s">
        <v>26</v>
      </c>
      <c r="E416" t="s">
        <v>14</v>
      </c>
      <c r="F416">
        <v>77</v>
      </c>
      <c r="G416">
        <v>923</v>
      </c>
      <c r="H416">
        <v>1132</v>
      </c>
      <c r="I416">
        <v>71071</v>
      </c>
      <c r="J416">
        <v>87164</v>
      </c>
      <c r="K416">
        <v>16093</v>
      </c>
    </row>
    <row r="417" spans="1:11" x14ac:dyDescent="0.3">
      <c r="A417" s="10">
        <v>45384</v>
      </c>
      <c r="B417" t="s">
        <v>27</v>
      </c>
      <c r="C417" t="s">
        <v>42</v>
      </c>
      <c r="D417" t="s">
        <v>26</v>
      </c>
      <c r="E417" t="s">
        <v>19</v>
      </c>
      <c r="F417">
        <v>30</v>
      </c>
      <c r="G417">
        <v>719</v>
      </c>
      <c r="H417">
        <v>1162</v>
      </c>
      <c r="I417">
        <v>21570</v>
      </c>
      <c r="J417">
        <v>34860</v>
      </c>
      <c r="K417">
        <v>13290</v>
      </c>
    </row>
    <row r="418" spans="1:11" x14ac:dyDescent="0.3">
      <c r="A418" s="10">
        <v>45385</v>
      </c>
      <c r="B418" t="s">
        <v>27</v>
      </c>
      <c r="C418" t="s">
        <v>42</v>
      </c>
      <c r="D418" t="s">
        <v>17</v>
      </c>
      <c r="E418" t="s">
        <v>19</v>
      </c>
      <c r="F418">
        <v>25</v>
      </c>
      <c r="G418">
        <v>980</v>
      </c>
      <c r="H418">
        <v>926</v>
      </c>
      <c r="I418">
        <v>24500</v>
      </c>
      <c r="J418">
        <v>23150</v>
      </c>
      <c r="K418">
        <v>-1350</v>
      </c>
    </row>
    <row r="419" spans="1:11" x14ac:dyDescent="0.3">
      <c r="A419" s="10">
        <v>45386</v>
      </c>
      <c r="B419" t="s">
        <v>27</v>
      </c>
      <c r="C419" t="s">
        <v>42</v>
      </c>
      <c r="D419" t="s">
        <v>34</v>
      </c>
      <c r="E419" t="s">
        <v>19</v>
      </c>
      <c r="F419">
        <v>22</v>
      </c>
      <c r="G419">
        <v>718</v>
      </c>
      <c r="H419">
        <v>1335</v>
      </c>
      <c r="I419">
        <v>15796</v>
      </c>
      <c r="J419">
        <v>29370</v>
      </c>
      <c r="K419">
        <v>13574</v>
      </c>
    </row>
    <row r="420" spans="1:11" x14ac:dyDescent="0.3">
      <c r="A420" s="10">
        <v>45391</v>
      </c>
      <c r="B420" t="s">
        <v>27</v>
      </c>
      <c r="C420" t="s">
        <v>28</v>
      </c>
      <c r="D420" t="s">
        <v>32</v>
      </c>
      <c r="E420" t="s">
        <v>14</v>
      </c>
      <c r="F420">
        <v>30</v>
      </c>
      <c r="G420">
        <v>520</v>
      </c>
      <c r="H420">
        <v>1251</v>
      </c>
      <c r="I420">
        <v>15600</v>
      </c>
      <c r="J420">
        <v>37530</v>
      </c>
      <c r="K420">
        <v>21930</v>
      </c>
    </row>
    <row r="421" spans="1:11" x14ac:dyDescent="0.3">
      <c r="A421" s="10">
        <v>45392</v>
      </c>
      <c r="B421" t="s">
        <v>27</v>
      </c>
      <c r="C421" t="s">
        <v>28</v>
      </c>
      <c r="D421" t="s">
        <v>23</v>
      </c>
      <c r="E421" t="s">
        <v>14</v>
      </c>
      <c r="F421">
        <v>26</v>
      </c>
      <c r="G421">
        <v>808</v>
      </c>
      <c r="H421">
        <v>1135</v>
      </c>
      <c r="I421">
        <v>21008</v>
      </c>
      <c r="J421">
        <v>29510</v>
      </c>
      <c r="K421">
        <v>8502</v>
      </c>
    </row>
    <row r="422" spans="1:11" x14ac:dyDescent="0.3">
      <c r="A422" s="10">
        <v>45393</v>
      </c>
      <c r="B422" t="s">
        <v>27</v>
      </c>
      <c r="C422" t="s">
        <v>28</v>
      </c>
      <c r="D422" t="s">
        <v>25</v>
      </c>
      <c r="E422" t="s">
        <v>14</v>
      </c>
      <c r="F422">
        <v>23</v>
      </c>
      <c r="G422">
        <v>504</v>
      </c>
      <c r="H422">
        <v>1328</v>
      </c>
      <c r="I422">
        <v>11592</v>
      </c>
      <c r="J422">
        <v>30544</v>
      </c>
      <c r="K422">
        <v>18952</v>
      </c>
    </row>
    <row r="423" spans="1:11" x14ac:dyDescent="0.3">
      <c r="A423" s="10">
        <v>45394</v>
      </c>
      <c r="B423" t="s">
        <v>27</v>
      </c>
      <c r="C423" t="s">
        <v>28</v>
      </c>
      <c r="D423" t="s">
        <v>25</v>
      </c>
      <c r="E423" t="s">
        <v>14</v>
      </c>
      <c r="F423">
        <v>28</v>
      </c>
      <c r="G423">
        <v>918</v>
      </c>
      <c r="H423">
        <v>808</v>
      </c>
      <c r="I423">
        <v>25704</v>
      </c>
      <c r="J423">
        <v>22624</v>
      </c>
      <c r="K423">
        <v>-3080</v>
      </c>
    </row>
    <row r="424" spans="1:11" x14ac:dyDescent="0.3">
      <c r="A424" s="10">
        <v>45396</v>
      </c>
      <c r="B424" t="s">
        <v>27</v>
      </c>
      <c r="C424" t="s">
        <v>28</v>
      </c>
      <c r="D424" t="s">
        <v>18</v>
      </c>
      <c r="E424" t="s">
        <v>14</v>
      </c>
      <c r="F424">
        <v>27</v>
      </c>
      <c r="G424">
        <v>966</v>
      </c>
      <c r="H424">
        <v>850</v>
      </c>
      <c r="I424">
        <v>26082</v>
      </c>
      <c r="J424">
        <v>22950</v>
      </c>
      <c r="K424">
        <v>-3132</v>
      </c>
    </row>
    <row r="425" spans="1:11" x14ac:dyDescent="0.3">
      <c r="A425" s="10">
        <v>45404</v>
      </c>
      <c r="B425" t="s">
        <v>27</v>
      </c>
      <c r="C425" t="s">
        <v>33</v>
      </c>
      <c r="D425" t="s">
        <v>25</v>
      </c>
      <c r="E425" t="s">
        <v>19</v>
      </c>
      <c r="F425">
        <v>20</v>
      </c>
      <c r="G425">
        <v>664</v>
      </c>
      <c r="H425">
        <v>924</v>
      </c>
      <c r="I425">
        <v>13280</v>
      </c>
      <c r="J425">
        <v>18480</v>
      </c>
      <c r="K425">
        <v>5200</v>
      </c>
    </row>
    <row r="426" spans="1:11" x14ac:dyDescent="0.3">
      <c r="A426" s="10">
        <v>45406</v>
      </c>
      <c r="B426" t="s">
        <v>27</v>
      </c>
      <c r="C426" t="s">
        <v>33</v>
      </c>
      <c r="D426" t="s">
        <v>34</v>
      </c>
      <c r="E426" t="s">
        <v>19</v>
      </c>
      <c r="F426">
        <v>26</v>
      </c>
      <c r="G426">
        <v>608</v>
      </c>
      <c r="H426">
        <v>1125</v>
      </c>
      <c r="I426">
        <v>15808</v>
      </c>
      <c r="J426">
        <v>29250</v>
      </c>
      <c r="K426">
        <v>13442</v>
      </c>
    </row>
    <row r="427" spans="1:11" x14ac:dyDescent="0.3">
      <c r="A427" s="10">
        <v>45475</v>
      </c>
      <c r="B427" t="s">
        <v>11</v>
      </c>
      <c r="C427" t="s">
        <v>24</v>
      </c>
      <c r="D427" t="s">
        <v>26</v>
      </c>
      <c r="E427" t="s">
        <v>14</v>
      </c>
      <c r="F427">
        <v>19</v>
      </c>
      <c r="G427">
        <v>860</v>
      </c>
      <c r="H427">
        <v>1234</v>
      </c>
      <c r="I427">
        <v>16340</v>
      </c>
      <c r="J427">
        <v>23446</v>
      </c>
      <c r="K427">
        <v>7106</v>
      </c>
    </row>
    <row r="428" spans="1:11" x14ac:dyDescent="0.3">
      <c r="A428" s="10">
        <v>45408</v>
      </c>
      <c r="B428" t="s">
        <v>27</v>
      </c>
      <c r="C428" t="s">
        <v>33</v>
      </c>
      <c r="D428" t="s">
        <v>25</v>
      </c>
      <c r="E428" t="s">
        <v>14</v>
      </c>
      <c r="F428">
        <v>24</v>
      </c>
      <c r="G428">
        <v>826</v>
      </c>
      <c r="H428">
        <v>975</v>
      </c>
      <c r="I428">
        <v>19824</v>
      </c>
      <c r="J428">
        <v>23400</v>
      </c>
      <c r="K428">
        <v>3576</v>
      </c>
    </row>
    <row r="429" spans="1:11" x14ac:dyDescent="0.3">
      <c r="A429" s="10">
        <v>45409</v>
      </c>
      <c r="B429" t="s">
        <v>27</v>
      </c>
      <c r="C429" t="s">
        <v>33</v>
      </c>
      <c r="D429" t="s">
        <v>20</v>
      </c>
      <c r="E429" t="s">
        <v>14</v>
      </c>
      <c r="F429">
        <v>24</v>
      </c>
      <c r="G429">
        <v>877</v>
      </c>
      <c r="H429">
        <v>762</v>
      </c>
      <c r="I429">
        <v>21048</v>
      </c>
      <c r="J429">
        <v>18288</v>
      </c>
      <c r="K429">
        <v>-2760</v>
      </c>
    </row>
    <row r="430" spans="1:11" x14ac:dyDescent="0.3">
      <c r="A430" s="10">
        <v>45410</v>
      </c>
      <c r="B430" t="s">
        <v>27</v>
      </c>
      <c r="C430" t="s">
        <v>33</v>
      </c>
      <c r="D430" t="s">
        <v>39</v>
      </c>
      <c r="E430" t="s">
        <v>14</v>
      </c>
      <c r="F430">
        <v>23</v>
      </c>
      <c r="G430">
        <v>736</v>
      </c>
      <c r="H430">
        <v>872</v>
      </c>
      <c r="I430">
        <v>16928</v>
      </c>
      <c r="J430">
        <v>20056</v>
      </c>
      <c r="K430">
        <v>3128</v>
      </c>
    </row>
    <row r="431" spans="1:11" x14ac:dyDescent="0.3">
      <c r="A431" s="10">
        <v>45411</v>
      </c>
      <c r="B431" t="s">
        <v>27</v>
      </c>
      <c r="C431" t="s">
        <v>33</v>
      </c>
      <c r="D431" t="s">
        <v>26</v>
      </c>
      <c r="E431" t="s">
        <v>14</v>
      </c>
      <c r="F431">
        <v>27</v>
      </c>
      <c r="G431">
        <v>828</v>
      </c>
      <c r="H431">
        <v>1008</v>
      </c>
      <c r="I431">
        <v>22356</v>
      </c>
      <c r="J431">
        <v>27216</v>
      </c>
      <c r="K431">
        <v>4860</v>
      </c>
    </row>
    <row r="432" spans="1:11" x14ac:dyDescent="0.3">
      <c r="A432" s="10">
        <v>45412</v>
      </c>
      <c r="B432" t="s">
        <v>27</v>
      </c>
      <c r="C432" t="s">
        <v>33</v>
      </c>
      <c r="D432" t="s">
        <v>43</v>
      </c>
      <c r="E432" t="s">
        <v>14</v>
      </c>
      <c r="F432">
        <v>28</v>
      </c>
      <c r="G432">
        <v>901</v>
      </c>
      <c r="H432">
        <v>1260</v>
      </c>
      <c r="I432">
        <v>25228</v>
      </c>
      <c r="J432">
        <v>35280</v>
      </c>
      <c r="K432">
        <v>10052</v>
      </c>
    </row>
    <row r="433" spans="1:11" x14ac:dyDescent="0.3">
      <c r="A433" s="10">
        <v>45413</v>
      </c>
      <c r="B433" t="s">
        <v>27</v>
      </c>
      <c r="C433" t="s">
        <v>33</v>
      </c>
      <c r="D433" t="s">
        <v>44</v>
      </c>
      <c r="E433" t="s">
        <v>14</v>
      </c>
      <c r="F433">
        <v>28</v>
      </c>
      <c r="G433">
        <v>796</v>
      </c>
      <c r="H433">
        <v>1407</v>
      </c>
      <c r="I433">
        <v>22288</v>
      </c>
      <c r="J433">
        <v>39396</v>
      </c>
      <c r="K433">
        <v>17108</v>
      </c>
    </row>
    <row r="434" spans="1:11" x14ac:dyDescent="0.3">
      <c r="A434" s="10">
        <v>45414</v>
      </c>
      <c r="B434" t="s">
        <v>27</v>
      </c>
      <c r="C434" t="s">
        <v>33</v>
      </c>
      <c r="D434" t="s">
        <v>13</v>
      </c>
      <c r="E434" t="s">
        <v>19</v>
      </c>
      <c r="F434">
        <v>27</v>
      </c>
      <c r="G434">
        <v>794</v>
      </c>
      <c r="H434">
        <v>905</v>
      </c>
      <c r="I434">
        <v>21438</v>
      </c>
      <c r="J434">
        <v>24435</v>
      </c>
      <c r="K434">
        <v>2997</v>
      </c>
    </row>
    <row r="435" spans="1:11" x14ac:dyDescent="0.3">
      <c r="A435" s="10">
        <v>45415</v>
      </c>
      <c r="B435" t="s">
        <v>27</v>
      </c>
      <c r="C435" t="s">
        <v>33</v>
      </c>
      <c r="D435" t="s">
        <v>15</v>
      </c>
      <c r="E435" t="s">
        <v>19</v>
      </c>
      <c r="F435">
        <v>20</v>
      </c>
      <c r="G435">
        <v>812</v>
      </c>
      <c r="H435">
        <v>1248</v>
      </c>
      <c r="I435">
        <v>16240</v>
      </c>
      <c r="J435">
        <v>24960</v>
      </c>
      <c r="K435">
        <v>8720</v>
      </c>
    </row>
    <row r="436" spans="1:11" x14ac:dyDescent="0.3">
      <c r="A436" s="10">
        <v>45416</v>
      </c>
      <c r="B436" t="s">
        <v>27</v>
      </c>
      <c r="C436" t="s">
        <v>33</v>
      </c>
      <c r="D436" t="s">
        <v>16</v>
      </c>
      <c r="E436" t="s">
        <v>19</v>
      </c>
      <c r="F436">
        <v>20</v>
      </c>
      <c r="G436">
        <v>908</v>
      </c>
      <c r="H436">
        <v>1130</v>
      </c>
      <c r="I436">
        <v>18160</v>
      </c>
      <c r="J436">
        <v>22600</v>
      </c>
      <c r="K436">
        <v>4440</v>
      </c>
    </row>
    <row r="437" spans="1:11" x14ac:dyDescent="0.3">
      <c r="A437" s="10">
        <v>45417</v>
      </c>
      <c r="B437" t="s">
        <v>27</v>
      </c>
      <c r="C437" t="s">
        <v>33</v>
      </c>
      <c r="D437" t="s">
        <v>17</v>
      </c>
      <c r="E437" t="s">
        <v>19</v>
      </c>
      <c r="F437">
        <v>23</v>
      </c>
      <c r="G437">
        <v>846</v>
      </c>
      <c r="H437">
        <v>1143</v>
      </c>
      <c r="I437">
        <v>19458</v>
      </c>
      <c r="J437">
        <v>26289</v>
      </c>
      <c r="K437">
        <v>6831</v>
      </c>
    </row>
    <row r="438" spans="1:11" x14ac:dyDescent="0.3">
      <c r="A438" s="10">
        <v>45418</v>
      </c>
      <c r="B438" t="s">
        <v>27</v>
      </c>
      <c r="C438" t="s">
        <v>33</v>
      </c>
      <c r="D438" t="s">
        <v>17</v>
      </c>
      <c r="E438" t="s">
        <v>14</v>
      </c>
      <c r="F438">
        <v>25</v>
      </c>
      <c r="G438">
        <v>627</v>
      </c>
      <c r="H438">
        <v>1071</v>
      </c>
      <c r="I438">
        <v>15675</v>
      </c>
      <c r="J438">
        <v>26775</v>
      </c>
      <c r="K438">
        <v>11100</v>
      </c>
    </row>
    <row r="439" spans="1:11" x14ac:dyDescent="0.3">
      <c r="A439" s="10">
        <v>45419</v>
      </c>
      <c r="B439" t="s">
        <v>27</v>
      </c>
      <c r="C439" t="s">
        <v>40</v>
      </c>
      <c r="D439" t="s">
        <v>18</v>
      </c>
      <c r="E439" t="s">
        <v>14</v>
      </c>
      <c r="F439">
        <v>27</v>
      </c>
      <c r="G439">
        <v>817</v>
      </c>
      <c r="H439">
        <v>977</v>
      </c>
      <c r="I439">
        <v>22059</v>
      </c>
      <c r="J439">
        <v>26379</v>
      </c>
      <c r="K439">
        <v>4320</v>
      </c>
    </row>
    <row r="440" spans="1:11" x14ac:dyDescent="0.3">
      <c r="A440" s="10">
        <v>45488</v>
      </c>
      <c r="B440" t="s">
        <v>27</v>
      </c>
      <c r="C440" t="s">
        <v>40</v>
      </c>
      <c r="D440" t="s">
        <v>25</v>
      </c>
      <c r="E440" t="s">
        <v>14</v>
      </c>
      <c r="F440">
        <v>29</v>
      </c>
      <c r="G440">
        <v>929</v>
      </c>
      <c r="H440">
        <v>1429</v>
      </c>
      <c r="I440">
        <v>26941</v>
      </c>
      <c r="J440">
        <v>41441</v>
      </c>
      <c r="K440">
        <v>14500</v>
      </c>
    </row>
    <row r="441" spans="1:11" x14ac:dyDescent="0.3">
      <c r="A441" s="10">
        <v>45420</v>
      </c>
      <c r="B441" t="s">
        <v>27</v>
      </c>
      <c r="C441" t="s">
        <v>40</v>
      </c>
      <c r="D441" t="s">
        <v>20</v>
      </c>
      <c r="E441" t="s">
        <v>14</v>
      </c>
      <c r="F441">
        <v>27</v>
      </c>
      <c r="G441">
        <v>675</v>
      </c>
      <c r="H441">
        <v>1138</v>
      </c>
      <c r="I441">
        <v>18225</v>
      </c>
      <c r="J441">
        <v>30726</v>
      </c>
      <c r="K441">
        <v>12501</v>
      </c>
    </row>
    <row r="442" spans="1:11" x14ac:dyDescent="0.3">
      <c r="A442" s="10">
        <v>45421</v>
      </c>
      <c r="B442" t="s">
        <v>27</v>
      </c>
      <c r="C442" t="s">
        <v>40</v>
      </c>
      <c r="D442" t="s">
        <v>17</v>
      </c>
      <c r="E442" t="s">
        <v>14</v>
      </c>
      <c r="F442">
        <v>22</v>
      </c>
      <c r="G442">
        <v>695</v>
      </c>
      <c r="H442">
        <v>830</v>
      </c>
      <c r="I442">
        <v>15290</v>
      </c>
      <c r="J442">
        <v>18260</v>
      </c>
      <c r="K442">
        <v>2970</v>
      </c>
    </row>
    <row r="443" spans="1:11" x14ac:dyDescent="0.3">
      <c r="A443" s="10">
        <v>45422</v>
      </c>
      <c r="B443" t="s">
        <v>27</v>
      </c>
      <c r="C443" t="s">
        <v>40</v>
      </c>
      <c r="D443" t="s">
        <v>36</v>
      </c>
      <c r="E443" t="s">
        <v>14</v>
      </c>
      <c r="F443">
        <v>21</v>
      </c>
      <c r="G443">
        <v>781</v>
      </c>
      <c r="H443">
        <v>816</v>
      </c>
      <c r="I443">
        <v>16401</v>
      </c>
      <c r="J443">
        <v>17136</v>
      </c>
      <c r="K443">
        <v>735</v>
      </c>
    </row>
    <row r="444" spans="1:11" x14ac:dyDescent="0.3">
      <c r="A444" s="10">
        <v>45423</v>
      </c>
      <c r="B444" t="s">
        <v>27</v>
      </c>
      <c r="C444" t="s">
        <v>40</v>
      </c>
      <c r="D444" t="s">
        <v>35</v>
      </c>
      <c r="E444" t="s">
        <v>14</v>
      </c>
      <c r="F444">
        <v>25</v>
      </c>
      <c r="G444">
        <v>517</v>
      </c>
      <c r="H444">
        <v>939</v>
      </c>
      <c r="I444">
        <v>12925</v>
      </c>
      <c r="J444">
        <v>23475</v>
      </c>
      <c r="K444">
        <v>10550</v>
      </c>
    </row>
    <row r="445" spans="1:11" x14ac:dyDescent="0.3">
      <c r="A445" s="10">
        <v>45424</v>
      </c>
      <c r="B445" t="s">
        <v>27</v>
      </c>
      <c r="C445" t="s">
        <v>40</v>
      </c>
      <c r="D445" t="s">
        <v>26</v>
      </c>
      <c r="E445" t="s">
        <v>14</v>
      </c>
      <c r="F445">
        <v>24</v>
      </c>
      <c r="G445">
        <v>730</v>
      </c>
      <c r="H445">
        <v>886</v>
      </c>
      <c r="I445">
        <v>17520</v>
      </c>
      <c r="J445">
        <v>21264</v>
      </c>
      <c r="K445">
        <v>3744</v>
      </c>
    </row>
    <row r="446" spans="1:11" x14ac:dyDescent="0.3">
      <c r="A446" s="10">
        <v>45425</v>
      </c>
      <c r="B446" t="s">
        <v>27</v>
      </c>
      <c r="C446" t="s">
        <v>40</v>
      </c>
      <c r="D446" t="s">
        <v>17</v>
      </c>
      <c r="E446" t="s">
        <v>14</v>
      </c>
      <c r="F446">
        <v>23</v>
      </c>
      <c r="G446">
        <v>811</v>
      </c>
      <c r="H446">
        <v>1142</v>
      </c>
      <c r="I446">
        <v>18653</v>
      </c>
      <c r="J446">
        <v>26266</v>
      </c>
      <c r="K446">
        <v>7613</v>
      </c>
    </row>
    <row r="447" spans="1:11" x14ac:dyDescent="0.3">
      <c r="A447" s="10">
        <v>45426</v>
      </c>
      <c r="B447" t="s">
        <v>27</v>
      </c>
      <c r="C447" t="s">
        <v>40</v>
      </c>
      <c r="D447" t="s">
        <v>34</v>
      </c>
      <c r="E447" t="s">
        <v>14</v>
      </c>
      <c r="F447">
        <v>21</v>
      </c>
      <c r="G447">
        <v>967</v>
      </c>
      <c r="H447">
        <v>888</v>
      </c>
      <c r="I447">
        <v>20307</v>
      </c>
      <c r="J447">
        <v>18648</v>
      </c>
      <c r="K447">
        <v>-1659</v>
      </c>
    </row>
    <row r="448" spans="1:11" x14ac:dyDescent="0.3">
      <c r="A448" s="10">
        <v>45427</v>
      </c>
      <c r="B448" t="s">
        <v>27</v>
      </c>
      <c r="C448" t="s">
        <v>40</v>
      </c>
      <c r="D448" t="s">
        <v>36</v>
      </c>
      <c r="E448" t="s">
        <v>14</v>
      </c>
      <c r="F448">
        <v>29</v>
      </c>
      <c r="G448">
        <v>655</v>
      </c>
      <c r="H448">
        <v>950</v>
      </c>
      <c r="I448">
        <v>18995</v>
      </c>
      <c r="J448">
        <v>27550</v>
      </c>
      <c r="K448">
        <v>8555</v>
      </c>
    </row>
    <row r="449" spans="1:11" x14ac:dyDescent="0.3">
      <c r="A449" s="10">
        <v>45428</v>
      </c>
      <c r="B449" t="s">
        <v>27</v>
      </c>
      <c r="C449" t="s">
        <v>40</v>
      </c>
      <c r="D449" t="s">
        <v>37</v>
      </c>
      <c r="E449" t="s">
        <v>19</v>
      </c>
      <c r="F449">
        <v>30</v>
      </c>
      <c r="G449">
        <v>616</v>
      </c>
      <c r="H449">
        <v>804</v>
      </c>
      <c r="I449">
        <v>18480</v>
      </c>
      <c r="J449">
        <v>24120</v>
      </c>
      <c r="K449">
        <v>5640</v>
      </c>
    </row>
    <row r="450" spans="1:11" x14ac:dyDescent="0.3">
      <c r="A450" s="10">
        <v>45429</v>
      </c>
      <c r="B450" t="s">
        <v>27</v>
      </c>
      <c r="C450" t="s">
        <v>40</v>
      </c>
      <c r="D450" t="s">
        <v>23</v>
      </c>
      <c r="E450" t="s">
        <v>19</v>
      </c>
      <c r="F450">
        <v>30</v>
      </c>
      <c r="G450">
        <v>709</v>
      </c>
      <c r="H450">
        <v>1209</v>
      </c>
      <c r="I450">
        <v>21270</v>
      </c>
      <c r="J450">
        <v>36270</v>
      </c>
      <c r="K450">
        <v>15000</v>
      </c>
    </row>
    <row r="451" spans="1:11" x14ac:dyDescent="0.3">
      <c r="A451" s="10">
        <v>45430</v>
      </c>
      <c r="B451" t="s">
        <v>27</v>
      </c>
      <c r="C451" t="s">
        <v>40</v>
      </c>
      <c r="D451" t="s">
        <v>26</v>
      </c>
      <c r="E451" t="s">
        <v>19</v>
      </c>
      <c r="F451">
        <v>23</v>
      </c>
      <c r="G451">
        <v>875</v>
      </c>
      <c r="H451">
        <v>843</v>
      </c>
      <c r="I451">
        <v>20125</v>
      </c>
      <c r="J451">
        <v>19389</v>
      </c>
      <c r="K451">
        <v>-736</v>
      </c>
    </row>
    <row r="452" spans="1:11" x14ac:dyDescent="0.3">
      <c r="A452" s="10">
        <v>45484</v>
      </c>
      <c r="B452" t="s">
        <v>27</v>
      </c>
      <c r="C452" t="s">
        <v>40</v>
      </c>
      <c r="D452" t="s">
        <v>25</v>
      </c>
      <c r="E452" t="s">
        <v>19</v>
      </c>
      <c r="F452">
        <v>26</v>
      </c>
      <c r="G452">
        <v>766</v>
      </c>
      <c r="H452">
        <v>836</v>
      </c>
      <c r="I452">
        <v>19916</v>
      </c>
      <c r="J452">
        <v>21736</v>
      </c>
      <c r="K452">
        <v>1820</v>
      </c>
    </row>
    <row r="453" spans="1:11" x14ac:dyDescent="0.3">
      <c r="A453" s="10">
        <v>45485</v>
      </c>
      <c r="B453" t="s">
        <v>27</v>
      </c>
      <c r="C453" t="s">
        <v>40</v>
      </c>
      <c r="D453" t="s">
        <v>34</v>
      </c>
      <c r="E453" t="s">
        <v>19</v>
      </c>
      <c r="F453">
        <v>23</v>
      </c>
      <c r="G453">
        <v>589</v>
      </c>
      <c r="H453">
        <v>982</v>
      </c>
      <c r="I453">
        <v>13547</v>
      </c>
      <c r="J453">
        <v>22586</v>
      </c>
      <c r="K453">
        <v>9039</v>
      </c>
    </row>
    <row r="454" spans="1:11" x14ac:dyDescent="0.3">
      <c r="A454" s="10">
        <v>45486</v>
      </c>
      <c r="B454" t="s">
        <v>27</v>
      </c>
      <c r="C454" t="s">
        <v>40</v>
      </c>
      <c r="D454" t="s">
        <v>34</v>
      </c>
      <c r="E454" t="s">
        <v>19</v>
      </c>
      <c r="F454">
        <v>24</v>
      </c>
      <c r="G454">
        <v>718</v>
      </c>
      <c r="H454">
        <v>1218</v>
      </c>
      <c r="I454">
        <v>17232</v>
      </c>
      <c r="J454">
        <v>29232</v>
      </c>
      <c r="K454">
        <v>12000</v>
      </c>
    </row>
    <row r="455" spans="1:11" x14ac:dyDescent="0.3">
      <c r="A455" s="10">
        <v>45487</v>
      </c>
      <c r="B455" t="s">
        <v>27</v>
      </c>
      <c r="C455" t="s">
        <v>40</v>
      </c>
      <c r="D455" t="s">
        <v>32</v>
      </c>
      <c r="E455" t="s">
        <v>19</v>
      </c>
      <c r="F455">
        <v>22</v>
      </c>
      <c r="G455">
        <v>877</v>
      </c>
      <c r="H455">
        <v>1120</v>
      </c>
      <c r="I455">
        <v>19294</v>
      </c>
      <c r="J455">
        <v>24640</v>
      </c>
      <c r="K455">
        <v>5346</v>
      </c>
    </row>
    <row r="456" spans="1:11" x14ac:dyDescent="0.3">
      <c r="A456" s="10">
        <v>45489</v>
      </c>
      <c r="B456" t="s">
        <v>27</v>
      </c>
      <c r="C456" t="s">
        <v>40</v>
      </c>
      <c r="D456" t="s">
        <v>20</v>
      </c>
      <c r="E456" t="s">
        <v>14</v>
      </c>
      <c r="F456">
        <v>23</v>
      </c>
      <c r="G456">
        <v>641</v>
      </c>
      <c r="H456">
        <v>1445</v>
      </c>
      <c r="I456">
        <v>14743</v>
      </c>
      <c r="J456">
        <v>33235</v>
      </c>
      <c r="K456">
        <v>18492</v>
      </c>
    </row>
    <row r="457" spans="1:11" x14ac:dyDescent="0.3">
      <c r="A457" s="10">
        <v>45490</v>
      </c>
      <c r="B457" t="s">
        <v>27</v>
      </c>
      <c r="C457" t="s">
        <v>40</v>
      </c>
      <c r="D457" t="s">
        <v>39</v>
      </c>
      <c r="E457" t="s">
        <v>14</v>
      </c>
      <c r="F457">
        <v>30</v>
      </c>
      <c r="G457">
        <v>916</v>
      </c>
      <c r="H457">
        <v>1497</v>
      </c>
      <c r="I457">
        <v>27480</v>
      </c>
      <c r="J457">
        <v>44910</v>
      </c>
      <c r="K457">
        <v>17430</v>
      </c>
    </row>
    <row r="458" spans="1:11" x14ac:dyDescent="0.3">
      <c r="A458" s="10">
        <v>45491</v>
      </c>
      <c r="B458" t="s">
        <v>27</v>
      </c>
      <c r="C458" t="s">
        <v>40</v>
      </c>
      <c r="D458" t="s">
        <v>26</v>
      </c>
      <c r="E458" t="s">
        <v>14</v>
      </c>
      <c r="F458">
        <v>28</v>
      </c>
      <c r="G458">
        <v>588</v>
      </c>
      <c r="H458">
        <v>784</v>
      </c>
      <c r="I458">
        <v>16464</v>
      </c>
      <c r="J458">
        <v>21952</v>
      </c>
      <c r="K458">
        <v>5488</v>
      </c>
    </row>
    <row r="459" spans="1:11" x14ac:dyDescent="0.3">
      <c r="A459" s="10">
        <v>45507</v>
      </c>
      <c r="B459" t="s">
        <v>21</v>
      </c>
      <c r="C459" t="s">
        <v>41</v>
      </c>
      <c r="D459" t="s">
        <v>36</v>
      </c>
      <c r="E459" t="s">
        <v>19</v>
      </c>
      <c r="F459">
        <v>60</v>
      </c>
      <c r="G459">
        <v>642</v>
      </c>
      <c r="H459">
        <v>1497</v>
      </c>
      <c r="I459">
        <v>38520</v>
      </c>
      <c r="J459">
        <v>89820</v>
      </c>
      <c r="K459">
        <v>51300</v>
      </c>
    </row>
    <row r="460" spans="1:11" x14ac:dyDescent="0.3">
      <c r="A460" s="10">
        <v>45492</v>
      </c>
      <c r="B460" t="s">
        <v>27</v>
      </c>
      <c r="C460" t="s">
        <v>40</v>
      </c>
      <c r="D460" t="s">
        <v>43</v>
      </c>
      <c r="E460" t="s">
        <v>14</v>
      </c>
      <c r="F460">
        <v>26</v>
      </c>
      <c r="G460">
        <v>969</v>
      </c>
      <c r="H460">
        <v>1087</v>
      </c>
      <c r="I460">
        <v>25194</v>
      </c>
      <c r="J460">
        <v>28262</v>
      </c>
      <c r="K460">
        <v>3068</v>
      </c>
    </row>
    <row r="461" spans="1:11" x14ac:dyDescent="0.3">
      <c r="A461" s="10">
        <v>45493</v>
      </c>
      <c r="B461" t="s">
        <v>27</v>
      </c>
      <c r="C461" t="s">
        <v>40</v>
      </c>
      <c r="D461" t="s">
        <v>44</v>
      </c>
      <c r="E461" t="s">
        <v>14</v>
      </c>
      <c r="F461">
        <v>25</v>
      </c>
      <c r="G461">
        <v>839</v>
      </c>
      <c r="H461">
        <v>1233</v>
      </c>
      <c r="I461">
        <v>20975</v>
      </c>
      <c r="J461">
        <v>30825</v>
      </c>
      <c r="K461">
        <v>9850</v>
      </c>
    </row>
    <row r="462" spans="1:11" x14ac:dyDescent="0.3">
      <c r="A462" s="10">
        <v>45494</v>
      </c>
      <c r="B462" t="s">
        <v>27</v>
      </c>
      <c r="C462" t="s">
        <v>40</v>
      </c>
      <c r="D462" t="s">
        <v>13</v>
      </c>
      <c r="E462" t="s">
        <v>14</v>
      </c>
      <c r="F462">
        <v>25</v>
      </c>
      <c r="G462">
        <v>536</v>
      </c>
      <c r="H462">
        <v>1407</v>
      </c>
      <c r="I462">
        <v>13400</v>
      </c>
      <c r="J462">
        <v>35175</v>
      </c>
      <c r="K462">
        <v>21775</v>
      </c>
    </row>
    <row r="463" spans="1:11" x14ac:dyDescent="0.3">
      <c r="A463" s="10">
        <v>45517</v>
      </c>
      <c r="B463" t="s">
        <v>27</v>
      </c>
      <c r="C463" t="s">
        <v>40</v>
      </c>
      <c r="D463" t="s">
        <v>26</v>
      </c>
      <c r="E463" t="s">
        <v>19</v>
      </c>
      <c r="F463">
        <v>27</v>
      </c>
      <c r="G463">
        <v>966</v>
      </c>
      <c r="H463">
        <v>1255</v>
      </c>
      <c r="I463">
        <v>26082</v>
      </c>
      <c r="J463">
        <v>33885</v>
      </c>
      <c r="K463">
        <v>7803</v>
      </c>
    </row>
    <row r="464" spans="1:11" x14ac:dyDescent="0.3">
      <c r="A464" s="10">
        <v>45512</v>
      </c>
      <c r="B464" t="s">
        <v>11</v>
      </c>
      <c r="C464" t="s">
        <v>24</v>
      </c>
      <c r="D464" t="s">
        <v>23</v>
      </c>
      <c r="E464" t="s">
        <v>14</v>
      </c>
      <c r="F464">
        <v>20</v>
      </c>
      <c r="G464">
        <v>525</v>
      </c>
      <c r="H464">
        <v>1122</v>
      </c>
      <c r="I464">
        <v>10500</v>
      </c>
      <c r="J464">
        <v>22440</v>
      </c>
      <c r="K464">
        <v>11940</v>
      </c>
    </row>
    <row r="465" spans="1:11" x14ac:dyDescent="0.3">
      <c r="A465" s="10">
        <v>45518</v>
      </c>
      <c r="B465" t="s">
        <v>27</v>
      </c>
      <c r="C465" t="s">
        <v>40</v>
      </c>
      <c r="D465" t="s">
        <v>29</v>
      </c>
      <c r="E465" t="s">
        <v>19</v>
      </c>
      <c r="F465">
        <v>23</v>
      </c>
      <c r="G465">
        <v>694</v>
      </c>
      <c r="H465">
        <v>1309</v>
      </c>
      <c r="I465">
        <v>15962</v>
      </c>
      <c r="J465">
        <v>30107</v>
      </c>
      <c r="K465">
        <v>14145</v>
      </c>
    </row>
    <row r="466" spans="1:11" x14ac:dyDescent="0.3">
      <c r="A466" s="10">
        <v>45519</v>
      </c>
      <c r="B466" t="s">
        <v>27</v>
      </c>
      <c r="C466" t="s">
        <v>40</v>
      </c>
      <c r="D466" t="s">
        <v>18</v>
      </c>
      <c r="E466" t="s">
        <v>14</v>
      </c>
      <c r="F466">
        <v>22</v>
      </c>
      <c r="G466">
        <v>749</v>
      </c>
      <c r="H466">
        <v>850</v>
      </c>
      <c r="I466">
        <v>16478</v>
      </c>
      <c r="J466">
        <v>18700</v>
      </c>
      <c r="K466">
        <v>2222</v>
      </c>
    </row>
    <row r="467" spans="1:11" x14ac:dyDescent="0.3">
      <c r="A467" s="10">
        <v>45521</v>
      </c>
      <c r="B467" t="s">
        <v>27</v>
      </c>
      <c r="C467" t="s">
        <v>40</v>
      </c>
      <c r="D467" t="s">
        <v>31</v>
      </c>
      <c r="E467" t="s">
        <v>19</v>
      </c>
      <c r="F467">
        <v>24</v>
      </c>
      <c r="G467">
        <v>845</v>
      </c>
      <c r="H467">
        <v>1429</v>
      </c>
      <c r="I467">
        <v>20280</v>
      </c>
      <c r="J467">
        <v>34296</v>
      </c>
      <c r="K467">
        <v>14016</v>
      </c>
    </row>
    <row r="468" spans="1:11" x14ac:dyDescent="0.3">
      <c r="A468" s="10">
        <v>45522</v>
      </c>
      <c r="B468" t="s">
        <v>27</v>
      </c>
      <c r="C468" t="s">
        <v>40</v>
      </c>
      <c r="D468" t="s">
        <v>23</v>
      </c>
      <c r="E468" t="s">
        <v>19</v>
      </c>
      <c r="F468">
        <v>29</v>
      </c>
      <c r="G468">
        <v>872</v>
      </c>
      <c r="H468">
        <v>1351</v>
      </c>
      <c r="I468">
        <v>25288</v>
      </c>
      <c r="J468">
        <v>39179</v>
      </c>
      <c r="K468">
        <v>13891</v>
      </c>
    </row>
    <row r="469" spans="1:11" x14ac:dyDescent="0.3">
      <c r="A469" s="10">
        <v>45523</v>
      </c>
      <c r="B469" t="s">
        <v>27</v>
      </c>
      <c r="C469" t="s">
        <v>40</v>
      </c>
      <c r="D469" t="s">
        <v>25</v>
      </c>
      <c r="E469" t="s">
        <v>19</v>
      </c>
      <c r="F469">
        <v>27</v>
      </c>
      <c r="G469">
        <v>674</v>
      </c>
      <c r="H469">
        <v>1119</v>
      </c>
      <c r="I469">
        <v>18198</v>
      </c>
      <c r="J469">
        <v>30213</v>
      </c>
      <c r="K469">
        <v>12015</v>
      </c>
    </row>
    <row r="470" spans="1:11" x14ac:dyDescent="0.3">
      <c r="A470" s="10">
        <v>45524</v>
      </c>
      <c r="B470" t="s">
        <v>27</v>
      </c>
      <c r="C470" t="s">
        <v>40</v>
      </c>
      <c r="D470" t="s">
        <v>25</v>
      </c>
      <c r="E470" t="s">
        <v>14</v>
      </c>
      <c r="F470">
        <v>27</v>
      </c>
      <c r="G470">
        <v>583</v>
      </c>
      <c r="H470">
        <v>1379</v>
      </c>
      <c r="I470">
        <v>15741</v>
      </c>
      <c r="J470">
        <v>37233</v>
      </c>
      <c r="K470">
        <v>21492</v>
      </c>
    </row>
    <row r="471" spans="1:11" x14ac:dyDescent="0.3">
      <c r="A471" s="10">
        <v>45525</v>
      </c>
      <c r="B471" t="s">
        <v>27</v>
      </c>
      <c r="C471" t="s">
        <v>40</v>
      </c>
      <c r="D471" t="s">
        <v>34</v>
      </c>
      <c r="E471" t="s">
        <v>14</v>
      </c>
      <c r="F471">
        <v>21</v>
      </c>
      <c r="G471">
        <v>929</v>
      </c>
      <c r="H471">
        <v>910</v>
      </c>
      <c r="I471">
        <v>19509</v>
      </c>
      <c r="J471">
        <v>19110</v>
      </c>
      <c r="K471">
        <v>-399</v>
      </c>
    </row>
    <row r="472" spans="1:11" x14ac:dyDescent="0.3">
      <c r="A472" s="10">
        <v>45520</v>
      </c>
      <c r="B472" t="s">
        <v>27</v>
      </c>
      <c r="C472" t="s">
        <v>40</v>
      </c>
      <c r="D472" t="s">
        <v>30</v>
      </c>
      <c r="E472" t="s">
        <v>19</v>
      </c>
      <c r="F472">
        <v>23</v>
      </c>
      <c r="G472">
        <v>884</v>
      </c>
      <c r="H472">
        <v>1392</v>
      </c>
      <c r="I472">
        <v>20332</v>
      </c>
      <c r="J472">
        <v>32016</v>
      </c>
      <c r="K472">
        <v>11684</v>
      </c>
    </row>
    <row r="473" spans="1:11" x14ac:dyDescent="0.3">
      <c r="A473" s="10">
        <v>45527</v>
      </c>
      <c r="B473" t="s">
        <v>27</v>
      </c>
      <c r="C473" t="s">
        <v>40</v>
      </c>
      <c r="D473" t="s">
        <v>32</v>
      </c>
      <c r="E473" t="s">
        <v>14</v>
      </c>
      <c r="F473">
        <v>28</v>
      </c>
      <c r="G473">
        <v>873</v>
      </c>
      <c r="H473">
        <v>809</v>
      </c>
      <c r="I473">
        <v>24444</v>
      </c>
      <c r="J473">
        <v>22652</v>
      </c>
      <c r="K473">
        <v>-1792</v>
      </c>
    </row>
    <row r="474" spans="1:11" x14ac:dyDescent="0.3">
      <c r="A474" s="10">
        <v>45589</v>
      </c>
      <c r="B474" t="s">
        <v>27</v>
      </c>
      <c r="C474" t="s">
        <v>42</v>
      </c>
      <c r="D474" t="s">
        <v>32</v>
      </c>
      <c r="E474" t="s">
        <v>14</v>
      </c>
      <c r="F474">
        <v>21</v>
      </c>
      <c r="G474">
        <v>541</v>
      </c>
      <c r="H474">
        <v>1339</v>
      </c>
      <c r="I474">
        <v>11361</v>
      </c>
      <c r="J474">
        <v>28119</v>
      </c>
      <c r="K474">
        <v>16758</v>
      </c>
    </row>
    <row r="475" spans="1:11" x14ac:dyDescent="0.3">
      <c r="A475" s="10">
        <v>45591</v>
      </c>
      <c r="B475" t="s">
        <v>27</v>
      </c>
      <c r="C475" t="s">
        <v>42</v>
      </c>
      <c r="D475" t="s">
        <v>20</v>
      </c>
      <c r="E475" t="s">
        <v>19</v>
      </c>
      <c r="F475">
        <v>22</v>
      </c>
      <c r="G475">
        <v>725</v>
      </c>
      <c r="H475">
        <v>1268</v>
      </c>
      <c r="I475">
        <v>15950</v>
      </c>
      <c r="J475">
        <v>27896</v>
      </c>
      <c r="K475">
        <v>11946</v>
      </c>
    </row>
    <row r="476" spans="1:11" x14ac:dyDescent="0.3">
      <c r="A476" s="10">
        <v>45596</v>
      </c>
      <c r="B476" t="s">
        <v>27</v>
      </c>
      <c r="C476" t="s">
        <v>28</v>
      </c>
      <c r="D476" t="s">
        <v>13</v>
      </c>
      <c r="E476" t="s">
        <v>19</v>
      </c>
      <c r="F476">
        <v>21</v>
      </c>
      <c r="G476">
        <v>596</v>
      </c>
      <c r="H476">
        <v>838</v>
      </c>
      <c r="I476">
        <v>12516</v>
      </c>
      <c r="J476">
        <v>17598</v>
      </c>
      <c r="K476">
        <v>5082</v>
      </c>
    </row>
    <row r="477" spans="1:11" x14ac:dyDescent="0.3">
      <c r="A477" s="10">
        <v>45597</v>
      </c>
      <c r="B477" t="s">
        <v>27</v>
      </c>
      <c r="C477" t="s">
        <v>28</v>
      </c>
      <c r="D477" t="s">
        <v>15</v>
      </c>
      <c r="E477" t="s">
        <v>19</v>
      </c>
      <c r="F477">
        <v>30</v>
      </c>
      <c r="G477">
        <v>910</v>
      </c>
      <c r="H477">
        <v>1290</v>
      </c>
      <c r="I477">
        <v>27300</v>
      </c>
      <c r="J477">
        <v>38700</v>
      </c>
      <c r="K477">
        <v>11400</v>
      </c>
    </row>
    <row r="478" spans="1:11" x14ac:dyDescent="0.3">
      <c r="A478" s="10">
        <v>45526</v>
      </c>
      <c r="B478" t="s">
        <v>27</v>
      </c>
      <c r="C478" t="s">
        <v>40</v>
      </c>
      <c r="D478" t="s">
        <v>34</v>
      </c>
      <c r="E478" t="s">
        <v>14</v>
      </c>
      <c r="F478">
        <v>20</v>
      </c>
      <c r="G478">
        <v>997</v>
      </c>
      <c r="H478">
        <v>784</v>
      </c>
      <c r="I478">
        <v>19940</v>
      </c>
      <c r="J478">
        <v>15680</v>
      </c>
      <c r="K478">
        <v>-4260</v>
      </c>
    </row>
    <row r="479" spans="1:11" x14ac:dyDescent="0.3">
      <c r="A479" s="10">
        <v>45598</v>
      </c>
      <c r="B479" t="s">
        <v>27</v>
      </c>
      <c r="C479" t="s">
        <v>28</v>
      </c>
      <c r="D479" t="s">
        <v>16</v>
      </c>
      <c r="E479" t="s">
        <v>19</v>
      </c>
      <c r="F479">
        <v>25</v>
      </c>
      <c r="G479">
        <v>532</v>
      </c>
      <c r="H479">
        <v>1358</v>
      </c>
      <c r="I479">
        <v>13300</v>
      </c>
      <c r="J479">
        <v>33950</v>
      </c>
      <c r="K479">
        <v>20650</v>
      </c>
    </row>
    <row r="480" spans="1:11" x14ac:dyDescent="0.3">
      <c r="A480" s="10">
        <v>45599</v>
      </c>
      <c r="B480" t="s">
        <v>27</v>
      </c>
      <c r="C480" t="s">
        <v>28</v>
      </c>
      <c r="D480" t="s">
        <v>17</v>
      </c>
      <c r="E480" t="s">
        <v>14</v>
      </c>
      <c r="F480">
        <v>29</v>
      </c>
      <c r="G480">
        <v>813</v>
      </c>
      <c r="H480">
        <v>1241</v>
      </c>
      <c r="I480">
        <v>23577</v>
      </c>
      <c r="J480">
        <v>35989</v>
      </c>
      <c r="K480">
        <v>12412</v>
      </c>
    </row>
    <row r="481" spans="1:11" x14ac:dyDescent="0.3">
      <c r="A481" s="10">
        <v>45600</v>
      </c>
      <c r="B481" t="s">
        <v>27</v>
      </c>
      <c r="C481" t="s">
        <v>28</v>
      </c>
      <c r="D481" t="s">
        <v>17</v>
      </c>
      <c r="E481" t="s">
        <v>14</v>
      </c>
      <c r="F481">
        <v>28</v>
      </c>
      <c r="G481">
        <v>858</v>
      </c>
      <c r="H481">
        <v>1127</v>
      </c>
      <c r="I481">
        <v>24024</v>
      </c>
      <c r="J481">
        <v>31556</v>
      </c>
      <c r="K481">
        <v>7532</v>
      </c>
    </row>
    <row r="482" spans="1:11" x14ac:dyDescent="0.3">
      <c r="A482" s="10">
        <v>45601</v>
      </c>
      <c r="B482" t="s">
        <v>27</v>
      </c>
      <c r="C482" t="s">
        <v>28</v>
      </c>
      <c r="D482" t="s">
        <v>18</v>
      </c>
      <c r="E482" t="s">
        <v>14</v>
      </c>
      <c r="F482">
        <v>24</v>
      </c>
      <c r="G482">
        <v>641</v>
      </c>
      <c r="H482">
        <v>1337</v>
      </c>
      <c r="I482">
        <v>15384</v>
      </c>
      <c r="J482">
        <v>32088</v>
      </c>
      <c r="K482">
        <v>16704</v>
      </c>
    </row>
    <row r="483" spans="1:11" x14ac:dyDescent="0.3">
      <c r="A483" s="10">
        <v>45609</v>
      </c>
      <c r="B483" t="s">
        <v>27</v>
      </c>
      <c r="C483" t="s">
        <v>33</v>
      </c>
      <c r="D483" t="s">
        <v>36</v>
      </c>
      <c r="E483" t="s">
        <v>19</v>
      </c>
      <c r="F483">
        <v>25</v>
      </c>
      <c r="G483">
        <v>709</v>
      </c>
      <c r="H483">
        <v>1386</v>
      </c>
      <c r="I483">
        <v>17725</v>
      </c>
      <c r="J483">
        <v>34650</v>
      </c>
      <c r="K483">
        <v>16925</v>
      </c>
    </row>
    <row r="484" spans="1:11" x14ac:dyDescent="0.3">
      <c r="A484" s="10">
        <v>45611</v>
      </c>
      <c r="B484" t="s">
        <v>27</v>
      </c>
      <c r="C484" t="s">
        <v>33</v>
      </c>
      <c r="D484" t="s">
        <v>23</v>
      </c>
      <c r="E484" t="s">
        <v>19</v>
      </c>
      <c r="F484">
        <v>25</v>
      </c>
      <c r="G484">
        <v>802</v>
      </c>
      <c r="H484">
        <v>1126</v>
      </c>
      <c r="I484">
        <v>20050</v>
      </c>
      <c r="J484">
        <v>28150</v>
      </c>
      <c r="K484">
        <v>8100</v>
      </c>
    </row>
    <row r="485" spans="1:11" x14ac:dyDescent="0.3">
      <c r="A485" s="10">
        <v>45612</v>
      </c>
      <c r="B485" t="s">
        <v>27</v>
      </c>
      <c r="C485" t="s">
        <v>33</v>
      </c>
      <c r="D485" t="s">
        <v>26</v>
      </c>
      <c r="E485" t="s">
        <v>19</v>
      </c>
      <c r="F485">
        <v>23</v>
      </c>
      <c r="G485">
        <v>893</v>
      </c>
      <c r="H485">
        <v>761</v>
      </c>
      <c r="I485">
        <v>20539</v>
      </c>
      <c r="J485">
        <v>17503</v>
      </c>
      <c r="K485">
        <v>-3036</v>
      </c>
    </row>
    <row r="486" spans="1:11" x14ac:dyDescent="0.3">
      <c r="A486" s="10">
        <v>45613</v>
      </c>
      <c r="B486" t="s">
        <v>27</v>
      </c>
      <c r="C486" t="s">
        <v>33</v>
      </c>
      <c r="D486" t="s">
        <v>32</v>
      </c>
      <c r="E486" t="s">
        <v>19</v>
      </c>
      <c r="F486">
        <v>29</v>
      </c>
      <c r="G486">
        <v>852</v>
      </c>
      <c r="H486">
        <v>1452</v>
      </c>
      <c r="I486">
        <v>24708</v>
      </c>
      <c r="J486">
        <v>42108</v>
      </c>
      <c r="K486">
        <v>17400</v>
      </c>
    </row>
    <row r="487" spans="1:11" x14ac:dyDescent="0.3">
      <c r="A487" s="10">
        <v>45535</v>
      </c>
      <c r="B487" t="s">
        <v>21</v>
      </c>
      <c r="C487" t="s">
        <v>38</v>
      </c>
      <c r="D487" t="s">
        <v>15</v>
      </c>
      <c r="E487" t="s">
        <v>19</v>
      </c>
      <c r="F487">
        <v>64</v>
      </c>
      <c r="G487">
        <v>580</v>
      </c>
      <c r="H487">
        <v>1164</v>
      </c>
      <c r="I487">
        <v>37120</v>
      </c>
      <c r="J487">
        <v>74496</v>
      </c>
      <c r="K487">
        <v>37376</v>
      </c>
    </row>
    <row r="488" spans="1:11" x14ac:dyDescent="0.3">
      <c r="A488" s="10">
        <v>45615</v>
      </c>
      <c r="B488" t="s">
        <v>27</v>
      </c>
      <c r="C488" t="s">
        <v>33</v>
      </c>
      <c r="D488" t="s">
        <v>25</v>
      </c>
      <c r="E488" t="s">
        <v>14</v>
      </c>
      <c r="F488">
        <v>23</v>
      </c>
      <c r="G488">
        <v>747</v>
      </c>
      <c r="H488">
        <v>1340</v>
      </c>
      <c r="I488">
        <v>17181</v>
      </c>
      <c r="J488">
        <v>30820</v>
      </c>
      <c r="K488">
        <v>13639</v>
      </c>
    </row>
    <row r="489" spans="1:11" x14ac:dyDescent="0.3">
      <c r="A489" s="10">
        <v>45617</v>
      </c>
      <c r="B489" t="s">
        <v>27</v>
      </c>
      <c r="C489" t="s">
        <v>33</v>
      </c>
      <c r="D489" t="s">
        <v>26</v>
      </c>
      <c r="E489" t="s">
        <v>19</v>
      </c>
      <c r="F489">
        <v>26</v>
      </c>
      <c r="G489">
        <v>625</v>
      </c>
      <c r="H489">
        <v>1298</v>
      </c>
      <c r="I489">
        <v>16250</v>
      </c>
      <c r="J489">
        <v>33748</v>
      </c>
      <c r="K489">
        <v>17498</v>
      </c>
    </row>
    <row r="490" spans="1:11" x14ac:dyDescent="0.3">
      <c r="A490" s="10">
        <v>45618</v>
      </c>
      <c r="B490" t="s">
        <v>27</v>
      </c>
      <c r="C490" t="s">
        <v>33</v>
      </c>
      <c r="D490" t="s">
        <v>18</v>
      </c>
      <c r="E490" t="s">
        <v>19</v>
      </c>
      <c r="F490">
        <v>23</v>
      </c>
      <c r="G490">
        <v>706</v>
      </c>
      <c r="H490">
        <v>988</v>
      </c>
      <c r="I490">
        <v>16238</v>
      </c>
      <c r="J490">
        <v>22724</v>
      </c>
      <c r="K490">
        <v>6486</v>
      </c>
    </row>
    <row r="491" spans="1:11" x14ac:dyDescent="0.3">
      <c r="A491" s="10">
        <v>45619</v>
      </c>
      <c r="B491" t="s">
        <v>27</v>
      </c>
      <c r="C491" t="s">
        <v>33</v>
      </c>
      <c r="D491" t="s">
        <v>26</v>
      </c>
      <c r="E491" t="s">
        <v>19</v>
      </c>
      <c r="F491">
        <v>28</v>
      </c>
      <c r="G491">
        <v>858</v>
      </c>
      <c r="H491">
        <v>1113</v>
      </c>
      <c r="I491">
        <v>24024</v>
      </c>
      <c r="J491">
        <v>31164</v>
      </c>
      <c r="K491">
        <v>7140</v>
      </c>
    </row>
    <row r="492" spans="1:11" x14ac:dyDescent="0.3">
      <c r="A492" s="10">
        <v>45540</v>
      </c>
      <c r="B492" t="s">
        <v>21</v>
      </c>
      <c r="C492" t="s">
        <v>41</v>
      </c>
      <c r="D492" t="s">
        <v>20</v>
      </c>
      <c r="E492" t="s">
        <v>14</v>
      </c>
      <c r="F492">
        <v>52</v>
      </c>
      <c r="G492">
        <v>893</v>
      </c>
      <c r="H492">
        <v>1055</v>
      </c>
      <c r="I492">
        <v>46436</v>
      </c>
      <c r="J492">
        <v>54860</v>
      </c>
      <c r="K492">
        <v>8424</v>
      </c>
    </row>
    <row r="493" spans="1:11" x14ac:dyDescent="0.3">
      <c r="A493" s="10">
        <v>45620</v>
      </c>
      <c r="B493" t="s">
        <v>27</v>
      </c>
      <c r="C493" t="s">
        <v>33</v>
      </c>
      <c r="D493" t="s">
        <v>29</v>
      </c>
      <c r="E493" t="s">
        <v>19</v>
      </c>
      <c r="F493">
        <v>24</v>
      </c>
      <c r="G493">
        <v>736</v>
      </c>
      <c r="H493">
        <v>1406</v>
      </c>
      <c r="I493">
        <v>17664</v>
      </c>
      <c r="J493">
        <v>33744</v>
      </c>
      <c r="K493">
        <v>16080</v>
      </c>
    </row>
    <row r="494" spans="1:11" x14ac:dyDescent="0.3">
      <c r="A494" s="10">
        <v>45621</v>
      </c>
      <c r="B494" t="s">
        <v>27</v>
      </c>
      <c r="C494" t="s">
        <v>33</v>
      </c>
      <c r="D494" t="s">
        <v>18</v>
      </c>
      <c r="E494" t="s">
        <v>19</v>
      </c>
      <c r="F494">
        <v>20</v>
      </c>
      <c r="G494">
        <v>599</v>
      </c>
      <c r="H494">
        <v>1023</v>
      </c>
      <c r="I494">
        <v>11980</v>
      </c>
      <c r="J494">
        <v>20460</v>
      </c>
      <c r="K494">
        <v>8480</v>
      </c>
    </row>
    <row r="495" spans="1:11" x14ac:dyDescent="0.3">
      <c r="A495" s="10">
        <v>45622</v>
      </c>
      <c r="B495" t="s">
        <v>27</v>
      </c>
      <c r="C495" t="s">
        <v>33</v>
      </c>
      <c r="D495" t="s">
        <v>30</v>
      </c>
      <c r="E495" t="s">
        <v>14</v>
      </c>
      <c r="F495">
        <v>22</v>
      </c>
      <c r="G495">
        <v>524</v>
      </c>
      <c r="H495">
        <v>1147</v>
      </c>
      <c r="I495">
        <v>11528</v>
      </c>
      <c r="J495">
        <v>25234</v>
      </c>
      <c r="K495">
        <v>13706</v>
      </c>
    </row>
    <row r="496" spans="1:11" x14ac:dyDescent="0.3">
      <c r="A496" s="10">
        <v>45623</v>
      </c>
      <c r="B496" t="s">
        <v>27</v>
      </c>
      <c r="C496" t="s">
        <v>33</v>
      </c>
      <c r="D496" t="s">
        <v>31</v>
      </c>
      <c r="E496" t="s">
        <v>14</v>
      </c>
      <c r="F496">
        <v>27</v>
      </c>
      <c r="G496">
        <v>744</v>
      </c>
      <c r="H496">
        <v>1253</v>
      </c>
      <c r="I496">
        <v>20088</v>
      </c>
      <c r="J496">
        <v>33831</v>
      </c>
      <c r="K496">
        <v>13743</v>
      </c>
    </row>
    <row r="497" spans="1:11" x14ac:dyDescent="0.3">
      <c r="A497" s="10">
        <v>45624</v>
      </c>
      <c r="B497" t="s">
        <v>27</v>
      </c>
      <c r="C497" t="s">
        <v>40</v>
      </c>
      <c r="D497" t="s">
        <v>23</v>
      </c>
      <c r="E497" t="s">
        <v>14</v>
      </c>
      <c r="F497">
        <v>27</v>
      </c>
      <c r="G497">
        <v>826</v>
      </c>
      <c r="H497">
        <v>917</v>
      </c>
      <c r="I497">
        <v>22302</v>
      </c>
      <c r="J497">
        <v>24759</v>
      </c>
      <c r="K497">
        <v>2457</v>
      </c>
    </row>
    <row r="498" spans="1:11" x14ac:dyDescent="0.3">
      <c r="A498" s="10">
        <v>45625</v>
      </c>
      <c r="B498" t="s">
        <v>27</v>
      </c>
      <c r="C498" t="s">
        <v>40</v>
      </c>
      <c r="D498" t="s">
        <v>25</v>
      </c>
      <c r="E498" t="s">
        <v>14</v>
      </c>
      <c r="F498">
        <v>27</v>
      </c>
      <c r="G498">
        <v>573</v>
      </c>
      <c r="H498">
        <v>1266</v>
      </c>
      <c r="I498">
        <v>15471</v>
      </c>
      <c r="J498">
        <v>34182</v>
      </c>
      <c r="K498">
        <v>18711</v>
      </c>
    </row>
    <row r="499" spans="1:11" x14ac:dyDescent="0.3">
      <c r="A499" s="10">
        <v>45627</v>
      </c>
      <c r="B499" t="s">
        <v>27</v>
      </c>
      <c r="C499" t="s">
        <v>40</v>
      </c>
      <c r="D499" t="s">
        <v>34</v>
      </c>
      <c r="E499" t="s">
        <v>14</v>
      </c>
      <c r="F499">
        <v>28</v>
      </c>
      <c r="G499">
        <v>798</v>
      </c>
      <c r="H499">
        <v>1131</v>
      </c>
      <c r="I499">
        <v>22344</v>
      </c>
      <c r="J499">
        <v>31668</v>
      </c>
      <c r="K499">
        <v>9324</v>
      </c>
    </row>
    <row r="500" spans="1:11" x14ac:dyDescent="0.3">
      <c r="A500" s="10">
        <v>45628</v>
      </c>
      <c r="B500" t="s">
        <v>27</v>
      </c>
      <c r="C500" t="s">
        <v>40</v>
      </c>
      <c r="D500" t="s">
        <v>34</v>
      </c>
      <c r="E500" t="s">
        <v>14</v>
      </c>
      <c r="F500">
        <v>25</v>
      </c>
      <c r="G500">
        <v>982</v>
      </c>
      <c r="H500">
        <v>1479</v>
      </c>
      <c r="I500">
        <v>24550</v>
      </c>
      <c r="J500">
        <v>36975</v>
      </c>
      <c r="K500">
        <v>12425</v>
      </c>
    </row>
    <row r="501" spans="1:11" x14ac:dyDescent="0.3">
      <c r="A501" s="10">
        <v>45549</v>
      </c>
      <c r="B501" t="s">
        <v>11</v>
      </c>
      <c r="C501" t="s">
        <v>24</v>
      </c>
      <c r="D501" t="s">
        <v>23</v>
      </c>
      <c r="E501" t="s">
        <v>14</v>
      </c>
      <c r="F501">
        <v>19</v>
      </c>
      <c r="G501">
        <v>938</v>
      </c>
      <c r="H501">
        <v>1348</v>
      </c>
      <c r="I501">
        <v>17822</v>
      </c>
      <c r="J501">
        <v>25612</v>
      </c>
      <c r="K501">
        <v>7790</v>
      </c>
    </row>
    <row r="502" spans="1:11" x14ac:dyDescent="0.3">
      <c r="A502" s="10">
        <v>45630</v>
      </c>
      <c r="B502" t="s">
        <v>27</v>
      </c>
      <c r="C502" t="s">
        <v>40</v>
      </c>
      <c r="D502" t="s">
        <v>25</v>
      </c>
      <c r="E502" t="s">
        <v>19</v>
      </c>
      <c r="F502">
        <v>29</v>
      </c>
      <c r="G502">
        <v>841</v>
      </c>
      <c r="H502">
        <v>854</v>
      </c>
      <c r="I502">
        <v>24389</v>
      </c>
      <c r="J502">
        <v>24766</v>
      </c>
      <c r="K502">
        <v>377</v>
      </c>
    </row>
    <row r="503" spans="1:11" x14ac:dyDescent="0.3">
      <c r="A503" s="10">
        <v>45631</v>
      </c>
      <c r="B503" t="s">
        <v>27</v>
      </c>
      <c r="C503" t="s">
        <v>40</v>
      </c>
      <c r="D503" t="s">
        <v>20</v>
      </c>
      <c r="E503" t="s">
        <v>19</v>
      </c>
      <c r="F503">
        <v>21</v>
      </c>
      <c r="G503">
        <v>691</v>
      </c>
      <c r="H503">
        <v>1142</v>
      </c>
      <c r="I503">
        <v>14511</v>
      </c>
      <c r="J503">
        <v>23982</v>
      </c>
      <c r="K503">
        <v>9471</v>
      </c>
    </row>
    <row r="504" spans="1:11" x14ac:dyDescent="0.3">
      <c r="A504" s="10">
        <v>45632</v>
      </c>
      <c r="B504" t="s">
        <v>27</v>
      </c>
      <c r="C504" t="s">
        <v>40</v>
      </c>
      <c r="D504" t="s">
        <v>39</v>
      </c>
      <c r="E504" t="s">
        <v>19</v>
      </c>
      <c r="F504">
        <v>24</v>
      </c>
      <c r="G504">
        <v>526</v>
      </c>
      <c r="H504">
        <v>808</v>
      </c>
      <c r="I504">
        <v>12624</v>
      </c>
      <c r="J504">
        <v>19392</v>
      </c>
      <c r="K504">
        <v>6768</v>
      </c>
    </row>
    <row r="505" spans="1:11" x14ac:dyDescent="0.3">
      <c r="A505" s="10">
        <v>45633</v>
      </c>
      <c r="B505" t="s">
        <v>27</v>
      </c>
      <c r="C505" t="s">
        <v>40</v>
      </c>
      <c r="D505" t="s">
        <v>26</v>
      </c>
      <c r="E505" t="s">
        <v>14</v>
      </c>
      <c r="F505">
        <v>29</v>
      </c>
      <c r="G505">
        <v>932</v>
      </c>
      <c r="H505">
        <v>1316</v>
      </c>
      <c r="I505">
        <v>27028</v>
      </c>
      <c r="J505">
        <v>38164</v>
      </c>
      <c r="K505">
        <v>11136</v>
      </c>
    </row>
    <row r="506" spans="1:11" x14ac:dyDescent="0.3">
      <c r="A506" s="10">
        <v>45554</v>
      </c>
      <c r="B506" t="s">
        <v>11</v>
      </c>
      <c r="C506" t="s">
        <v>24</v>
      </c>
      <c r="D506" t="s">
        <v>25</v>
      </c>
      <c r="E506" t="s">
        <v>19</v>
      </c>
      <c r="F506">
        <v>17</v>
      </c>
      <c r="G506">
        <v>614</v>
      </c>
      <c r="H506">
        <v>1273</v>
      </c>
      <c r="I506">
        <v>10438</v>
      </c>
      <c r="J506">
        <v>21641</v>
      </c>
      <c r="K506">
        <v>11203</v>
      </c>
    </row>
    <row r="507" spans="1:11" x14ac:dyDescent="0.3">
      <c r="A507" s="10">
        <v>45635</v>
      </c>
      <c r="B507" t="s">
        <v>27</v>
      </c>
      <c r="C507" t="s">
        <v>40</v>
      </c>
      <c r="D507" t="s">
        <v>44</v>
      </c>
      <c r="E507" t="s">
        <v>19</v>
      </c>
      <c r="F507">
        <v>22</v>
      </c>
      <c r="G507">
        <v>603</v>
      </c>
      <c r="H507">
        <v>794</v>
      </c>
      <c r="I507">
        <v>13266</v>
      </c>
      <c r="J507">
        <v>17468</v>
      </c>
      <c r="K507">
        <v>4202</v>
      </c>
    </row>
    <row r="508" spans="1:11" x14ac:dyDescent="0.3">
      <c r="A508" s="10">
        <v>45689</v>
      </c>
      <c r="B508" t="s">
        <v>27</v>
      </c>
      <c r="C508" t="s">
        <v>40</v>
      </c>
      <c r="D508" t="s">
        <v>26</v>
      </c>
      <c r="E508" t="s">
        <v>14</v>
      </c>
      <c r="F508">
        <v>30</v>
      </c>
      <c r="G508">
        <v>946</v>
      </c>
      <c r="H508">
        <v>1109</v>
      </c>
      <c r="I508">
        <v>28380</v>
      </c>
      <c r="J508">
        <v>33270</v>
      </c>
      <c r="K508">
        <v>4890</v>
      </c>
    </row>
    <row r="509" spans="1:11" x14ac:dyDescent="0.3">
      <c r="A509" s="10">
        <v>45690</v>
      </c>
      <c r="B509" t="s">
        <v>27</v>
      </c>
      <c r="C509" t="s">
        <v>40</v>
      </c>
      <c r="D509" t="s">
        <v>43</v>
      </c>
      <c r="E509" t="s">
        <v>14</v>
      </c>
      <c r="F509">
        <v>24</v>
      </c>
      <c r="G509">
        <v>580</v>
      </c>
      <c r="H509">
        <v>809</v>
      </c>
      <c r="I509">
        <v>13920</v>
      </c>
      <c r="J509">
        <v>19416</v>
      </c>
      <c r="K509">
        <v>5496</v>
      </c>
    </row>
    <row r="510" spans="1:11" x14ac:dyDescent="0.3">
      <c r="A510" s="10">
        <v>45691</v>
      </c>
      <c r="B510" t="s">
        <v>27</v>
      </c>
      <c r="C510" t="s">
        <v>40</v>
      </c>
      <c r="D510" t="s">
        <v>44</v>
      </c>
      <c r="E510" t="s">
        <v>14</v>
      </c>
      <c r="F510">
        <v>30</v>
      </c>
      <c r="G510">
        <v>732</v>
      </c>
      <c r="H510">
        <v>944</v>
      </c>
      <c r="I510">
        <v>21960</v>
      </c>
      <c r="J510">
        <v>28320</v>
      </c>
      <c r="K510">
        <v>6360</v>
      </c>
    </row>
    <row r="511" spans="1:11" x14ac:dyDescent="0.3">
      <c r="A511" s="10">
        <v>45692</v>
      </c>
      <c r="B511" t="s">
        <v>27</v>
      </c>
      <c r="C511" t="s">
        <v>40</v>
      </c>
      <c r="D511" t="s">
        <v>13</v>
      </c>
      <c r="E511" t="s">
        <v>19</v>
      </c>
      <c r="F511">
        <v>20</v>
      </c>
      <c r="G511">
        <v>552</v>
      </c>
      <c r="H511">
        <v>1261</v>
      </c>
      <c r="I511">
        <v>11040</v>
      </c>
      <c r="J511">
        <v>25220</v>
      </c>
      <c r="K511">
        <v>14180</v>
      </c>
    </row>
    <row r="512" spans="1:11" x14ac:dyDescent="0.3">
      <c r="A512" s="10">
        <v>45693</v>
      </c>
      <c r="B512" t="s">
        <v>27</v>
      </c>
      <c r="C512" t="s">
        <v>40</v>
      </c>
      <c r="D512" t="s">
        <v>15</v>
      </c>
      <c r="E512" t="s">
        <v>19</v>
      </c>
      <c r="F512">
        <v>21</v>
      </c>
      <c r="G512">
        <v>876</v>
      </c>
      <c r="H512">
        <v>1452</v>
      </c>
      <c r="I512">
        <v>18396</v>
      </c>
      <c r="J512">
        <v>30492</v>
      </c>
      <c r="K512">
        <v>12096</v>
      </c>
    </row>
    <row r="513" spans="1:11" x14ac:dyDescent="0.3">
      <c r="A513" s="10">
        <v>45694</v>
      </c>
      <c r="B513" t="s">
        <v>27</v>
      </c>
      <c r="C513" t="s">
        <v>40</v>
      </c>
      <c r="D513" t="s">
        <v>16</v>
      </c>
      <c r="E513" t="s">
        <v>19</v>
      </c>
      <c r="F513">
        <v>27</v>
      </c>
      <c r="G513">
        <v>636</v>
      </c>
      <c r="H513">
        <v>1284</v>
      </c>
      <c r="I513">
        <v>17172</v>
      </c>
      <c r="J513">
        <v>34668</v>
      </c>
      <c r="K513">
        <v>17496</v>
      </c>
    </row>
    <row r="514" spans="1:11" x14ac:dyDescent="0.3">
      <c r="A514" s="10">
        <v>45695</v>
      </c>
      <c r="B514" t="s">
        <v>27</v>
      </c>
      <c r="C514" t="s">
        <v>40</v>
      </c>
      <c r="D514" t="s">
        <v>17</v>
      </c>
      <c r="E514" t="s">
        <v>19</v>
      </c>
      <c r="F514">
        <v>21</v>
      </c>
      <c r="G514">
        <v>974</v>
      </c>
      <c r="H514">
        <v>1363</v>
      </c>
      <c r="I514">
        <v>20454</v>
      </c>
      <c r="J514">
        <v>28623</v>
      </c>
      <c r="K514">
        <v>8169</v>
      </c>
    </row>
    <row r="515" spans="1:11" x14ac:dyDescent="0.3">
      <c r="A515" s="10">
        <v>45563</v>
      </c>
      <c r="B515" t="s">
        <v>11</v>
      </c>
      <c r="C515" t="s">
        <v>12</v>
      </c>
      <c r="D515" t="s">
        <v>25</v>
      </c>
      <c r="E515" t="s">
        <v>14</v>
      </c>
      <c r="F515">
        <v>10</v>
      </c>
      <c r="G515">
        <v>572</v>
      </c>
      <c r="H515">
        <v>801</v>
      </c>
      <c r="I515">
        <v>5720</v>
      </c>
      <c r="J515">
        <v>8010</v>
      </c>
      <c r="K515">
        <v>2290</v>
      </c>
    </row>
    <row r="516" spans="1:11" x14ac:dyDescent="0.3">
      <c r="A516" s="10">
        <v>45696</v>
      </c>
      <c r="B516" t="s">
        <v>27</v>
      </c>
      <c r="C516" t="s">
        <v>40</v>
      </c>
      <c r="D516" t="s">
        <v>17</v>
      </c>
      <c r="E516" t="s">
        <v>19</v>
      </c>
      <c r="F516">
        <v>30</v>
      </c>
      <c r="G516">
        <v>518</v>
      </c>
      <c r="H516">
        <v>858</v>
      </c>
      <c r="I516">
        <v>15540</v>
      </c>
      <c r="J516">
        <v>25740</v>
      </c>
      <c r="K516">
        <v>10200</v>
      </c>
    </row>
    <row r="517" spans="1:11" x14ac:dyDescent="0.3">
      <c r="A517" s="10">
        <v>45565</v>
      </c>
      <c r="B517" t="s">
        <v>11</v>
      </c>
      <c r="C517" t="s">
        <v>12</v>
      </c>
      <c r="D517" t="s">
        <v>34</v>
      </c>
      <c r="E517" t="s">
        <v>14</v>
      </c>
      <c r="F517">
        <v>12</v>
      </c>
      <c r="G517">
        <v>674</v>
      </c>
      <c r="H517">
        <v>1265</v>
      </c>
      <c r="I517">
        <v>8088</v>
      </c>
      <c r="J517">
        <v>15180</v>
      </c>
      <c r="K517">
        <v>7092</v>
      </c>
    </row>
    <row r="518" spans="1:11" x14ac:dyDescent="0.3">
      <c r="A518" s="10">
        <v>45697</v>
      </c>
      <c r="B518" t="s">
        <v>27</v>
      </c>
      <c r="C518" t="s">
        <v>40</v>
      </c>
      <c r="D518" t="s">
        <v>18</v>
      </c>
      <c r="E518" t="s">
        <v>14</v>
      </c>
      <c r="F518">
        <v>21</v>
      </c>
      <c r="G518">
        <v>531</v>
      </c>
      <c r="H518">
        <v>955</v>
      </c>
      <c r="I518">
        <v>11151</v>
      </c>
      <c r="J518">
        <v>20055</v>
      </c>
      <c r="K518">
        <v>8904</v>
      </c>
    </row>
    <row r="519" spans="1:11" x14ac:dyDescent="0.3">
      <c r="A519" s="10">
        <v>45699</v>
      </c>
      <c r="B519" t="s">
        <v>27</v>
      </c>
      <c r="C519" t="s">
        <v>40</v>
      </c>
      <c r="D519" t="s">
        <v>23</v>
      </c>
      <c r="E519" t="s">
        <v>14</v>
      </c>
      <c r="F519">
        <v>26</v>
      </c>
      <c r="G519">
        <v>842</v>
      </c>
      <c r="H519">
        <v>1074</v>
      </c>
      <c r="I519">
        <v>21892</v>
      </c>
      <c r="J519">
        <v>27924</v>
      </c>
      <c r="K519">
        <v>6032</v>
      </c>
    </row>
    <row r="520" spans="1:11" x14ac:dyDescent="0.3">
      <c r="A520" s="10">
        <v>45387</v>
      </c>
      <c r="B520" t="s">
        <v>21</v>
      </c>
      <c r="C520" t="s">
        <v>22</v>
      </c>
      <c r="D520" t="s">
        <v>36</v>
      </c>
      <c r="E520" t="s">
        <v>19</v>
      </c>
      <c r="F520">
        <v>95</v>
      </c>
      <c r="G520">
        <v>936</v>
      </c>
      <c r="H520">
        <v>1350</v>
      </c>
      <c r="I520">
        <v>88920</v>
      </c>
      <c r="J520">
        <v>128250</v>
      </c>
      <c r="K520">
        <v>39330</v>
      </c>
    </row>
    <row r="521" spans="1:11" x14ac:dyDescent="0.3">
      <c r="A521" s="10">
        <v>45388</v>
      </c>
      <c r="B521" t="s">
        <v>21</v>
      </c>
      <c r="C521" t="s">
        <v>22</v>
      </c>
      <c r="D521" t="s">
        <v>37</v>
      </c>
      <c r="E521" t="s">
        <v>19</v>
      </c>
      <c r="F521">
        <v>84</v>
      </c>
      <c r="G521">
        <v>784</v>
      </c>
      <c r="H521">
        <v>965</v>
      </c>
      <c r="I521">
        <v>65856</v>
      </c>
      <c r="J521">
        <v>81060</v>
      </c>
      <c r="K521">
        <v>15204</v>
      </c>
    </row>
    <row r="522" spans="1:11" x14ac:dyDescent="0.3">
      <c r="A522" s="10">
        <v>45390</v>
      </c>
      <c r="B522" t="s">
        <v>21</v>
      </c>
      <c r="C522" t="s">
        <v>22</v>
      </c>
      <c r="D522" t="s">
        <v>26</v>
      </c>
      <c r="E522" t="s">
        <v>19</v>
      </c>
      <c r="F522">
        <v>51</v>
      </c>
      <c r="G522">
        <v>847</v>
      </c>
      <c r="H522">
        <v>972</v>
      </c>
      <c r="I522">
        <v>43197</v>
      </c>
      <c r="J522">
        <v>49572</v>
      </c>
      <c r="K522">
        <v>6375</v>
      </c>
    </row>
    <row r="523" spans="1:11" x14ac:dyDescent="0.3">
      <c r="A523" s="10">
        <v>45571</v>
      </c>
      <c r="B523" t="s">
        <v>21</v>
      </c>
      <c r="C523" t="s">
        <v>38</v>
      </c>
      <c r="D523" t="s">
        <v>26</v>
      </c>
      <c r="E523" t="s">
        <v>14</v>
      </c>
      <c r="F523">
        <v>52</v>
      </c>
      <c r="G523">
        <v>546</v>
      </c>
      <c r="H523">
        <v>1482</v>
      </c>
      <c r="I523">
        <v>28392</v>
      </c>
      <c r="J523">
        <v>77064</v>
      </c>
      <c r="K523">
        <v>48672</v>
      </c>
    </row>
    <row r="524" spans="1:11" x14ac:dyDescent="0.3">
      <c r="A524" s="10">
        <v>45397</v>
      </c>
      <c r="B524" t="s">
        <v>21</v>
      </c>
      <c r="C524" t="s">
        <v>45</v>
      </c>
      <c r="D524" t="s">
        <v>26</v>
      </c>
      <c r="E524" t="s">
        <v>14</v>
      </c>
      <c r="F524">
        <v>68</v>
      </c>
      <c r="G524">
        <v>534</v>
      </c>
      <c r="H524">
        <v>1085</v>
      </c>
      <c r="I524">
        <v>36312</v>
      </c>
      <c r="J524">
        <v>73780</v>
      </c>
      <c r="K524">
        <v>37468</v>
      </c>
    </row>
    <row r="525" spans="1:11" x14ac:dyDescent="0.3">
      <c r="A525" s="10">
        <v>45398</v>
      </c>
      <c r="B525" t="s">
        <v>21</v>
      </c>
      <c r="C525" t="s">
        <v>45</v>
      </c>
      <c r="D525" t="s">
        <v>29</v>
      </c>
      <c r="E525" t="s">
        <v>14</v>
      </c>
      <c r="F525">
        <v>68</v>
      </c>
      <c r="G525">
        <v>575</v>
      </c>
      <c r="H525">
        <v>1242</v>
      </c>
      <c r="I525">
        <v>39100</v>
      </c>
      <c r="J525">
        <v>84456</v>
      </c>
      <c r="K525">
        <v>45356</v>
      </c>
    </row>
    <row r="526" spans="1:11" x14ac:dyDescent="0.3">
      <c r="A526" s="10">
        <v>45399</v>
      </c>
      <c r="B526" t="s">
        <v>21</v>
      </c>
      <c r="C526" t="s">
        <v>45</v>
      </c>
      <c r="D526" t="s">
        <v>18</v>
      </c>
      <c r="E526" t="s">
        <v>14</v>
      </c>
      <c r="F526">
        <v>79</v>
      </c>
      <c r="G526">
        <v>537</v>
      </c>
      <c r="H526">
        <v>850</v>
      </c>
      <c r="I526">
        <v>42423</v>
      </c>
      <c r="J526">
        <v>67150</v>
      </c>
      <c r="K526">
        <v>24727</v>
      </c>
    </row>
    <row r="527" spans="1:11" x14ac:dyDescent="0.3">
      <c r="A527" s="10">
        <v>45400</v>
      </c>
      <c r="B527" t="s">
        <v>21</v>
      </c>
      <c r="C527" t="s">
        <v>45</v>
      </c>
      <c r="D527" t="s">
        <v>30</v>
      </c>
      <c r="E527" t="s">
        <v>14</v>
      </c>
      <c r="F527">
        <v>65</v>
      </c>
      <c r="G527">
        <v>935</v>
      </c>
      <c r="H527">
        <v>752</v>
      </c>
      <c r="I527">
        <v>60775</v>
      </c>
      <c r="J527">
        <v>48880</v>
      </c>
      <c r="K527">
        <v>-11895</v>
      </c>
    </row>
    <row r="528" spans="1:11" x14ac:dyDescent="0.3">
      <c r="A528" s="10">
        <v>45401</v>
      </c>
      <c r="B528" t="s">
        <v>21</v>
      </c>
      <c r="C528" t="s">
        <v>45</v>
      </c>
      <c r="D528" t="s">
        <v>31</v>
      </c>
      <c r="E528" t="s">
        <v>14</v>
      </c>
      <c r="F528">
        <v>66</v>
      </c>
      <c r="G528">
        <v>709</v>
      </c>
      <c r="H528">
        <v>1021</v>
      </c>
      <c r="I528">
        <v>46794</v>
      </c>
      <c r="J528">
        <v>67386</v>
      </c>
      <c r="K528">
        <v>20592</v>
      </c>
    </row>
    <row r="529" spans="1:11" x14ac:dyDescent="0.3">
      <c r="A529" s="10">
        <v>45402</v>
      </c>
      <c r="B529" t="s">
        <v>21</v>
      </c>
      <c r="C529" t="s">
        <v>45</v>
      </c>
      <c r="D529" t="s">
        <v>23</v>
      </c>
      <c r="E529" t="s">
        <v>19</v>
      </c>
      <c r="F529">
        <v>70</v>
      </c>
      <c r="G529">
        <v>751</v>
      </c>
      <c r="H529">
        <v>1485</v>
      </c>
      <c r="I529">
        <v>52570</v>
      </c>
      <c r="J529">
        <v>103950</v>
      </c>
      <c r="K529">
        <v>51380</v>
      </c>
    </row>
    <row r="530" spans="1:11" x14ac:dyDescent="0.3">
      <c r="A530" s="10">
        <v>45578</v>
      </c>
      <c r="B530" t="s">
        <v>21</v>
      </c>
      <c r="C530" t="s">
        <v>41</v>
      </c>
      <c r="D530" t="s">
        <v>17</v>
      </c>
      <c r="E530" t="s">
        <v>19</v>
      </c>
      <c r="F530">
        <v>86</v>
      </c>
      <c r="G530">
        <v>717</v>
      </c>
      <c r="H530">
        <v>1445</v>
      </c>
      <c r="I530">
        <v>61662</v>
      </c>
      <c r="J530">
        <v>124270</v>
      </c>
      <c r="K530">
        <v>62608</v>
      </c>
    </row>
    <row r="531" spans="1:11" x14ac:dyDescent="0.3">
      <c r="A531" s="10">
        <v>45403</v>
      </c>
      <c r="B531" t="s">
        <v>21</v>
      </c>
      <c r="C531" t="s">
        <v>45</v>
      </c>
      <c r="D531" t="s">
        <v>25</v>
      </c>
      <c r="E531" t="s">
        <v>19</v>
      </c>
      <c r="F531">
        <v>75</v>
      </c>
      <c r="G531">
        <v>686</v>
      </c>
      <c r="H531">
        <v>1254</v>
      </c>
      <c r="I531">
        <v>51450</v>
      </c>
      <c r="J531">
        <v>94050</v>
      </c>
      <c r="K531">
        <v>42600</v>
      </c>
    </row>
    <row r="532" spans="1:11" x14ac:dyDescent="0.3">
      <c r="A532" s="10">
        <v>45431</v>
      </c>
      <c r="B532" t="s">
        <v>21</v>
      </c>
      <c r="C532" t="s">
        <v>38</v>
      </c>
      <c r="D532" t="s">
        <v>32</v>
      </c>
      <c r="E532" t="s">
        <v>19</v>
      </c>
      <c r="F532">
        <v>91</v>
      </c>
      <c r="G532">
        <v>518</v>
      </c>
      <c r="H532">
        <v>1465</v>
      </c>
      <c r="I532">
        <v>47138</v>
      </c>
      <c r="J532">
        <v>133315</v>
      </c>
      <c r="K532">
        <v>86177</v>
      </c>
    </row>
    <row r="533" spans="1:11" x14ac:dyDescent="0.3">
      <c r="A533" s="10">
        <v>45433</v>
      </c>
      <c r="B533" t="s">
        <v>21</v>
      </c>
      <c r="C533" t="s">
        <v>38</v>
      </c>
      <c r="D533" t="s">
        <v>25</v>
      </c>
      <c r="E533" t="s">
        <v>14</v>
      </c>
      <c r="F533">
        <v>96</v>
      </c>
      <c r="G533">
        <v>791</v>
      </c>
      <c r="H533">
        <v>931</v>
      </c>
      <c r="I533">
        <v>75936</v>
      </c>
      <c r="J533">
        <v>89376</v>
      </c>
      <c r="K533">
        <v>13440</v>
      </c>
    </row>
    <row r="534" spans="1:11" x14ac:dyDescent="0.3">
      <c r="A534" s="10">
        <v>45434</v>
      </c>
      <c r="B534" t="s">
        <v>21</v>
      </c>
      <c r="C534" t="s">
        <v>38</v>
      </c>
      <c r="D534" t="s">
        <v>25</v>
      </c>
      <c r="E534" t="s">
        <v>14</v>
      </c>
      <c r="F534">
        <v>69</v>
      </c>
      <c r="G534">
        <v>864</v>
      </c>
      <c r="H534">
        <v>935</v>
      </c>
      <c r="I534">
        <v>59616</v>
      </c>
      <c r="J534">
        <v>64515</v>
      </c>
      <c r="K534">
        <v>4899</v>
      </c>
    </row>
    <row r="535" spans="1:11" x14ac:dyDescent="0.3">
      <c r="A535" s="10">
        <v>45583</v>
      </c>
      <c r="B535" t="s">
        <v>11</v>
      </c>
      <c r="C535" t="s">
        <v>24</v>
      </c>
      <c r="D535" t="s">
        <v>31</v>
      </c>
      <c r="E535" t="s">
        <v>14</v>
      </c>
      <c r="F535">
        <v>20</v>
      </c>
      <c r="G535">
        <v>784</v>
      </c>
      <c r="H535">
        <v>1320</v>
      </c>
      <c r="I535">
        <v>15680</v>
      </c>
      <c r="J535">
        <v>26400</v>
      </c>
      <c r="K535">
        <v>10720</v>
      </c>
    </row>
    <row r="536" spans="1:11" x14ac:dyDescent="0.3">
      <c r="A536" s="10">
        <v>45435</v>
      </c>
      <c r="B536" t="s">
        <v>21</v>
      </c>
      <c r="C536" t="s">
        <v>38</v>
      </c>
      <c r="D536" t="s">
        <v>26</v>
      </c>
      <c r="E536" t="s">
        <v>14</v>
      </c>
      <c r="F536">
        <v>55</v>
      </c>
      <c r="G536">
        <v>782</v>
      </c>
      <c r="H536">
        <v>1335</v>
      </c>
      <c r="I536">
        <v>43010</v>
      </c>
      <c r="J536">
        <v>73425</v>
      </c>
      <c r="K536">
        <v>30415</v>
      </c>
    </row>
    <row r="537" spans="1:11" x14ac:dyDescent="0.3">
      <c r="A537" s="10">
        <v>45436</v>
      </c>
      <c r="B537" t="s">
        <v>21</v>
      </c>
      <c r="C537" t="s">
        <v>38</v>
      </c>
      <c r="D537" t="s">
        <v>18</v>
      </c>
      <c r="E537" t="s">
        <v>14</v>
      </c>
      <c r="F537">
        <v>71</v>
      </c>
      <c r="G537">
        <v>653</v>
      </c>
      <c r="H537">
        <v>963</v>
      </c>
      <c r="I537">
        <v>46363</v>
      </c>
      <c r="J537">
        <v>68373</v>
      </c>
      <c r="K537">
        <v>22010</v>
      </c>
    </row>
    <row r="538" spans="1:11" x14ac:dyDescent="0.3">
      <c r="A538" s="10">
        <v>45586</v>
      </c>
      <c r="B538" t="s">
        <v>11</v>
      </c>
      <c r="C538" t="s">
        <v>24</v>
      </c>
      <c r="D538" t="s">
        <v>25</v>
      </c>
      <c r="E538" t="s">
        <v>14</v>
      </c>
      <c r="F538">
        <v>19</v>
      </c>
      <c r="G538">
        <v>664</v>
      </c>
      <c r="H538">
        <v>1091</v>
      </c>
      <c r="I538">
        <v>12616</v>
      </c>
      <c r="J538">
        <v>20729</v>
      </c>
      <c r="K538">
        <v>8113</v>
      </c>
    </row>
    <row r="539" spans="1:11" x14ac:dyDescent="0.3">
      <c r="A539" s="10">
        <v>45437</v>
      </c>
      <c r="B539" t="s">
        <v>21</v>
      </c>
      <c r="C539" t="s">
        <v>38</v>
      </c>
      <c r="D539" t="s">
        <v>26</v>
      </c>
      <c r="E539" t="s">
        <v>14</v>
      </c>
      <c r="F539">
        <v>88</v>
      </c>
      <c r="G539">
        <v>959</v>
      </c>
      <c r="H539">
        <v>985</v>
      </c>
      <c r="I539">
        <v>84392</v>
      </c>
      <c r="J539">
        <v>86680</v>
      </c>
      <c r="K539">
        <v>2288</v>
      </c>
    </row>
    <row r="540" spans="1:11" x14ac:dyDescent="0.3">
      <c r="A540" s="10">
        <v>45588</v>
      </c>
      <c r="B540" t="s">
        <v>27</v>
      </c>
      <c r="C540" t="s">
        <v>28</v>
      </c>
      <c r="D540" t="s">
        <v>34</v>
      </c>
      <c r="E540" t="s">
        <v>14</v>
      </c>
      <c r="F540">
        <v>26</v>
      </c>
      <c r="G540">
        <v>674</v>
      </c>
      <c r="H540">
        <v>857</v>
      </c>
      <c r="I540">
        <v>17524</v>
      </c>
      <c r="J540">
        <v>22282</v>
      </c>
      <c r="K540">
        <v>4758</v>
      </c>
    </row>
    <row r="541" spans="1:11" x14ac:dyDescent="0.3">
      <c r="A541" s="10">
        <v>45438</v>
      </c>
      <c r="B541" t="s">
        <v>21</v>
      </c>
      <c r="C541" t="s">
        <v>38</v>
      </c>
      <c r="D541" t="s">
        <v>29</v>
      </c>
      <c r="E541" t="s">
        <v>14</v>
      </c>
      <c r="F541">
        <v>72</v>
      </c>
      <c r="G541">
        <v>805</v>
      </c>
      <c r="H541">
        <v>826</v>
      </c>
      <c r="I541">
        <v>57960</v>
      </c>
      <c r="J541">
        <v>59472</v>
      </c>
      <c r="K541">
        <v>1512</v>
      </c>
    </row>
    <row r="542" spans="1:11" x14ac:dyDescent="0.3">
      <c r="A542" s="10">
        <v>45590</v>
      </c>
      <c r="B542" t="s">
        <v>27</v>
      </c>
      <c r="C542" t="s">
        <v>42</v>
      </c>
      <c r="D542" t="s">
        <v>25</v>
      </c>
      <c r="E542" t="s">
        <v>19</v>
      </c>
      <c r="F542">
        <v>29</v>
      </c>
      <c r="G542">
        <v>774</v>
      </c>
      <c r="H542">
        <v>793</v>
      </c>
      <c r="I542">
        <v>22446</v>
      </c>
      <c r="J542">
        <v>22997</v>
      </c>
      <c r="K542">
        <v>551</v>
      </c>
    </row>
    <row r="543" spans="1:11" x14ac:dyDescent="0.3">
      <c r="A543" s="10">
        <v>45439</v>
      </c>
      <c r="B543" t="s">
        <v>21</v>
      </c>
      <c r="C543" t="s">
        <v>38</v>
      </c>
      <c r="D543" t="s">
        <v>18</v>
      </c>
      <c r="E543" t="s">
        <v>14</v>
      </c>
      <c r="F543">
        <v>53</v>
      </c>
      <c r="G543">
        <v>665</v>
      </c>
      <c r="H543">
        <v>1206</v>
      </c>
      <c r="I543">
        <v>35245</v>
      </c>
      <c r="J543">
        <v>63918</v>
      </c>
      <c r="K543">
        <v>28673</v>
      </c>
    </row>
    <row r="544" spans="1:11" x14ac:dyDescent="0.3">
      <c r="A544" s="10">
        <v>45440</v>
      </c>
      <c r="B544" t="s">
        <v>21</v>
      </c>
      <c r="C544" t="s">
        <v>38</v>
      </c>
      <c r="D544" t="s">
        <v>30</v>
      </c>
      <c r="E544" t="s">
        <v>19</v>
      </c>
      <c r="F544">
        <v>88</v>
      </c>
      <c r="G544">
        <v>607</v>
      </c>
      <c r="H544">
        <v>1268</v>
      </c>
      <c r="I544">
        <v>53416</v>
      </c>
      <c r="J544">
        <v>111584</v>
      </c>
      <c r="K544">
        <v>58168</v>
      </c>
    </row>
    <row r="545" spans="1:11" x14ac:dyDescent="0.3">
      <c r="A545" s="10">
        <v>45442</v>
      </c>
      <c r="B545" t="s">
        <v>21</v>
      </c>
      <c r="C545" t="s">
        <v>38</v>
      </c>
      <c r="D545" t="s">
        <v>23</v>
      </c>
      <c r="E545" t="s">
        <v>19</v>
      </c>
      <c r="F545">
        <v>99</v>
      </c>
      <c r="G545">
        <v>657</v>
      </c>
      <c r="H545">
        <v>1033</v>
      </c>
      <c r="I545">
        <v>65043</v>
      </c>
      <c r="J545">
        <v>102267</v>
      </c>
      <c r="K545">
        <v>37224</v>
      </c>
    </row>
    <row r="546" spans="1:11" x14ac:dyDescent="0.3">
      <c r="A546" s="10">
        <v>45443</v>
      </c>
      <c r="B546" t="s">
        <v>21</v>
      </c>
      <c r="C546" t="s">
        <v>41</v>
      </c>
      <c r="D546" t="s">
        <v>25</v>
      </c>
      <c r="E546" t="s">
        <v>19</v>
      </c>
      <c r="F546">
        <v>88</v>
      </c>
      <c r="G546">
        <v>977</v>
      </c>
      <c r="H546">
        <v>1402</v>
      </c>
      <c r="I546">
        <v>85976</v>
      </c>
      <c r="J546">
        <v>123376</v>
      </c>
      <c r="K546">
        <v>37400</v>
      </c>
    </row>
    <row r="547" spans="1:11" x14ac:dyDescent="0.3">
      <c r="A547" s="10">
        <v>45444</v>
      </c>
      <c r="B547" t="s">
        <v>21</v>
      </c>
      <c r="C547" t="s">
        <v>41</v>
      </c>
      <c r="D547" t="s">
        <v>25</v>
      </c>
      <c r="E547" t="s">
        <v>14</v>
      </c>
      <c r="F547">
        <v>81</v>
      </c>
      <c r="G547">
        <v>528</v>
      </c>
      <c r="H547">
        <v>872</v>
      </c>
      <c r="I547">
        <v>42768</v>
      </c>
      <c r="J547">
        <v>70632</v>
      </c>
      <c r="K547">
        <v>27864</v>
      </c>
    </row>
    <row r="548" spans="1:11" x14ac:dyDescent="0.3">
      <c r="A548" s="10">
        <v>45445</v>
      </c>
      <c r="B548" t="s">
        <v>21</v>
      </c>
      <c r="C548" t="s">
        <v>41</v>
      </c>
      <c r="D548" t="s">
        <v>34</v>
      </c>
      <c r="E548" t="s">
        <v>19</v>
      </c>
      <c r="F548">
        <v>74</v>
      </c>
      <c r="G548">
        <v>870</v>
      </c>
      <c r="H548">
        <v>1490</v>
      </c>
      <c r="I548">
        <v>64380</v>
      </c>
      <c r="J548">
        <v>110260</v>
      </c>
      <c r="K548">
        <v>45880</v>
      </c>
    </row>
    <row r="549" spans="1:11" x14ac:dyDescent="0.3">
      <c r="A549" s="10">
        <v>45446</v>
      </c>
      <c r="B549" t="s">
        <v>21</v>
      </c>
      <c r="C549" t="s">
        <v>41</v>
      </c>
      <c r="D549" t="s">
        <v>34</v>
      </c>
      <c r="E549" t="s">
        <v>19</v>
      </c>
      <c r="F549">
        <v>83</v>
      </c>
      <c r="G549">
        <v>655</v>
      </c>
      <c r="H549">
        <v>1422</v>
      </c>
      <c r="I549">
        <v>54365</v>
      </c>
      <c r="J549">
        <v>118026</v>
      </c>
      <c r="K549">
        <v>63661</v>
      </c>
    </row>
    <row r="550" spans="1:11" x14ac:dyDescent="0.3">
      <c r="A550" s="10">
        <v>45447</v>
      </c>
      <c r="B550" t="s">
        <v>21</v>
      </c>
      <c r="C550" t="s">
        <v>41</v>
      </c>
      <c r="D550" t="s">
        <v>32</v>
      </c>
      <c r="E550" t="s">
        <v>19</v>
      </c>
      <c r="F550">
        <v>99</v>
      </c>
      <c r="G550">
        <v>649</v>
      </c>
      <c r="H550">
        <v>1415</v>
      </c>
      <c r="I550">
        <v>64251</v>
      </c>
      <c r="J550">
        <v>140085</v>
      </c>
      <c r="K550">
        <v>75834</v>
      </c>
    </row>
    <row r="551" spans="1:11" x14ac:dyDescent="0.3">
      <c r="A551" s="10">
        <v>45448</v>
      </c>
      <c r="B551" t="s">
        <v>21</v>
      </c>
      <c r="C551" t="s">
        <v>41</v>
      </c>
      <c r="D551" t="s">
        <v>25</v>
      </c>
      <c r="E551" t="s">
        <v>19</v>
      </c>
      <c r="F551">
        <v>97</v>
      </c>
      <c r="G551">
        <v>917</v>
      </c>
      <c r="H551">
        <v>844</v>
      </c>
      <c r="I551">
        <v>88949</v>
      </c>
      <c r="J551">
        <v>81868</v>
      </c>
      <c r="K551">
        <v>-7081</v>
      </c>
    </row>
    <row r="552" spans="1:11" x14ac:dyDescent="0.3">
      <c r="A552" s="10">
        <v>45449</v>
      </c>
      <c r="B552" t="s">
        <v>21</v>
      </c>
      <c r="C552" t="s">
        <v>41</v>
      </c>
      <c r="D552" t="s">
        <v>20</v>
      </c>
      <c r="E552" t="s">
        <v>14</v>
      </c>
      <c r="F552">
        <v>57</v>
      </c>
      <c r="G552">
        <v>793</v>
      </c>
      <c r="H552">
        <v>761</v>
      </c>
      <c r="I552">
        <v>45201</v>
      </c>
      <c r="J552">
        <v>43377</v>
      </c>
      <c r="K552">
        <v>-1824</v>
      </c>
    </row>
    <row r="553" spans="1:11" x14ac:dyDescent="0.3">
      <c r="A553" s="10">
        <v>45450</v>
      </c>
      <c r="B553" t="s">
        <v>21</v>
      </c>
      <c r="C553" t="s">
        <v>41</v>
      </c>
      <c r="D553" t="s">
        <v>39</v>
      </c>
      <c r="E553" t="s">
        <v>14</v>
      </c>
      <c r="F553">
        <v>84</v>
      </c>
      <c r="G553">
        <v>931</v>
      </c>
      <c r="H553">
        <v>1475</v>
      </c>
      <c r="I553">
        <v>78204</v>
      </c>
      <c r="J553">
        <v>123900</v>
      </c>
      <c r="K553">
        <v>45696</v>
      </c>
    </row>
    <row r="554" spans="1:11" x14ac:dyDescent="0.3">
      <c r="A554" s="10">
        <v>45602</v>
      </c>
      <c r="B554" t="s">
        <v>21</v>
      </c>
      <c r="C554" t="s">
        <v>45</v>
      </c>
      <c r="D554" t="s">
        <v>20</v>
      </c>
      <c r="E554" t="s">
        <v>14</v>
      </c>
      <c r="F554">
        <v>74</v>
      </c>
      <c r="G554">
        <v>714</v>
      </c>
      <c r="H554">
        <v>1148</v>
      </c>
      <c r="I554">
        <v>52836</v>
      </c>
      <c r="J554">
        <v>84952</v>
      </c>
      <c r="K554">
        <v>32116</v>
      </c>
    </row>
    <row r="555" spans="1:11" x14ac:dyDescent="0.3">
      <c r="A555" s="10">
        <v>45451</v>
      </c>
      <c r="B555" t="s">
        <v>21</v>
      </c>
      <c r="C555" t="s">
        <v>41</v>
      </c>
      <c r="D555" t="s">
        <v>26</v>
      </c>
      <c r="E555" t="s">
        <v>14</v>
      </c>
      <c r="F555">
        <v>76</v>
      </c>
      <c r="G555">
        <v>901</v>
      </c>
      <c r="H555">
        <v>1471</v>
      </c>
      <c r="I555">
        <v>68476</v>
      </c>
      <c r="J555">
        <v>111796</v>
      </c>
      <c r="K555">
        <v>43320</v>
      </c>
    </row>
    <row r="556" spans="1:11" x14ac:dyDescent="0.3">
      <c r="A556" s="10">
        <v>45452</v>
      </c>
      <c r="B556" t="s">
        <v>21</v>
      </c>
      <c r="C556" t="s">
        <v>41</v>
      </c>
      <c r="D556" t="s">
        <v>43</v>
      </c>
      <c r="E556" t="s">
        <v>14</v>
      </c>
      <c r="F556">
        <v>93</v>
      </c>
      <c r="G556">
        <v>658</v>
      </c>
      <c r="H556">
        <v>1303</v>
      </c>
      <c r="I556">
        <v>61194</v>
      </c>
      <c r="J556">
        <v>121179</v>
      </c>
      <c r="K556">
        <v>59985</v>
      </c>
    </row>
    <row r="557" spans="1:11" x14ac:dyDescent="0.3">
      <c r="A557" s="10">
        <v>45605</v>
      </c>
      <c r="B557" t="s">
        <v>21</v>
      </c>
      <c r="C557" t="s">
        <v>45</v>
      </c>
      <c r="D557" t="s">
        <v>35</v>
      </c>
      <c r="E557" t="s">
        <v>14</v>
      </c>
      <c r="F557">
        <v>73</v>
      </c>
      <c r="G557">
        <v>957</v>
      </c>
      <c r="H557">
        <v>814</v>
      </c>
      <c r="I557">
        <v>69861</v>
      </c>
      <c r="J557">
        <v>59422</v>
      </c>
      <c r="K557">
        <v>-10439</v>
      </c>
    </row>
    <row r="558" spans="1:11" x14ac:dyDescent="0.3">
      <c r="A558" s="10">
        <v>45453</v>
      </c>
      <c r="B558" t="s">
        <v>21</v>
      </c>
      <c r="C558" t="s">
        <v>41</v>
      </c>
      <c r="D558" t="s">
        <v>44</v>
      </c>
      <c r="E558" t="s">
        <v>14</v>
      </c>
      <c r="F558">
        <v>68</v>
      </c>
      <c r="G558">
        <v>651</v>
      </c>
      <c r="H558">
        <v>1061</v>
      </c>
      <c r="I558">
        <v>44268</v>
      </c>
      <c r="J558">
        <v>72148</v>
      </c>
      <c r="K558">
        <v>27880</v>
      </c>
    </row>
    <row r="559" spans="1:11" x14ac:dyDescent="0.3">
      <c r="A559" s="10">
        <v>45461</v>
      </c>
      <c r="B559" t="s">
        <v>21</v>
      </c>
      <c r="C559" t="s">
        <v>38</v>
      </c>
      <c r="D559" t="s">
        <v>17</v>
      </c>
      <c r="E559" t="s">
        <v>19</v>
      </c>
      <c r="F559">
        <v>98</v>
      </c>
      <c r="G559">
        <v>596</v>
      </c>
      <c r="H559">
        <v>1155</v>
      </c>
      <c r="I559">
        <v>58408</v>
      </c>
      <c r="J559">
        <v>113190</v>
      </c>
      <c r="K559">
        <v>54782</v>
      </c>
    </row>
    <row r="560" spans="1:11" x14ac:dyDescent="0.3">
      <c r="A560" s="10">
        <v>45462</v>
      </c>
      <c r="B560" t="s">
        <v>21</v>
      </c>
      <c r="C560" t="s">
        <v>38</v>
      </c>
      <c r="D560" t="s">
        <v>36</v>
      </c>
      <c r="E560" t="s">
        <v>19</v>
      </c>
      <c r="F560">
        <v>84</v>
      </c>
      <c r="G560">
        <v>911</v>
      </c>
      <c r="H560">
        <v>1370</v>
      </c>
      <c r="I560">
        <v>76524</v>
      </c>
      <c r="J560">
        <v>115080</v>
      </c>
      <c r="K560">
        <v>38556</v>
      </c>
    </row>
    <row r="561" spans="1:11" x14ac:dyDescent="0.3">
      <c r="A561" s="10">
        <v>45463</v>
      </c>
      <c r="B561" t="s">
        <v>21</v>
      </c>
      <c r="C561" t="s">
        <v>38</v>
      </c>
      <c r="D561" t="s">
        <v>35</v>
      </c>
      <c r="E561" t="s">
        <v>19</v>
      </c>
      <c r="F561">
        <v>81</v>
      </c>
      <c r="G561">
        <v>702</v>
      </c>
      <c r="H561">
        <v>1494</v>
      </c>
      <c r="I561">
        <v>56862</v>
      </c>
      <c r="J561">
        <v>121014</v>
      </c>
      <c r="K561">
        <v>64152</v>
      </c>
    </row>
    <row r="562" spans="1:11" x14ac:dyDescent="0.3">
      <c r="A562" s="10">
        <v>45610</v>
      </c>
      <c r="B562" t="s">
        <v>27</v>
      </c>
      <c r="C562" t="s">
        <v>33</v>
      </c>
      <c r="D562" t="s">
        <v>37</v>
      </c>
      <c r="E562" t="s">
        <v>19</v>
      </c>
      <c r="F562">
        <v>24</v>
      </c>
      <c r="G562">
        <v>553</v>
      </c>
      <c r="H562">
        <v>964</v>
      </c>
      <c r="I562">
        <v>13272</v>
      </c>
      <c r="J562">
        <v>23136</v>
      </c>
      <c r="K562">
        <v>9864</v>
      </c>
    </row>
    <row r="563" spans="1:11" x14ac:dyDescent="0.3">
      <c r="A563" s="10">
        <v>45465</v>
      </c>
      <c r="B563" t="s">
        <v>21</v>
      </c>
      <c r="C563" t="s">
        <v>38</v>
      </c>
      <c r="D563" t="s">
        <v>17</v>
      </c>
      <c r="E563" t="s">
        <v>14</v>
      </c>
      <c r="F563">
        <v>58</v>
      </c>
      <c r="G563">
        <v>510</v>
      </c>
      <c r="H563">
        <v>1456</v>
      </c>
      <c r="I563">
        <v>29580</v>
      </c>
      <c r="J563">
        <v>84448</v>
      </c>
      <c r="K563">
        <v>54868</v>
      </c>
    </row>
    <row r="564" spans="1:11" x14ac:dyDescent="0.3">
      <c r="A564" s="10">
        <v>45466</v>
      </c>
      <c r="B564" t="s">
        <v>21</v>
      </c>
      <c r="C564" t="s">
        <v>41</v>
      </c>
      <c r="D564" t="s">
        <v>34</v>
      </c>
      <c r="E564" t="s">
        <v>14</v>
      </c>
      <c r="F564">
        <v>59</v>
      </c>
      <c r="G564">
        <v>506</v>
      </c>
      <c r="H564">
        <v>1498</v>
      </c>
      <c r="I564">
        <v>29854</v>
      </c>
      <c r="J564">
        <v>88382</v>
      </c>
      <c r="K564">
        <v>58528</v>
      </c>
    </row>
    <row r="565" spans="1:11" x14ac:dyDescent="0.3">
      <c r="A565" s="10">
        <v>45467</v>
      </c>
      <c r="B565" t="s">
        <v>21</v>
      </c>
      <c r="C565" t="s">
        <v>41</v>
      </c>
      <c r="D565" t="s">
        <v>36</v>
      </c>
      <c r="E565" t="s">
        <v>19</v>
      </c>
      <c r="F565">
        <v>51</v>
      </c>
      <c r="G565">
        <v>868</v>
      </c>
      <c r="H565">
        <v>938</v>
      </c>
      <c r="I565">
        <v>44268</v>
      </c>
      <c r="J565">
        <v>47838</v>
      </c>
      <c r="K565">
        <v>3570</v>
      </c>
    </row>
    <row r="566" spans="1:11" x14ac:dyDescent="0.3">
      <c r="A566" s="10">
        <v>45614</v>
      </c>
      <c r="B566" t="s">
        <v>27</v>
      </c>
      <c r="C566" t="s">
        <v>33</v>
      </c>
      <c r="D566" t="s">
        <v>23</v>
      </c>
      <c r="E566" t="s">
        <v>14</v>
      </c>
      <c r="F566">
        <v>22</v>
      </c>
      <c r="G566">
        <v>688</v>
      </c>
      <c r="H566">
        <v>985</v>
      </c>
      <c r="I566">
        <v>15136</v>
      </c>
      <c r="J566">
        <v>21670</v>
      </c>
      <c r="K566">
        <v>6534</v>
      </c>
    </row>
    <row r="567" spans="1:11" x14ac:dyDescent="0.3">
      <c r="A567" s="10">
        <v>45468</v>
      </c>
      <c r="B567" t="s">
        <v>21</v>
      </c>
      <c r="C567" t="s">
        <v>41</v>
      </c>
      <c r="D567" t="s">
        <v>37</v>
      </c>
      <c r="E567" t="s">
        <v>19</v>
      </c>
      <c r="F567">
        <v>76</v>
      </c>
      <c r="G567">
        <v>602</v>
      </c>
      <c r="H567">
        <v>1356</v>
      </c>
      <c r="I567">
        <v>45752</v>
      </c>
      <c r="J567">
        <v>103056</v>
      </c>
      <c r="K567">
        <v>57304</v>
      </c>
    </row>
    <row r="568" spans="1:11" x14ac:dyDescent="0.3">
      <c r="A568" s="10">
        <v>45616</v>
      </c>
      <c r="B568" t="s">
        <v>27</v>
      </c>
      <c r="C568" t="s">
        <v>33</v>
      </c>
      <c r="D568" t="s">
        <v>25</v>
      </c>
      <c r="E568" t="s">
        <v>14</v>
      </c>
      <c r="F568">
        <v>27</v>
      </c>
      <c r="G568">
        <v>933</v>
      </c>
      <c r="H568">
        <v>983</v>
      </c>
      <c r="I568">
        <v>25191</v>
      </c>
      <c r="J568">
        <v>26541</v>
      </c>
      <c r="K568">
        <v>1350</v>
      </c>
    </row>
    <row r="569" spans="1:11" x14ac:dyDescent="0.3">
      <c r="A569" s="10">
        <v>45469</v>
      </c>
      <c r="B569" t="s">
        <v>21</v>
      </c>
      <c r="C569" t="s">
        <v>41</v>
      </c>
      <c r="D569" t="s">
        <v>23</v>
      </c>
      <c r="E569" t="s">
        <v>19</v>
      </c>
      <c r="F569">
        <v>55</v>
      </c>
      <c r="G569">
        <v>928</v>
      </c>
      <c r="H569">
        <v>1264</v>
      </c>
      <c r="I569">
        <v>51040</v>
      </c>
      <c r="J569">
        <v>69520</v>
      </c>
      <c r="K569">
        <v>18480</v>
      </c>
    </row>
    <row r="570" spans="1:11" x14ac:dyDescent="0.3">
      <c r="A570" s="10">
        <v>45470</v>
      </c>
      <c r="B570" t="s">
        <v>21</v>
      </c>
      <c r="C570" t="s">
        <v>41</v>
      </c>
      <c r="D570" t="s">
        <v>26</v>
      </c>
      <c r="E570" t="s">
        <v>19</v>
      </c>
      <c r="F570">
        <v>74</v>
      </c>
      <c r="G570">
        <v>758</v>
      </c>
      <c r="H570">
        <v>765</v>
      </c>
      <c r="I570">
        <v>56092</v>
      </c>
      <c r="J570">
        <v>56610</v>
      </c>
      <c r="K570">
        <v>518</v>
      </c>
    </row>
    <row r="571" spans="1:11" x14ac:dyDescent="0.3">
      <c r="A571" s="10">
        <v>45471</v>
      </c>
      <c r="B571" t="s">
        <v>21</v>
      </c>
      <c r="C571" t="s">
        <v>41</v>
      </c>
      <c r="D571" t="s">
        <v>32</v>
      </c>
      <c r="E571" t="s">
        <v>19</v>
      </c>
      <c r="F571">
        <v>88</v>
      </c>
      <c r="G571">
        <v>566</v>
      </c>
      <c r="H571">
        <v>1093</v>
      </c>
      <c r="I571">
        <v>49808</v>
      </c>
      <c r="J571">
        <v>96184</v>
      </c>
      <c r="K571">
        <v>46376</v>
      </c>
    </row>
    <row r="572" spans="1:11" x14ac:dyDescent="0.3">
      <c r="A572" s="10">
        <v>45495</v>
      </c>
      <c r="B572" t="s">
        <v>21</v>
      </c>
      <c r="C572" t="s">
        <v>38</v>
      </c>
      <c r="D572" t="s">
        <v>15</v>
      </c>
      <c r="E572" t="s">
        <v>14</v>
      </c>
      <c r="F572">
        <v>58</v>
      </c>
      <c r="G572">
        <v>898</v>
      </c>
      <c r="H572">
        <v>1068</v>
      </c>
      <c r="I572">
        <v>52084</v>
      </c>
      <c r="J572">
        <v>61944</v>
      </c>
      <c r="K572">
        <v>9860</v>
      </c>
    </row>
    <row r="573" spans="1:11" x14ac:dyDescent="0.3">
      <c r="A573" s="10">
        <v>45496</v>
      </c>
      <c r="B573" t="s">
        <v>21</v>
      </c>
      <c r="C573" t="s">
        <v>38</v>
      </c>
      <c r="D573" t="s">
        <v>16</v>
      </c>
      <c r="E573" t="s">
        <v>14</v>
      </c>
      <c r="F573">
        <v>83</v>
      </c>
      <c r="G573">
        <v>943</v>
      </c>
      <c r="H573">
        <v>867</v>
      </c>
      <c r="I573">
        <v>78269</v>
      </c>
      <c r="J573">
        <v>71961</v>
      </c>
      <c r="K573">
        <v>-6308</v>
      </c>
    </row>
    <row r="574" spans="1:11" x14ac:dyDescent="0.3">
      <c r="A574" s="10">
        <v>45497</v>
      </c>
      <c r="B574" t="s">
        <v>21</v>
      </c>
      <c r="C574" t="s">
        <v>38</v>
      </c>
      <c r="D574" t="s">
        <v>17</v>
      </c>
      <c r="E574" t="s">
        <v>14</v>
      </c>
      <c r="F574">
        <v>85</v>
      </c>
      <c r="G574">
        <v>641</v>
      </c>
      <c r="H574">
        <v>892</v>
      </c>
      <c r="I574">
        <v>54485</v>
      </c>
      <c r="J574">
        <v>75820</v>
      </c>
      <c r="K574">
        <v>21335</v>
      </c>
    </row>
    <row r="575" spans="1:11" x14ac:dyDescent="0.3">
      <c r="A575" s="10">
        <v>45498</v>
      </c>
      <c r="B575" t="s">
        <v>21</v>
      </c>
      <c r="C575" t="s">
        <v>38</v>
      </c>
      <c r="D575" t="s">
        <v>17</v>
      </c>
      <c r="E575" t="s">
        <v>14</v>
      </c>
      <c r="F575">
        <v>57</v>
      </c>
      <c r="G575">
        <v>784</v>
      </c>
      <c r="H575">
        <v>859</v>
      </c>
      <c r="I575">
        <v>44688</v>
      </c>
      <c r="J575">
        <v>48963</v>
      </c>
      <c r="K575">
        <v>4275</v>
      </c>
    </row>
    <row r="576" spans="1:11" x14ac:dyDescent="0.3">
      <c r="A576" s="10">
        <v>45499</v>
      </c>
      <c r="B576" t="s">
        <v>21</v>
      </c>
      <c r="C576" t="s">
        <v>38</v>
      </c>
      <c r="D576" t="s">
        <v>18</v>
      </c>
      <c r="E576" t="s">
        <v>14</v>
      </c>
      <c r="F576">
        <v>98</v>
      </c>
      <c r="G576">
        <v>579</v>
      </c>
      <c r="H576">
        <v>1046</v>
      </c>
      <c r="I576">
        <v>56742</v>
      </c>
      <c r="J576">
        <v>102508</v>
      </c>
      <c r="K576">
        <v>45766</v>
      </c>
    </row>
    <row r="577" spans="1:11" x14ac:dyDescent="0.3">
      <c r="A577" s="10">
        <v>45500</v>
      </c>
      <c r="B577" t="s">
        <v>21</v>
      </c>
      <c r="C577" t="s">
        <v>38</v>
      </c>
      <c r="D577" t="s">
        <v>20</v>
      </c>
      <c r="E577" t="s">
        <v>14</v>
      </c>
      <c r="F577">
        <v>98</v>
      </c>
      <c r="G577">
        <v>605</v>
      </c>
      <c r="H577">
        <v>1155</v>
      </c>
      <c r="I577">
        <v>59290</v>
      </c>
      <c r="J577">
        <v>113190</v>
      </c>
      <c r="K577">
        <v>53900</v>
      </c>
    </row>
    <row r="578" spans="1:11" x14ac:dyDescent="0.3">
      <c r="A578" s="10">
        <v>45626</v>
      </c>
      <c r="B578" t="s">
        <v>27</v>
      </c>
      <c r="C578" t="s">
        <v>40</v>
      </c>
      <c r="D578" t="s">
        <v>25</v>
      </c>
      <c r="E578" t="s">
        <v>14</v>
      </c>
      <c r="F578">
        <v>20</v>
      </c>
      <c r="G578">
        <v>989</v>
      </c>
      <c r="H578">
        <v>1298</v>
      </c>
      <c r="I578">
        <v>19780</v>
      </c>
      <c r="J578">
        <v>25960</v>
      </c>
      <c r="K578">
        <v>6180</v>
      </c>
    </row>
    <row r="579" spans="1:11" x14ac:dyDescent="0.3">
      <c r="A579" s="10">
        <v>45501</v>
      </c>
      <c r="B579" t="s">
        <v>21</v>
      </c>
      <c r="C579" t="s">
        <v>38</v>
      </c>
      <c r="D579" t="s">
        <v>17</v>
      </c>
      <c r="E579" t="s">
        <v>14</v>
      </c>
      <c r="F579">
        <v>63</v>
      </c>
      <c r="G579">
        <v>952</v>
      </c>
      <c r="H579">
        <v>824</v>
      </c>
      <c r="I579">
        <v>59976</v>
      </c>
      <c r="J579">
        <v>51912</v>
      </c>
      <c r="K579">
        <v>-8064</v>
      </c>
    </row>
    <row r="580" spans="1:11" x14ac:dyDescent="0.3">
      <c r="A580" s="10">
        <v>45502</v>
      </c>
      <c r="B580" t="s">
        <v>21</v>
      </c>
      <c r="C580" t="s">
        <v>38</v>
      </c>
      <c r="D580" t="s">
        <v>36</v>
      </c>
      <c r="E580" t="s">
        <v>14</v>
      </c>
      <c r="F580">
        <v>91</v>
      </c>
      <c r="G580">
        <v>938</v>
      </c>
      <c r="H580">
        <v>1156</v>
      </c>
      <c r="I580">
        <v>85358</v>
      </c>
      <c r="J580">
        <v>105196</v>
      </c>
      <c r="K580">
        <v>19838</v>
      </c>
    </row>
    <row r="581" spans="1:11" x14ac:dyDescent="0.3">
      <c r="A581" s="10">
        <v>45629</v>
      </c>
      <c r="B581" t="s">
        <v>27</v>
      </c>
      <c r="C581" t="s">
        <v>40</v>
      </c>
      <c r="D581" t="s">
        <v>32</v>
      </c>
      <c r="E581" t="s">
        <v>19</v>
      </c>
      <c r="F581">
        <v>26</v>
      </c>
      <c r="G581">
        <v>870</v>
      </c>
      <c r="H581">
        <v>1123</v>
      </c>
      <c r="I581">
        <v>22620</v>
      </c>
      <c r="J581">
        <v>29198</v>
      </c>
      <c r="K581">
        <v>6578</v>
      </c>
    </row>
    <row r="582" spans="1:11" x14ac:dyDescent="0.3">
      <c r="A582" s="10">
        <v>45503</v>
      </c>
      <c r="B582" t="s">
        <v>21</v>
      </c>
      <c r="C582" t="s">
        <v>38</v>
      </c>
      <c r="D582" t="s">
        <v>35</v>
      </c>
      <c r="E582" t="s">
        <v>19</v>
      </c>
      <c r="F582">
        <v>66</v>
      </c>
      <c r="G582">
        <v>512</v>
      </c>
      <c r="H582">
        <v>1208</v>
      </c>
      <c r="I582">
        <v>33792</v>
      </c>
      <c r="J582">
        <v>79728</v>
      </c>
      <c r="K582">
        <v>45936</v>
      </c>
    </row>
    <row r="583" spans="1:11" x14ac:dyDescent="0.3">
      <c r="A583" s="10">
        <v>45504</v>
      </c>
      <c r="B583" t="s">
        <v>21</v>
      </c>
      <c r="C583" t="s">
        <v>38</v>
      </c>
      <c r="D583" t="s">
        <v>26</v>
      </c>
      <c r="E583" t="s">
        <v>19</v>
      </c>
      <c r="F583">
        <v>88</v>
      </c>
      <c r="G583">
        <v>691</v>
      </c>
      <c r="H583">
        <v>1394</v>
      </c>
      <c r="I583">
        <v>60808</v>
      </c>
      <c r="J583">
        <v>122672</v>
      </c>
      <c r="K583">
        <v>61864</v>
      </c>
    </row>
    <row r="584" spans="1:11" x14ac:dyDescent="0.3">
      <c r="A584" s="10">
        <v>45505</v>
      </c>
      <c r="B584" t="s">
        <v>21</v>
      </c>
      <c r="C584" t="s">
        <v>38</v>
      </c>
      <c r="D584" t="s">
        <v>17</v>
      </c>
      <c r="E584" t="s">
        <v>19</v>
      </c>
      <c r="F584">
        <v>54</v>
      </c>
      <c r="G584">
        <v>518</v>
      </c>
      <c r="H584">
        <v>1106</v>
      </c>
      <c r="I584">
        <v>27972</v>
      </c>
      <c r="J584">
        <v>59724</v>
      </c>
      <c r="K584">
        <v>31752</v>
      </c>
    </row>
    <row r="585" spans="1:11" x14ac:dyDescent="0.3">
      <c r="A585" s="10">
        <v>45506</v>
      </c>
      <c r="B585" t="s">
        <v>21</v>
      </c>
      <c r="C585" t="s">
        <v>38</v>
      </c>
      <c r="D585" t="s">
        <v>34</v>
      </c>
      <c r="E585" t="s">
        <v>19</v>
      </c>
      <c r="F585">
        <v>67</v>
      </c>
      <c r="G585">
        <v>780</v>
      </c>
      <c r="H585">
        <v>864</v>
      </c>
      <c r="I585">
        <v>52260</v>
      </c>
      <c r="J585">
        <v>57888</v>
      </c>
      <c r="K585">
        <v>5628</v>
      </c>
    </row>
    <row r="586" spans="1:11" x14ac:dyDescent="0.3">
      <c r="A586" s="10">
        <v>45634</v>
      </c>
      <c r="B586" t="s">
        <v>27</v>
      </c>
      <c r="C586" t="s">
        <v>40</v>
      </c>
      <c r="D586" t="s">
        <v>43</v>
      </c>
      <c r="E586" t="s">
        <v>19</v>
      </c>
      <c r="F586">
        <v>23</v>
      </c>
      <c r="G586">
        <v>945</v>
      </c>
      <c r="H586">
        <v>1268</v>
      </c>
      <c r="I586">
        <v>21735</v>
      </c>
      <c r="J586">
        <v>29164</v>
      </c>
      <c r="K586">
        <v>7429</v>
      </c>
    </row>
    <row r="587" spans="1:11" x14ac:dyDescent="0.3">
      <c r="A587" s="10">
        <v>45508</v>
      </c>
      <c r="B587" t="s">
        <v>21</v>
      </c>
      <c r="C587" t="s">
        <v>41</v>
      </c>
      <c r="D587" t="s">
        <v>37</v>
      </c>
      <c r="E587" t="s">
        <v>14</v>
      </c>
      <c r="F587">
        <v>85</v>
      </c>
      <c r="G587">
        <v>853</v>
      </c>
      <c r="H587">
        <v>1453</v>
      </c>
      <c r="I587">
        <v>72505</v>
      </c>
      <c r="J587">
        <v>123505</v>
      </c>
      <c r="K587">
        <v>51000</v>
      </c>
    </row>
    <row r="588" spans="1:11" x14ac:dyDescent="0.3">
      <c r="A588" s="10">
        <v>45509</v>
      </c>
      <c r="B588" t="s">
        <v>21</v>
      </c>
      <c r="C588" t="s">
        <v>41</v>
      </c>
      <c r="D588" t="s">
        <v>23</v>
      </c>
      <c r="E588" t="s">
        <v>14</v>
      </c>
      <c r="F588">
        <v>69</v>
      </c>
      <c r="G588">
        <v>745</v>
      </c>
      <c r="H588">
        <v>1075</v>
      </c>
      <c r="I588">
        <v>51405</v>
      </c>
      <c r="J588">
        <v>74175</v>
      </c>
      <c r="K588">
        <v>22770</v>
      </c>
    </row>
    <row r="589" spans="1:11" x14ac:dyDescent="0.3">
      <c r="A589" s="10">
        <v>45637</v>
      </c>
      <c r="B589" t="s">
        <v>21</v>
      </c>
      <c r="C589" t="s">
        <v>38</v>
      </c>
      <c r="D589" t="s">
        <v>15</v>
      </c>
      <c r="E589" t="s">
        <v>19</v>
      </c>
      <c r="F589">
        <v>78</v>
      </c>
      <c r="G589">
        <v>522</v>
      </c>
      <c r="H589">
        <v>1064</v>
      </c>
      <c r="I589">
        <v>40716</v>
      </c>
      <c r="J589">
        <v>82992</v>
      </c>
      <c r="K589">
        <v>42276</v>
      </c>
    </row>
    <row r="590" spans="1:11" x14ac:dyDescent="0.3">
      <c r="A590" s="10">
        <v>45528</v>
      </c>
      <c r="B590" t="s">
        <v>21</v>
      </c>
      <c r="C590" t="s">
        <v>38</v>
      </c>
      <c r="D590" t="s">
        <v>25</v>
      </c>
      <c r="E590" t="s">
        <v>14</v>
      </c>
      <c r="F590">
        <v>63</v>
      </c>
      <c r="G590">
        <v>525</v>
      </c>
      <c r="H590">
        <v>1182</v>
      </c>
      <c r="I590">
        <v>33075</v>
      </c>
      <c r="J590">
        <v>74466</v>
      </c>
      <c r="K590">
        <v>41391</v>
      </c>
    </row>
    <row r="591" spans="1:11" x14ac:dyDescent="0.3">
      <c r="A591" s="10">
        <v>45529</v>
      </c>
      <c r="B591" t="s">
        <v>21</v>
      </c>
      <c r="C591" t="s">
        <v>38</v>
      </c>
      <c r="D591" t="s">
        <v>20</v>
      </c>
      <c r="E591" t="s">
        <v>14</v>
      </c>
      <c r="F591">
        <v>73</v>
      </c>
      <c r="G591">
        <v>709</v>
      </c>
      <c r="H591">
        <v>1344</v>
      </c>
      <c r="I591">
        <v>51757</v>
      </c>
      <c r="J591">
        <v>98112</v>
      </c>
      <c r="K591">
        <v>46355</v>
      </c>
    </row>
    <row r="592" spans="1:11" x14ac:dyDescent="0.3">
      <c r="A592" s="10">
        <v>45530</v>
      </c>
      <c r="B592" t="s">
        <v>21</v>
      </c>
      <c r="C592" t="s">
        <v>38</v>
      </c>
      <c r="D592" t="s">
        <v>39</v>
      </c>
      <c r="E592" t="s">
        <v>14</v>
      </c>
      <c r="F592">
        <v>74</v>
      </c>
      <c r="G592">
        <v>914</v>
      </c>
      <c r="H592">
        <v>1031</v>
      </c>
      <c r="I592">
        <v>67636</v>
      </c>
      <c r="J592">
        <v>76294</v>
      </c>
      <c r="K592">
        <v>8658</v>
      </c>
    </row>
    <row r="593" spans="1:11" x14ac:dyDescent="0.3">
      <c r="A593" s="10">
        <v>45531</v>
      </c>
      <c r="B593" t="s">
        <v>21</v>
      </c>
      <c r="C593" t="s">
        <v>38</v>
      </c>
      <c r="D593" t="s">
        <v>26</v>
      </c>
      <c r="E593" t="s">
        <v>14</v>
      </c>
      <c r="F593">
        <v>84</v>
      </c>
      <c r="G593">
        <v>558</v>
      </c>
      <c r="H593">
        <v>1477</v>
      </c>
      <c r="I593">
        <v>46872</v>
      </c>
      <c r="J593">
        <v>124068</v>
      </c>
      <c r="K593">
        <v>77196</v>
      </c>
    </row>
    <row r="594" spans="1:11" x14ac:dyDescent="0.3">
      <c r="A594" s="10">
        <v>45642</v>
      </c>
      <c r="B594" t="s">
        <v>21</v>
      </c>
      <c r="C594" t="s">
        <v>38</v>
      </c>
      <c r="D594" t="s">
        <v>25</v>
      </c>
      <c r="E594" t="s">
        <v>14</v>
      </c>
      <c r="F594">
        <v>60</v>
      </c>
      <c r="G594">
        <v>642</v>
      </c>
      <c r="H594">
        <v>1110</v>
      </c>
      <c r="I594">
        <v>38520</v>
      </c>
      <c r="J594">
        <v>66600</v>
      </c>
      <c r="K594">
        <v>28080</v>
      </c>
    </row>
    <row r="595" spans="1:11" x14ac:dyDescent="0.3">
      <c r="A595" s="10">
        <v>45532</v>
      </c>
      <c r="B595" t="s">
        <v>21</v>
      </c>
      <c r="C595" t="s">
        <v>38</v>
      </c>
      <c r="D595" t="s">
        <v>43</v>
      </c>
      <c r="E595" t="s">
        <v>14</v>
      </c>
      <c r="F595">
        <v>99</v>
      </c>
      <c r="G595">
        <v>934</v>
      </c>
      <c r="H595">
        <v>1318</v>
      </c>
      <c r="I595">
        <v>92466</v>
      </c>
      <c r="J595">
        <v>130482</v>
      </c>
      <c r="K595">
        <v>38016</v>
      </c>
    </row>
    <row r="596" spans="1:11" x14ac:dyDescent="0.3">
      <c r="A596" s="10">
        <v>45533</v>
      </c>
      <c r="B596" t="s">
        <v>21</v>
      </c>
      <c r="C596" t="s">
        <v>38</v>
      </c>
      <c r="D596" t="s">
        <v>44</v>
      </c>
      <c r="E596" t="s">
        <v>14</v>
      </c>
      <c r="F596">
        <v>52</v>
      </c>
      <c r="G596">
        <v>576</v>
      </c>
      <c r="H596">
        <v>1419</v>
      </c>
      <c r="I596">
        <v>29952</v>
      </c>
      <c r="J596">
        <v>73788</v>
      </c>
      <c r="K596">
        <v>43836</v>
      </c>
    </row>
    <row r="597" spans="1:11" x14ac:dyDescent="0.3">
      <c r="A597" s="10">
        <v>45534</v>
      </c>
      <c r="B597" t="s">
        <v>21</v>
      </c>
      <c r="C597" t="s">
        <v>38</v>
      </c>
      <c r="D597" t="s">
        <v>13</v>
      </c>
      <c r="E597" t="s">
        <v>19</v>
      </c>
      <c r="F597">
        <v>98</v>
      </c>
      <c r="G597">
        <v>769</v>
      </c>
      <c r="H597">
        <v>1277</v>
      </c>
      <c r="I597">
        <v>75362</v>
      </c>
      <c r="J597">
        <v>125146</v>
      </c>
      <c r="K597">
        <v>49784</v>
      </c>
    </row>
    <row r="598" spans="1:11" x14ac:dyDescent="0.3">
      <c r="A598" s="10">
        <v>45646</v>
      </c>
      <c r="B598" t="s">
        <v>21</v>
      </c>
      <c r="C598" t="s">
        <v>38</v>
      </c>
      <c r="D598" t="s">
        <v>25</v>
      </c>
      <c r="E598" t="s">
        <v>14</v>
      </c>
      <c r="F598">
        <v>86</v>
      </c>
      <c r="G598">
        <v>668</v>
      </c>
      <c r="H598">
        <v>1278</v>
      </c>
      <c r="I598">
        <v>57448</v>
      </c>
      <c r="J598">
        <v>109908</v>
      </c>
      <c r="K598">
        <v>52460</v>
      </c>
    </row>
    <row r="599" spans="1:11" x14ac:dyDescent="0.3">
      <c r="A599" s="10">
        <v>45536</v>
      </c>
      <c r="B599" t="s">
        <v>21</v>
      </c>
      <c r="C599" t="s">
        <v>38</v>
      </c>
      <c r="D599" t="s">
        <v>16</v>
      </c>
      <c r="E599" t="s">
        <v>19</v>
      </c>
      <c r="F599">
        <v>73</v>
      </c>
      <c r="G599">
        <v>627</v>
      </c>
      <c r="H599">
        <v>769</v>
      </c>
      <c r="I599">
        <v>45771</v>
      </c>
      <c r="J599">
        <v>56137</v>
      </c>
      <c r="K599">
        <v>10366</v>
      </c>
    </row>
    <row r="600" spans="1:11" x14ac:dyDescent="0.3">
      <c r="A600" s="10">
        <v>45648</v>
      </c>
      <c r="B600" t="s">
        <v>21</v>
      </c>
      <c r="C600" t="s">
        <v>41</v>
      </c>
      <c r="D600" t="s">
        <v>39</v>
      </c>
      <c r="E600" t="s">
        <v>14</v>
      </c>
      <c r="F600">
        <v>57</v>
      </c>
      <c r="G600">
        <v>995</v>
      </c>
      <c r="H600">
        <v>912</v>
      </c>
      <c r="I600">
        <v>56715</v>
      </c>
      <c r="J600">
        <v>51984</v>
      </c>
      <c r="K600">
        <v>-4731</v>
      </c>
    </row>
    <row r="601" spans="1:11" x14ac:dyDescent="0.3">
      <c r="A601" s="10">
        <v>45537</v>
      </c>
      <c r="B601" t="s">
        <v>21</v>
      </c>
      <c r="C601" t="s">
        <v>41</v>
      </c>
      <c r="D601" t="s">
        <v>17</v>
      </c>
      <c r="E601" t="s">
        <v>19</v>
      </c>
      <c r="F601">
        <v>93</v>
      </c>
      <c r="G601">
        <v>847</v>
      </c>
      <c r="H601">
        <v>1258</v>
      </c>
      <c r="I601">
        <v>78771</v>
      </c>
      <c r="J601">
        <v>116994</v>
      </c>
      <c r="K601">
        <v>38223</v>
      </c>
    </row>
    <row r="602" spans="1:11" x14ac:dyDescent="0.3">
      <c r="A602" s="10">
        <v>45538</v>
      </c>
      <c r="B602" t="s">
        <v>21</v>
      </c>
      <c r="C602" t="s">
        <v>41</v>
      </c>
      <c r="D602" t="s">
        <v>17</v>
      </c>
      <c r="E602" t="s">
        <v>19</v>
      </c>
      <c r="F602">
        <v>84</v>
      </c>
      <c r="G602">
        <v>522</v>
      </c>
      <c r="H602">
        <v>929</v>
      </c>
      <c r="I602">
        <v>43848</v>
      </c>
      <c r="J602">
        <v>78036</v>
      </c>
      <c r="K602">
        <v>34188</v>
      </c>
    </row>
    <row r="603" spans="1:11" x14ac:dyDescent="0.3">
      <c r="A603" s="10">
        <v>45539</v>
      </c>
      <c r="B603" t="s">
        <v>21</v>
      </c>
      <c r="C603" t="s">
        <v>41</v>
      </c>
      <c r="D603" t="s">
        <v>18</v>
      </c>
      <c r="E603" t="s">
        <v>14</v>
      </c>
      <c r="F603">
        <v>85</v>
      </c>
      <c r="G603">
        <v>564</v>
      </c>
      <c r="H603">
        <v>1049</v>
      </c>
      <c r="I603">
        <v>47940</v>
      </c>
      <c r="J603">
        <v>89165</v>
      </c>
      <c r="K603">
        <v>41225</v>
      </c>
    </row>
    <row r="604" spans="1:11" x14ac:dyDescent="0.3">
      <c r="A604" s="10">
        <v>45541</v>
      </c>
      <c r="B604" t="s">
        <v>21</v>
      </c>
      <c r="C604" t="s">
        <v>41</v>
      </c>
      <c r="D604" t="s">
        <v>17</v>
      </c>
      <c r="E604" t="s">
        <v>14</v>
      </c>
      <c r="F604">
        <v>93</v>
      </c>
      <c r="G604">
        <v>579</v>
      </c>
      <c r="H604">
        <v>1402</v>
      </c>
      <c r="I604">
        <v>53847</v>
      </c>
      <c r="J604">
        <v>130386</v>
      </c>
      <c r="K604">
        <v>76539</v>
      </c>
    </row>
    <row r="605" spans="1:11" x14ac:dyDescent="0.3">
      <c r="A605" s="10">
        <v>45653</v>
      </c>
      <c r="B605" t="s">
        <v>21</v>
      </c>
      <c r="C605" t="s">
        <v>41</v>
      </c>
      <c r="D605" t="s">
        <v>15</v>
      </c>
      <c r="E605" t="s">
        <v>19</v>
      </c>
      <c r="F605">
        <v>93</v>
      </c>
      <c r="G605">
        <v>886</v>
      </c>
      <c r="H605">
        <v>1199</v>
      </c>
      <c r="I605">
        <v>82398</v>
      </c>
      <c r="J605">
        <v>111507</v>
      </c>
      <c r="K605">
        <v>29109</v>
      </c>
    </row>
    <row r="606" spans="1:11" x14ac:dyDescent="0.3">
      <c r="A606" s="10">
        <v>45542</v>
      </c>
      <c r="B606" t="s">
        <v>21</v>
      </c>
      <c r="C606" t="s">
        <v>41</v>
      </c>
      <c r="D606" t="s">
        <v>36</v>
      </c>
      <c r="E606" t="s">
        <v>19</v>
      </c>
      <c r="F606">
        <v>56</v>
      </c>
      <c r="G606">
        <v>724</v>
      </c>
      <c r="H606">
        <v>1391</v>
      </c>
      <c r="I606">
        <v>40544</v>
      </c>
      <c r="J606">
        <v>77896</v>
      </c>
      <c r="K606">
        <v>37352</v>
      </c>
    </row>
    <row r="607" spans="1:11" x14ac:dyDescent="0.3">
      <c r="A607" s="10">
        <v>45555</v>
      </c>
      <c r="B607" t="s">
        <v>21</v>
      </c>
      <c r="C607" t="s">
        <v>41</v>
      </c>
      <c r="D607" t="s">
        <v>26</v>
      </c>
      <c r="E607" t="s">
        <v>19</v>
      </c>
      <c r="F607">
        <v>60</v>
      </c>
      <c r="G607">
        <v>783</v>
      </c>
      <c r="H607">
        <v>881</v>
      </c>
      <c r="I607">
        <v>46980</v>
      </c>
      <c r="J607">
        <v>52860</v>
      </c>
      <c r="K607">
        <v>5880</v>
      </c>
    </row>
    <row r="608" spans="1:11" x14ac:dyDescent="0.3">
      <c r="A608" s="10">
        <v>45556</v>
      </c>
      <c r="B608" t="s">
        <v>21</v>
      </c>
      <c r="C608" t="s">
        <v>41</v>
      </c>
      <c r="D608" t="s">
        <v>18</v>
      </c>
      <c r="E608" t="s">
        <v>19</v>
      </c>
      <c r="F608">
        <v>81</v>
      </c>
      <c r="G608">
        <v>948</v>
      </c>
      <c r="H608">
        <v>904</v>
      </c>
      <c r="I608">
        <v>76788</v>
      </c>
      <c r="J608">
        <v>73224</v>
      </c>
      <c r="K608">
        <v>-3564</v>
      </c>
    </row>
    <row r="609" spans="1:11" x14ac:dyDescent="0.3">
      <c r="A609" s="10">
        <v>45557</v>
      </c>
      <c r="B609" t="s">
        <v>21</v>
      </c>
      <c r="C609" t="s">
        <v>41</v>
      </c>
      <c r="D609" t="s">
        <v>26</v>
      </c>
      <c r="E609" t="s">
        <v>19</v>
      </c>
      <c r="F609">
        <v>80</v>
      </c>
      <c r="G609">
        <v>771</v>
      </c>
      <c r="H609">
        <v>1090</v>
      </c>
      <c r="I609">
        <v>61680</v>
      </c>
      <c r="J609">
        <v>87200</v>
      </c>
      <c r="K609">
        <v>25520</v>
      </c>
    </row>
    <row r="610" spans="1:11" x14ac:dyDescent="0.3">
      <c r="A610" s="10">
        <v>45558</v>
      </c>
      <c r="B610" t="s">
        <v>21</v>
      </c>
      <c r="C610" t="s">
        <v>41</v>
      </c>
      <c r="D610" t="s">
        <v>29</v>
      </c>
      <c r="E610" t="s">
        <v>14</v>
      </c>
      <c r="F610">
        <v>88</v>
      </c>
      <c r="G610">
        <v>943</v>
      </c>
      <c r="H610">
        <v>1082</v>
      </c>
      <c r="I610">
        <v>82984</v>
      </c>
      <c r="J610">
        <v>95216</v>
      </c>
      <c r="K610">
        <v>12232</v>
      </c>
    </row>
    <row r="611" spans="1:11" x14ac:dyDescent="0.3">
      <c r="A611" s="10">
        <v>45559</v>
      </c>
      <c r="B611" t="s">
        <v>21</v>
      </c>
      <c r="C611" t="s">
        <v>41</v>
      </c>
      <c r="D611" t="s">
        <v>18</v>
      </c>
      <c r="E611" t="s">
        <v>19</v>
      </c>
      <c r="F611">
        <v>68</v>
      </c>
      <c r="G611">
        <v>909</v>
      </c>
      <c r="H611">
        <v>1329</v>
      </c>
      <c r="I611">
        <v>61812</v>
      </c>
      <c r="J611">
        <v>90372</v>
      </c>
      <c r="K611">
        <v>28560</v>
      </c>
    </row>
    <row r="612" spans="1:11" x14ac:dyDescent="0.3">
      <c r="A612" s="10">
        <v>45660</v>
      </c>
      <c r="B612" t="s">
        <v>11</v>
      </c>
      <c r="C612" t="s">
        <v>12</v>
      </c>
      <c r="D612" t="s">
        <v>36</v>
      </c>
      <c r="E612" t="s">
        <v>14</v>
      </c>
      <c r="F612">
        <v>11</v>
      </c>
      <c r="G612">
        <v>676</v>
      </c>
      <c r="H612">
        <v>1050</v>
      </c>
      <c r="I612">
        <v>7436</v>
      </c>
      <c r="J612">
        <v>11550</v>
      </c>
      <c r="K612">
        <v>4114</v>
      </c>
    </row>
    <row r="613" spans="1:11" x14ac:dyDescent="0.3">
      <c r="A613" s="10">
        <v>45560</v>
      </c>
      <c r="B613" t="s">
        <v>21</v>
      </c>
      <c r="C613" t="s">
        <v>41</v>
      </c>
      <c r="D613" t="s">
        <v>30</v>
      </c>
      <c r="E613" t="s">
        <v>19</v>
      </c>
      <c r="F613">
        <v>65</v>
      </c>
      <c r="G613">
        <v>568</v>
      </c>
      <c r="H613">
        <v>1482</v>
      </c>
      <c r="I613">
        <v>36920</v>
      </c>
      <c r="J613">
        <v>96330</v>
      </c>
      <c r="K613">
        <v>59410</v>
      </c>
    </row>
    <row r="614" spans="1:11" x14ac:dyDescent="0.3">
      <c r="A614" s="10">
        <v>45662</v>
      </c>
      <c r="B614" t="s">
        <v>11</v>
      </c>
      <c r="C614" t="s">
        <v>12</v>
      </c>
      <c r="D614" t="s">
        <v>26</v>
      </c>
      <c r="E614" t="s">
        <v>14</v>
      </c>
      <c r="F614">
        <v>13</v>
      </c>
      <c r="G614">
        <v>521</v>
      </c>
      <c r="H614">
        <v>1433</v>
      </c>
      <c r="I614">
        <v>6773</v>
      </c>
      <c r="J614">
        <v>18629</v>
      </c>
      <c r="K614">
        <v>11856</v>
      </c>
    </row>
    <row r="615" spans="1:11" x14ac:dyDescent="0.3">
      <c r="A615" s="10">
        <v>45561</v>
      </c>
      <c r="B615" t="s">
        <v>21</v>
      </c>
      <c r="C615" t="s">
        <v>41</v>
      </c>
      <c r="D615" t="s">
        <v>31</v>
      </c>
      <c r="E615" t="s">
        <v>19</v>
      </c>
      <c r="F615">
        <v>58</v>
      </c>
      <c r="G615">
        <v>758</v>
      </c>
      <c r="H615">
        <v>1241</v>
      </c>
      <c r="I615">
        <v>43964</v>
      </c>
      <c r="J615">
        <v>71978</v>
      </c>
      <c r="K615">
        <v>28014</v>
      </c>
    </row>
    <row r="616" spans="1:11" x14ac:dyDescent="0.3">
      <c r="A616" s="10">
        <v>45664</v>
      </c>
      <c r="B616" t="s">
        <v>11</v>
      </c>
      <c r="C616" t="s">
        <v>12</v>
      </c>
      <c r="D616" t="s">
        <v>16</v>
      </c>
      <c r="E616" t="s">
        <v>14</v>
      </c>
      <c r="F616">
        <v>16</v>
      </c>
      <c r="G616">
        <v>887</v>
      </c>
      <c r="H616">
        <v>1059</v>
      </c>
      <c r="I616">
        <v>14192</v>
      </c>
      <c r="J616">
        <v>16944</v>
      </c>
      <c r="K616">
        <v>2752</v>
      </c>
    </row>
    <row r="617" spans="1:11" x14ac:dyDescent="0.3">
      <c r="A617" s="10">
        <v>45569</v>
      </c>
      <c r="B617" t="s">
        <v>21</v>
      </c>
      <c r="C617" t="s">
        <v>38</v>
      </c>
      <c r="D617" t="s">
        <v>20</v>
      </c>
      <c r="E617" t="s">
        <v>14</v>
      </c>
      <c r="F617">
        <v>61</v>
      </c>
      <c r="G617">
        <v>604</v>
      </c>
      <c r="H617">
        <v>1251</v>
      </c>
      <c r="I617">
        <v>36844</v>
      </c>
      <c r="J617">
        <v>76311</v>
      </c>
      <c r="K617">
        <v>39467</v>
      </c>
    </row>
    <row r="618" spans="1:11" x14ac:dyDescent="0.3">
      <c r="A618" s="10">
        <v>45570</v>
      </c>
      <c r="B618" t="s">
        <v>21</v>
      </c>
      <c r="C618" t="s">
        <v>38</v>
      </c>
      <c r="D618" t="s">
        <v>39</v>
      </c>
      <c r="E618" t="s">
        <v>14</v>
      </c>
      <c r="F618">
        <v>62</v>
      </c>
      <c r="G618">
        <v>641</v>
      </c>
      <c r="H618">
        <v>869</v>
      </c>
      <c r="I618">
        <v>39742</v>
      </c>
      <c r="J618">
        <v>53878</v>
      </c>
      <c r="K618">
        <v>14136</v>
      </c>
    </row>
    <row r="619" spans="1:11" x14ac:dyDescent="0.3">
      <c r="A619" s="10">
        <v>45572</v>
      </c>
      <c r="B619" t="s">
        <v>21</v>
      </c>
      <c r="C619" t="s">
        <v>38</v>
      </c>
      <c r="D619" t="s">
        <v>43</v>
      </c>
      <c r="E619" t="s">
        <v>14</v>
      </c>
      <c r="F619">
        <v>53</v>
      </c>
      <c r="G619">
        <v>913</v>
      </c>
      <c r="H619">
        <v>1369</v>
      </c>
      <c r="I619">
        <v>48389</v>
      </c>
      <c r="J619">
        <v>72557</v>
      </c>
      <c r="K619">
        <v>24168</v>
      </c>
    </row>
    <row r="620" spans="1:11" x14ac:dyDescent="0.3">
      <c r="A620" s="10">
        <v>45573</v>
      </c>
      <c r="B620" t="s">
        <v>21</v>
      </c>
      <c r="C620" t="s">
        <v>38</v>
      </c>
      <c r="D620" t="s">
        <v>44</v>
      </c>
      <c r="E620" t="s">
        <v>14</v>
      </c>
      <c r="F620">
        <v>56</v>
      </c>
      <c r="G620">
        <v>840</v>
      </c>
      <c r="H620">
        <v>1353</v>
      </c>
      <c r="I620">
        <v>47040</v>
      </c>
      <c r="J620">
        <v>75768</v>
      </c>
      <c r="K620">
        <v>28728</v>
      </c>
    </row>
    <row r="621" spans="1:11" x14ac:dyDescent="0.3">
      <c r="A621" s="10">
        <v>45574</v>
      </c>
      <c r="B621" t="s">
        <v>21</v>
      </c>
      <c r="C621" t="s">
        <v>41</v>
      </c>
      <c r="D621" t="s">
        <v>13</v>
      </c>
      <c r="E621" t="s">
        <v>14</v>
      </c>
      <c r="F621">
        <v>85</v>
      </c>
      <c r="G621">
        <v>541</v>
      </c>
      <c r="H621">
        <v>1331</v>
      </c>
      <c r="I621">
        <v>45985</v>
      </c>
      <c r="J621">
        <v>113135</v>
      </c>
      <c r="K621">
        <v>67150</v>
      </c>
    </row>
    <row r="622" spans="1:11" x14ac:dyDescent="0.3">
      <c r="A622" s="10">
        <v>45575</v>
      </c>
      <c r="B622" t="s">
        <v>21</v>
      </c>
      <c r="C622" t="s">
        <v>41</v>
      </c>
      <c r="D622" t="s">
        <v>15</v>
      </c>
      <c r="E622" t="s">
        <v>14</v>
      </c>
      <c r="F622">
        <v>56</v>
      </c>
      <c r="G622">
        <v>611</v>
      </c>
      <c r="H622">
        <v>1240</v>
      </c>
      <c r="I622">
        <v>34216</v>
      </c>
      <c r="J622">
        <v>69440</v>
      </c>
      <c r="K622">
        <v>35224</v>
      </c>
    </row>
    <row r="623" spans="1:11" x14ac:dyDescent="0.3">
      <c r="A623" s="10">
        <v>45671</v>
      </c>
      <c r="B623" t="s">
        <v>21</v>
      </c>
      <c r="C623" t="s">
        <v>41</v>
      </c>
      <c r="D623" t="s">
        <v>32</v>
      </c>
      <c r="E623" t="s">
        <v>19</v>
      </c>
      <c r="F623">
        <v>90</v>
      </c>
      <c r="G623">
        <v>554</v>
      </c>
      <c r="H623">
        <v>940</v>
      </c>
      <c r="I623">
        <v>49860</v>
      </c>
      <c r="J623">
        <v>84600</v>
      </c>
      <c r="K623">
        <v>34740</v>
      </c>
    </row>
    <row r="624" spans="1:11" x14ac:dyDescent="0.3">
      <c r="A624" s="10">
        <v>45576</v>
      </c>
      <c r="B624" t="s">
        <v>21</v>
      </c>
      <c r="C624" t="s">
        <v>41</v>
      </c>
      <c r="D624" t="s">
        <v>16</v>
      </c>
      <c r="E624" t="s">
        <v>14</v>
      </c>
      <c r="F624">
        <v>91</v>
      </c>
      <c r="G624">
        <v>867</v>
      </c>
      <c r="H624">
        <v>957</v>
      </c>
      <c r="I624">
        <v>78897</v>
      </c>
      <c r="J624">
        <v>87087</v>
      </c>
      <c r="K624">
        <v>8190</v>
      </c>
    </row>
    <row r="625" spans="1:11" x14ac:dyDescent="0.3">
      <c r="A625" s="10">
        <v>45577</v>
      </c>
      <c r="B625" t="s">
        <v>21</v>
      </c>
      <c r="C625" t="s">
        <v>41</v>
      </c>
      <c r="D625" t="s">
        <v>17</v>
      </c>
      <c r="E625" t="s">
        <v>14</v>
      </c>
      <c r="F625">
        <v>95</v>
      </c>
      <c r="G625">
        <v>508</v>
      </c>
      <c r="H625">
        <v>783</v>
      </c>
      <c r="I625">
        <v>48260</v>
      </c>
      <c r="J625">
        <v>74385</v>
      </c>
      <c r="K625">
        <v>26125</v>
      </c>
    </row>
    <row r="626" spans="1:11" x14ac:dyDescent="0.3">
      <c r="A626" s="10">
        <v>45579</v>
      </c>
      <c r="B626" t="s">
        <v>21</v>
      </c>
      <c r="C626" t="s">
        <v>41</v>
      </c>
      <c r="D626" t="s">
        <v>18</v>
      </c>
      <c r="E626" t="s">
        <v>19</v>
      </c>
      <c r="F626">
        <v>75</v>
      </c>
      <c r="G626">
        <v>549</v>
      </c>
      <c r="H626">
        <v>1108</v>
      </c>
      <c r="I626">
        <v>41175</v>
      </c>
      <c r="J626">
        <v>83100</v>
      </c>
      <c r="K626">
        <v>41925</v>
      </c>
    </row>
    <row r="627" spans="1:11" x14ac:dyDescent="0.3">
      <c r="A627" s="10">
        <v>45592</v>
      </c>
      <c r="B627" t="s">
        <v>21</v>
      </c>
      <c r="C627" t="s">
        <v>22</v>
      </c>
      <c r="D627" t="s">
        <v>39</v>
      </c>
      <c r="E627" t="s">
        <v>19</v>
      </c>
      <c r="F627">
        <v>95</v>
      </c>
      <c r="G627">
        <v>845</v>
      </c>
      <c r="H627">
        <v>1102</v>
      </c>
      <c r="I627">
        <v>80275</v>
      </c>
      <c r="J627">
        <v>104690</v>
      </c>
      <c r="K627">
        <v>24415</v>
      </c>
    </row>
    <row r="628" spans="1:11" x14ac:dyDescent="0.3">
      <c r="A628" s="10">
        <v>45593</v>
      </c>
      <c r="B628" t="s">
        <v>21</v>
      </c>
      <c r="C628" t="s">
        <v>22</v>
      </c>
      <c r="D628" t="s">
        <v>26</v>
      </c>
      <c r="E628" t="s">
        <v>19</v>
      </c>
      <c r="F628">
        <v>86</v>
      </c>
      <c r="G628">
        <v>949</v>
      </c>
      <c r="H628">
        <v>924</v>
      </c>
      <c r="I628">
        <v>81614</v>
      </c>
      <c r="J628">
        <v>79464</v>
      </c>
      <c r="K628">
        <v>-2150</v>
      </c>
    </row>
    <row r="629" spans="1:11" x14ac:dyDescent="0.3">
      <c r="A629" s="10">
        <v>45677</v>
      </c>
      <c r="B629" t="s">
        <v>11</v>
      </c>
      <c r="C629" t="s">
        <v>24</v>
      </c>
      <c r="D629" t="s">
        <v>44</v>
      </c>
      <c r="E629" t="s">
        <v>14</v>
      </c>
      <c r="F629">
        <v>11</v>
      </c>
      <c r="G629">
        <v>587</v>
      </c>
      <c r="H629">
        <v>1386</v>
      </c>
      <c r="I629">
        <v>6457</v>
      </c>
      <c r="J629">
        <v>15246</v>
      </c>
      <c r="K629">
        <v>8789</v>
      </c>
    </row>
    <row r="630" spans="1:11" x14ac:dyDescent="0.3">
      <c r="A630" s="10">
        <v>45594</v>
      </c>
      <c r="B630" t="s">
        <v>21</v>
      </c>
      <c r="C630" t="s">
        <v>22</v>
      </c>
      <c r="D630" t="s">
        <v>43</v>
      </c>
      <c r="E630" t="s">
        <v>14</v>
      </c>
      <c r="F630">
        <v>73</v>
      </c>
      <c r="G630">
        <v>801</v>
      </c>
      <c r="H630">
        <v>1092</v>
      </c>
      <c r="I630">
        <v>58473</v>
      </c>
      <c r="J630">
        <v>79716</v>
      </c>
      <c r="K630">
        <v>21243</v>
      </c>
    </row>
    <row r="631" spans="1:11" x14ac:dyDescent="0.3">
      <c r="A631" s="10">
        <v>45595</v>
      </c>
      <c r="B631" t="s">
        <v>21</v>
      </c>
      <c r="C631" t="s">
        <v>22</v>
      </c>
      <c r="D631" t="s">
        <v>44</v>
      </c>
      <c r="E631" t="s">
        <v>19</v>
      </c>
      <c r="F631">
        <v>70</v>
      </c>
      <c r="G631">
        <v>699</v>
      </c>
      <c r="H631">
        <v>1090</v>
      </c>
      <c r="I631">
        <v>48930</v>
      </c>
      <c r="J631">
        <v>76300</v>
      </c>
      <c r="K631">
        <v>27370</v>
      </c>
    </row>
    <row r="632" spans="1:11" x14ac:dyDescent="0.3">
      <c r="A632" s="10">
        <v>45603</v>
      </c>
      <c r="B632" t="s">
        <v>21</v>
      </c>
      <c r="C632" t="s">
        <v>45</v>
      </c>
      <c r="D632" t="s">
        <v>17</v>
      </c>
      <c r="E632" t="s">
        <v>14</v>
      </c>
      <c r="F632">
        <v>67</v>
      </c>
      <c r="G632">
        <v>674</v>
      </c>
      <c r="H632">
        <v>1413</v>
      </c>
      <c r="I632">
        <v>45158</v>
      </c>
      <c r="J632">
        <v>94671</v>
      </c>
      <c r="K632">
        <v>49513</v>
      </c>
    </row>
    <row r="633" spans="1:11" x14ac:dyDescent="0.3">
      <c r="A633" s="10">
        <v>45604</v>
      </c>
      <c r="B633" t="s">
        <v>21</v>
      </c>
      <c r="C633" t="s">
        <v>45</v>
      </c>
      <c r="D633" t="s">
        <v>36</v>
      </c>
      <c r="E633" t="s">
        <v>14</v>
      </c>
      <c r="F633">
        <v>55</v>
      </c>
      <c r="G633">
        <v>599</v>
      </c>
      <c r="H633">
        <v>1482</v>
      </c>
      <c r="I633">
        <v>32945</v>
      </c>
      <c r="J633">
        <v>81510</v>
      </c>
      <c r="K633">
        <v>48565</v>
      </c>
    </row>
    <row r="634" spans="1:11" x14ac:dyDescent="0.3">
      <c r="A634" s="10">
        <v>45606</v>
      </c>
      <c r="B634" t="s">
        <v>21</v>
      </c>
      <c r="C634" t="s">
        <v>45</v>
      </c>
      <c r="D634" t="s">
        <v>26</v>
      </c>
      <c r="E634" t="s">
        <v>14</v>
      </c>
      <c r="F634">
        <v>90</v>
      </c>
      <c r="G634">
        <v>962</v>
      </c>
      <c r="H634">
        <v>1495</v>
      </c>
      <c r="I634">
        <v>86580</v>
      </c>
      <c r="J634">
        <v>134550</v>
      </c>
      <c r="K634">
        <v>47970</v>
      </c>
    </row>
    <row r="635" spans="1:11" x14ac:dyDescent="0.3">
      <c r="A635" s="10">
        <v>45683</v>
      </c>
      <c r="B635" t="s">
        <v>11</v>
      </c>
      <c r="C635" t="s">
        <v>24</v>
      </c>
      <c r="D635" t="s">
        <v>18</v>
      </c>
      <c r="E635" t="s">
        <v>14</v>
      </c>
      <c r="F635">
        <v>18</v>
      </c>
      <c r="G635">
        <v>910</v>
      </c>
      <c r="H635">
        <v>1065</v>
      </c>
      <c r="I635">
        <v>16380</v>
      </c>
      <c r="J635">
        <v>19170</v>
      </c>
      <c r="K635">
        <v>2790</v>
      </c>
    </row>
    <row r="636" spans="1:11" x14ac:dyDescent="0.3">
      <c r="A636" s="10">
        <v>45607</v>
      </c>
      <c r="B636" t="s">
        <v>21</v>
      </c>
      <c r="C636" t="s">
        <v>45</v>
      </c>
      <c r="D636" t="s">
        <v>17</v>
      </c>
      <c r="E636" t="s">
        <v>14</v>
      </c>
      <c r="F636">
        <v>71</v>
      </c>
      <c r="G636">
        <v>739</v>
      </c>
      <c r="H636">
        <v>1353</v>
      </c>
      <c r="I636">
        <v>52469</v>
      </c>
      <c r="J636">
        <v>96063</v>
      </c>
      <c r="K636">
        <v>43594</v>
      </c>
    </row>
    <row r="637" spans="1:11" x14ac:dyDescent="0.3">
      <c r="A637" s="10">
        <v>45608</v>
      </c>
      <c r="B637" t="s">
        <v>21</v>
      </c>
      <c r="C637" t="s">
        <v>45</v>
      </c>
      <c r="D637" t="s">
        <v>34</v>
      </c>
      <c r="E637" t="s">
        <v>14</v>
      </c>
      <c r="F637">
        <v>63</v>
      </c>
      <c r="G637">
        <v>691</v>
      </c>
      <c r="H637">
        <v>1058</v>
      </c>
      <c r="I637">
        <v>43533</v>
      </c>
      <c r="J637">
        <v>66654</v>
      </c>
      <c r="K637">
        <v>23121</v>
      </c>
    </row>
    <row r="638" spans="1:11" x14ac:dyDescent="0.3">
      <c r="A638" s="10">
        <v>45636</v>
      </c>
      <c r="B638" t="s">
        <v>21</v>
      </c>
      <c r="C638" t="s">
        <v>38</v>
      </c>
      <c r="D638" t="s">
        <v>13</v>
      </c>
      <c r="E638" t="s">
        <v>19</v>
      </c>
      <c r="F638">
        <v>99</v>
      </c>
      <c r="G638">
        <v>705</v>
      </c>
      <c r="H638">
        <v>1356</v>
      </c>
      <c r="I638">
        <v>69795</v>
      </c>
      <c r="J638">
        <v>134244</v>
      </c>
      <c r="K638">
        <v>64449</v>
      </c>
    </row>
    <row r="639" spans="1:11" x14ac:dyDescent="0.3">
      <c r="A639" s="10">
        <v>45687</v>
      </c>
      <c r="B639" t="s">
        <v>11</v>
      </c>
      <c r="C639" t="s">
        <v>24</v>
      </c>
      <c r="D639" t="s">
        <v>20</v>
      </c>
      <c r="E639" t="s">
        <v>19</v>
      </c>
      <c r="F639">
        <v>11</v>
      </c>
      <c r="G639">
        <v>543</v>
      </c>
      <c r="H639">
        <v>1153</v>
      </c>
      <c r="I639">
        <v>5973</v>
      </c>
      <c r="J639">
        <v>12683</v>
      </c>
      <c r="K639">
        <v>6710</v>
      </c>
    </row>
    <row r="640" spans="1:11" x14ac:dyDescent="0.3">
      <c r="A640" s="10">
        <v>45638</v>
      </c>
      <c r="B640" t="s">
        <v>21</v>
      </c>
      <c r="C640" t="s">
        <v>38</v>
      </c>
      <c r="D640" t="s">
        <v>16</v>
      </c>
      <c r="E640" t="s">
        <v>14</v>
      </c>
      <c r="F640">
        <v>74</v>
      </c>
      <c r="G640">
        <v>922</v>
      </c>
      <c r="H640">
        <v>970</v>
      </c>
      <c r="I640">
        <v>68228</v>
      </c>
      <c r="J640">
        <v>71780</v>
      </c>
      <c r="K640">
        <v>3552</v>
      </c>
    </row>
    <row r="641" spans="1:11" x14ac:dyDescent="0.3">
      <c r="A641" s="10">
        <v>45639</v>
      </c>
      <c r="B641" t="s">
        <v>21</v>
      </c>
      <c r="C641" t="s">
        <v>38</v>
      </c>
      <c r="D641" t="s">
        <v>17</v>
      </c>
      <c r="E641" t="s">
        <v>14</v>
      </c>
      <c r="F641">
        <v>72</v>
      </c>
      <c r="G641">
        <v>560</v>
      </c>
      <c r="H641">
        <v>918</v>
      </c>
      <c r="I641">
        <v>40320</v>
      </c>
      <c r="J641">
        <v>66096</v>
      </c>
      <c r="K641">
        <v>25776</v>
      </c>
    </row>
    <row r="642" spans="1:11" x14ac:dyDescent="0.3">
      <c r="A642" s="10">
        <v>45640</v>
      </c>
      <c r="B642" t="s">
        <v>21</v>
      </c>
      <c r="C642" t="s">
        <v>38</v>
      </c>
      <c r="D642" t="s">
        <v>23</v>
      </c>
      <c r="E642" t="s">
        <v>14</v>
      </c>
      <c r="F642">
        <v>59</v>
      </c>
      <c r="G642">
        <v>834</v>
      </c>
      <c r="H642">
        <v>951</v>
      </c>
      <c r="I642">
        <v>49206</v>
      </c>
      <c r="J642">
        <v>56109</v>
      </c>
      <c r="K642">
        <v>6903</v>
      </c>
    </row>
    <row r="643" spans="1:11" x14ac:dyDescent="0.3">
      <c r="A643" s="10">
        <v>45641</v>
      </c>
      <c r="B643" t="s">
        <v>21</v>
      </c>
      <c r="C643" t="s">
        <v>38</v>
      </c>
      <c r="D643" t="s">
        <v>25</v>
      </c>
      <c r="E643" t="s">
        <v>14</v>
      </c>
      <c r="F643">
        <v>83</v>
      </c>
      <c r="G643">
        <v>840</v>
      </c>
      <c r="H643">
        <v>828</v>
      </c>
      <c r="I643">
        <v>69720</v>
      </c>
      <c r="J643">
        <v>68724</v>
      </c>
      <c r="K643">
        <v>-996</v>
      </c>
    </row>
    <row r="644" spans="1:11" x14ac:dyDescent="0.3">
      <c r="A644" s="10">
        <v>45643</v>
      </c>
      <c r="B644" t="s">
        <v>21</v>
      </c>
      <c r="C644" t="s">
        <v>38</v>
      </c>
      <c r="D644" t="s">
        <v>34</v>
      </c>
      <c r="E644" t="s">
        <v>14</v>
      </c>
      <c r="F644">
        <v>64</v>
      </c>
      <c r="G644">
        <v>965</v>
      </c>
      <c r="H644">
        <v>1357</v>
      </c>
      <c r="I644">
        <v>61760</v>
      </c>
      <c r="J644">
        <v>86848</v>
      </c>
      <c r="K644">
        <v>25088</v>
      </c>
    </row>
    <row r="645" spans="1:11" x14ac:dyDescent="0.3">
      <c r="A645" s="10">
        <v>45644</v>
      </c>
      <c r="B645" t="s">
        <v>21</v>
      </c>
      <c r="C645" t="s">
        <v>38</v>
      </c>
      <c r="D645" t="s">
        <v>34</v>
      </c>
      <c r="E645" t="s">
        <v>14</v>
      </c>
      <c r="F645">
        <v>59</v>
      </c>
      <c r="G645">
        <v>671</v>
      </c>
      <c r="H645">
        <v>1410</v>
      </c>
      <c r="I645">
        <v>39589</v>
      </c>
      <c r="J645">
        <v>83190</v>
      </c>
      <c r="K645">
        <v>43601</v>
      </c>
    </row>
    <row r="646" spans="1:11" x14ac:dyDescent="0.3">
      <c r="A646" s="10">
        <v>45645</v>
      </c>
      <c r="B646" t="s">
        <v>21</v>
      </c>
      <c r="C646" t="s">
        <v>38</v>
      </c>
      <c r="D646" t="s">
        <v>32</v>
      </c>
      <c r="E646" t="s">
        <v>14</v>
      </c>
      <c r="F646">
        <v>85</v>
      </c>
      <c r="G646">
        <v>761</v>
      </c>
      <c r="H646">
        <v>926</v>
      </c>
      <c r="I646">
        <v>64685</v>
      </c>
      <c r="J646">
        <v>78710</v>
      </c>
      <c r="K646">
        <v>14025</v>
      </c>
    </row>
    <row r="647" spans="1:11" x14ac:dyDescent="0.3">
      <c r="A647" s="10">
        <v>45647</v>
      </c>
      <c r="B647" t="s">
        <v>21</v>
      </c>
      <c r="C647" t="s">
        <v>38</v>
      </c>
      <c r="D647" t="s">
        <v>20</v>
      </c>
      <c r="E647" t="s">
        <v>14</v>
      </c>
      <c r="F647">
        <v>81</v>
      </c>
      <c r="G647">
        <v>522</v>
      </c>
      <c r="H647">
        <v>1238</v>
      </c>
      <c r="I647">
        <v>42282</v>
      </c>
      <c r="J647">
        <v>100278</v>
      </c>
      <c r="K647">
        <v>57996</v>
      </c>
    </row>
    <row r="648" spans="1:11" x14ac:dyDescent="0.3">
      <c r="A648" s="10">
        <v>45649</v>
      </c>
      <c r="B648" t="s">
        <v>21</v>
      </c>
      <c r="C648" t="s">
        <v>41</v>
      </c>
      <c r="D648" t="s">
        <v>26</v>
      </c>
      <c r="E648" t="s">
        <v>14</v>
      </c>
      <c r="F648">
        <v>72</v>
      </c>
      <c r="G648">
        <v>943</v>
      </c>
      <c r="H648">
        <v>1233</v>
      </c>
      <c r="I648">
        <v>67896</v>
      </c>
      <c r="J648">
        <v>88776</v>
      </c>
      <c r="K648">
        <v>20880</v>
      </c>
    </row>
    <row r="649" spans="1:11" x14ac:dyDescent="0.3">
      <c r="A649" s="10">
        <v>45650</v>
      </c>
      <c r="B649" t="s">
        <v>21</v>
      </c>
      <c r="C649" t="s">
        <v>41</v>
      </c>
      <c r="D649" t="s">
        <v>43</v>
      </c>
      <c r="E649" t="s">
        <v>14</v>
      </c>
      <c r="F649">
        <v>67</v>
      </c>
      <c r="G649">
        <v>801</v>
      </c>
      <c r="H649">
        <v>1220</v>
      </c>
      <c r="I649">
        <v>53667</v>
      </c>
      <c r="J649">
        <v>81740</v>
      </c>
      <c r="K649">
        <v>28073</v>
      </c>
    </row>
    <row r="650" spans="1:11" x14ac:dyDescent="0.3">
      <c r="A650" s="10">
        <v>45698</v>
      </c>
      <c r="B650" t="s">
        <v>27</v>
      </c>
      <c r="C650" t="s">
        <v>40</v>
      </c>
      <c r="D650" t="s">
        <v>20</v>
      </c>
      <c r="E650" t="s">
        <v>14</v>
      </c>
      <c r="F650">
        <v>29</v>
      </c>
      <c r="G650">
        <v>725</v>
      </c>
      <c r="H650">
        <v>792</v>
      </c>
      <c r="I650">
        <v>21025</v>
      </c>
      <c r="J650">
        <v>22968</v>
      </c>
      <c r="K650">
        <v>1943</v>
      </c>
    </row>
    <row r="651" spans="1:11" x14ac:dyDescent="0.3">
      <c r="A651" s="10">
        <v>45651</v>
      </c>
      <c r="B651" t="s">
        <v>21</v>
      </c>
      <c r="C651" t="s">
        <v>41</v>
      </c>
      <c r="D651" t="s">
        <v>44</v>
      </c>
      <c r="E651" t="s">
        <v>14</v>
      </c>
      <c r="F651">
        <v>57</v>
      </c>
      <c r="G651">
        <v>647</v>
      </c>
      <c r="H651">
        <v>905</v>
      </c>
      <c r="I651">
        <v>36879</v>
      </c>
      <c r="J651">
        <v>51585</v>
      </c>
      <c r="K651">
        <v>14706</v>
      </c>
    </row>
    <row r="652" spans="1:11" x14ac:dyDescent="0.3">
      <c r="A652" s="10">
        <v>45652</v>
      </c>
      <c r="B652" t="s">
        <v>21</v>
      </c>
      <c r="C652" t="s">
        <v>41</v>
      </c>
      <c r="D652" t="s">
        <v>13</v>
      </c>
      <c r="E652" t="s">
        <v>14</v>
      </c>
      <c r="F652">
        <v>91</v>
      </c>
      <c r="G652">
        <v>906</v>
      </c>
      <c r="H652">
        <v>925</v>
      </c>
      <c r="I652">
        <v>82446</v>
      </c>
      <c r="J652">
        <v>84175</v>
      </c>
      <c r="K652">
        <v>1729</v>
      </c>
    </row>
    <row r="653" spans="1:11" x14ac:dyDescent="0.3">
      <c r="A653" s="10">
        <v>45654</v>
      </c>
      <c r="B653" t="s">
        <v>21</v>
      </c>
      <c r="C653" t="s">
        <v>41</v>
      </c>
      <c r="D653" t="s">
        <v>16</v>
      </c>
      <c r="E653" t="s">
        <v>19</v>
      </c>
      <c r="F653">
        <v>82</v>
      </c>
      <c r="G653">
        <v>955</v>
      </c>
      <c r="H653">
        <v>1218</v>
      </c>
      <c r="I653">
        <v>78310</v>
      </c>
      <c r="J653">
        <v>99876</v>
      </c>
      <c r="K653">
        <v>21566</v>
      </c>
    </row>
    <row r="654" spans="1:11" x14ac:dyDescent="0.3">
      <c r="A654" s="10">
        <v>45702</v>
      </c>
      <c r="B654" t="s">
        <v>21</v>
      </c>
      <c r="C654" t="s">
        <v>38</v>
      </c>
      <c r="D654" t="s">
        <v>34</v>
      </c>
      <c r="E654" t="s">
        <v>14</v>
      </c>
      <c r="F654">
        <v>59</v>
      </c>
      <c r="G654">
        <v>725</v>
      </c>
      <c r="H654">
        <v>1113</v>
      </c>
      <c r="I654">
        <v>42775</v>
      </c>
      <c r="J654">
        <v>65667</v>
      </c>
      <c r="K654">
        <v>22892</v>
      </c>
    </row>
    <row r="655" spans="1:11" x14ac:dyDescent="0.3">
      <c r="A655" s="10">
        <v>45655</v>
      </c>
      <c r="B655" t="s">
        <v>21</v>
      </c>
      <c r="C655" t="s">
        <v>41</v>
      </c>
      <c r="D655" t="s">
        <v>17</v>
      </c>
      <c r="E655" t="s">
        <v>19</v>
      </c>
      <c r="F655">
        <v>72</v>
      </c>
      <c r="G655">
        <v>829</v>
      </c>
      <c r="H655">
        <v>1165</v>
      </c>
      <c r="I655">
        <v>59688</v>
      </c>
      <c r="J655">
        <v>83880</v>
      </c>
      <c r="K655">
        <v>24192</v>
      </c>
    </row>
    <row r="656" spans="1:11" x14ac:dyDescent="0.3">
      <c r="A656" s="10">
        <v>45656</v>
      </c>
      <c r="B656" t="s">
        <v>21</v>
      </c>
      <c r="C656" t="s">
        <v>41</v>
      </c>
      <c r="D656" t="s">
        <v>17</v>
      </c>
      <c r="E656" t="s">
        <v>19</v>
      </c>
      <c r="F656">
        <v>62</v>
      </c>
      <c r="G656">
        <v>680</v>
      </c>
      <c r="H656">
        <v>912</v>
      </c>
      <c r="I656">
        <v>42160</v>
      </c>
      <c r="J656">
        <v>56544</v>
      </c>
      <c r="K656">
        <v>14384</v>
      </c>
    </row>
    <row r="657" spans="1:11" x14ac:dyDescent="0.3">
      <c r="A657" s="10">
        <v>45657</v>
      </c>
      <c r="B657" t="s">
        <v>21</v>
      </c>
      <c r="C657" t="s">
        <v>41</v>
      </c>
      <c r="D657" t="s">
        <v>18</v>
      </c>
      <c r="E657" t="s">
        <v>19</v>
      </c>
      <c r="F657">
        <v>67</v>
      </c>
      <c r="G657">
        <v>600</v>
      </c>
      <c r="H657">
        <v>1328</v>
      </c>
      <c r="I657">
        <v>40200</v>
      </c>
      <c r="J657">
        <v>88976</v>
      </c>
      <c r="K657">
        <v>48776</v>
      </c>
    </row>
    <row r="658" spans="1:11" x14ac:dyDescent="0.3">
      <c r="A658" s="10">
        <v>45658</v>
      </c>
      <c r="B658" t="s">
        <v>21</v>
      </c>
      <c r="C658" t="s">
        <v>41</v>
      </c>
      <c r="D658" t="s">
        <v>20</v>
      </c>
      <c r="E658" t="s">
        <v>14</v>
      </c>
      <c r="F658">
        <v>97</v>
      </c>
      <c r="G658">
        <v>946</v>
      </c>
      <c r="H658">
        <v>1297</v>
      </c>
      <c r="I658">
        <v>91762</v>
      </c>
      <c r="J658">
        <v>125809</v>
      </c>
      <c r="K658">
        <v>34047</v>
      </c>
    </row>
    <row r="659" spans="1:11" x14ac:dyDescent="0.3">
      <c r="A659" s="10">
        <v>45666</v>
      </c>
      <c r="B659" t="s">
        <v>21</v>
      </c>
      <c r="C659" t="s">
        <v>38</v>
      </c>
      <c r="D659" t="s">
        <v>23</v>
      </c>
      <c r="E659" t="s">
        <v>19</v>
      </c>
      <c r="F659">
        <v>62</v>
      </c>
      <c r="G659">
        <v>800</v>
      </c>
      <c r="H659">
        <v>882</v>
      </c>
      <c r="I659">
        <v>49600</v>
      </c>
      <c r="J659">
        <v>54684</v>
      </c>
      <c r="K659">
        <v>5084</v>
      </c>
    </row>
    <row r="660" spans="1:11" x14ac:dyDescent="0.3">
      <c r="A660" s="10">
        <v>45667</v>
      </c>
      <c r="B660" t="s">
        <v>21</v>
      </c>
      <c r="C660" t="s">
        <v>38</v>
      </c>
      <c r="D660" t="s">
        <v>25</v>
      </c>
      <c r="E660" t="s">
        <v>19</v>
      </c>
      <c r="F660">
        <v>65</v>
      </c>
      <c r="G660">
        <v>875</v>
      </c>
      <c r="H660">
        <v>1361</v>
      </c>
      <c r="I660">
        <v>56875</v>
      </c>
      <c r="J660">
        <v>88465</v>
      </c>
      <c r="K660">
        <v>31590</v>
      </c>
    </row>
    <row r="661" spans="1:11" x14ac:dyDescent="0.3">
      <c r="A661" s="10">
        <v>45709</v>
      </c>
      <c r="B661" t="s">
        <v>21</v>
      </c>
      <c r="C661" t="s">
        <v>38</v>
      </c>
      <c r="D661" t="s">
        <v>43</v>
      </c>
      <c r="E661" t="s">
        <v>19</v>
      </c>
      <c r="F661">
        <v>100</v>
      </c>
      <c r="G661">
        <v>831</v>
      </c>
      <c r="H661">
        <v>1466</v>
      </c>
      <c r="I661">
        <v>83100</v>
      </c>
      <c r="J661">
        <v>146600</v>
      </c>
      <c r="K661">
        <v>63500</v>
      </c>
    </row>
    <row r="662" spans="1:11" x14ac:dyDescent="0.3">
      <c r="A662" s="10">
        <v>45668</v>
      </c>
      <c r="B662" t="s">
        <v>21</v>
      </c>
      <c r="C662" t="s">
        <v>38</v>
      </c>
      <c r="D662" t="s">
        <v>25</v>
      </c>
      <c r="E662" t="s">
        <v>19</v>
      </c>
      <c r="F662">
        <v>88</v>
      </c>
      <c r="G662">
        <v>823</v>
      </c>
      <c r="H662">
        <v>1026</v>
      </c>
      <c r="I662">
        <v>72424</v>
      </c>
      <c r="J662">
        <v>90288</v>
      </c>
      <c r="K662">
        <v>17864</v>
      </c>
    </row>
    <row r="663" spans="1:11" x14ac:dyDescent="0.3">
      <c r="A663" s="10">
        <v>45669</v>
      </c>
      <c r="B663" t="s">
        <v>21</v>
      </c>
      <c r="C663" t="s">
        <v>38</v>
      </c>
      <c r="D663" t="s">
        <v>34</v>
      </c>
      <c r="E663" t="s">
        <v>14</v>
      </c>
      <c r="F663">
        <v>54</v>
      </c>
      <c r="G663">
        <v>664</v>
      </c>
      <c r="H663">
        <v>761</v>
      </c>
      <c r="I663">
        <v>35856</v>
      </c>
      <c r="J663">
        <v>41094</v>
      </c>
      <c r="K663">
        <v>5238</v>
      </c>
    </row>
    <row r="664" spans="1:11" x14ac:dyDescent="0.3">
      <c r="A664" s="10">
        <v>45670</v>
      </c>
      <c r="B664" t="s">
        <v>21</v>
      </c>
      <c r="C664" t="s">
        <v>38</v>
      </c>
      <c r="D664" t="s">
        <v>34</v>
      </c>
      <c r="E664" t="s">
        <v>19</v>
      </c>
      <c r="F664">
        <v>52</v>
      </c>
      <c r="G664">
        <v>538</v>
      </c>
      <c r="H664">
        <v>1257</v>
      </c>
      <c r="I664">
        <v>27976</v>
      </c>
      <c r="J664">
        <v>65364</v>
      </c>
      <c r="K664">
        <v>37388</v>
      </c>
    </row>
    <row r="665" spans="1:11" x14ac:dyDescent="0.3">
      <c r="A665" s="10">
        <v>45672</v>
      </c>
      <c r="B665" t="s">
        <v>21</v>
      </c>
      <c r="C665" t="s">
        <v>41</v>
      </c>
      <c r="D665" t="s">
        <v>25</v>
      </c>
      <c r="E665" t="s">
        <v>19</v>
      </c>
      <c r="F665">
        <v>81</v>
      </c>
      <c r="G665">
        <v>556</v>
      </c>
      <c r="H665">
        <v>1345</v>
      </c>
      <c r="I665">
        <v>45036</v>
      </c>
      <c r="J665">
        <v>108945</v>
      </c>
      <c r="K665">
        <v>63909</v>
      </c>
    </row>
    <row r="666" spans="1:11" x14ac:dyDescent="0.3">
      <c r="A666" s="10">
        <v>45673</v>
      </c>
      <c r="B666" t="s">
        <v>21</v>
      </c>
      <c r="C666" t="s">
        <v>41</v>
      </c>
      <c r="D666" t="s">
        <v>20</v>
      </c>
      <c r="E666" t="s">
        <v>19</v>
      </c>
      <c r="F666">
        <v>72</v>
      </c>
      <c r="G666">
        <v>608</v>
      </c>
      <c r="H666">
        <v>1209</v>
      </c>
      <c r="I666">
        <v>43776</v>
      </c>
      <c r="J666">
        <v>87048</v>
      </c>
      <c r="K666">
        <v>43272</v>
      </c>
    </row>
    <row r="667" spans="1:11" x14ac:dyDescent="0.3">
      <c r="A667" s="10">
        <v>45674</v>
      </c>
      <c r="B667" t="s">
        <v>21</v>
      </c>
      <c r="C667" t="s">
        <v>41</v>
      </c>
      <c r="D667" t="s">
        <v>39</v>
      </c>
      <c r="E667" t="s">
        <v>14</v>
      </c>
      <c r="F667">
        <v>61</v>
      </c>
      <c r="G667">
        <v>994</v>
      </c>
      <c r="H667">
        <v>886</v>
      </c>
      <c r="I667">
        <v>60634</v>
      </c>
      <c r="J667">
        <v>54046</v>
      </c>
      <c r="K667">
        <v>-6588</v>
      </c>
    </row>
    <row r="668" spans="1:11" x14ac:dyDescent="0.3">
      <c r="A668" s="10">
        <v>45675</v>
      </c>
      <c r="B668" t="s">
        <v>21</v>
      </c>
      <c r="C668" t="s">
        <v>41</v>
      </c>
      <c r="D668" t="s">
        <v>26</v>
      </c>
      <c r="E668" t="s">
        <v>14</v>
      </c>
      <c r="F668">
        <v>57</v>
      </c>
      <c r="G668">
        <v>566</v>
      </c>
      <c r="H668">
        <v>830</v>
      </c>
      <c r="I668">
        <v>32262</v>
      </c>
      <c r="J668">
        <v>47310</v>
      </c>
      <c r="K668">
        <v>15048</v>
      </c>
    </row>
    <row r="669" spans="1:11" x14ac:dyDescent="0.3">
      <c r="A669" s="10">
        <v>45676</v>
      </c>
      <c r="B669" t="s">
        <v>21</v>
      </c>
      <c r="C669" t="s">
        <v>41</v>
      </c>
      <c r="D669" t="s">
        <v>43</v>
      </c>
      <c r="E669" t="s">
        <v>14</v>
      </c>
      <c r="F669">
        <v>50</v>
      </c>
      <c r="G669">
        <v>714</v>
      </c>
      <c r="H669">
        <v>1071</v>
      </c>
      <c r="I669">
        <v>35700</v>
      </c>
      <c r="J669">
        <v>53550</v>
      </c>
      <c r="K669">
        <v>17850</v>
      </c>
    </row>
    <row r="670" spans="1:11" x14ac:dyDescent="0.3">
      <c r="A670" s="10">
        <v>45700</v>
      </c>
      <c r="B670" t="s">
        <v>21</v>
      </c>
      <c r="C670" t="s">
        <v>38</v>
      </c>
      <c r="D670" t="s">
        <v>25</v>
      </c>
      <c r="E670" t="s">
        <v>14</v>
      </c>
      <c r="F670">
        <v>80</v>
      </c>
      <c r="G670">
        <v>636</v>
      </c>
      <c r="H670">
        <v>1259</v>
      </c>
      <c r="I670">
        <v>50880</v>
      </c>
      <c r="J670">
        <v>100720</v>
      </c>
      <c r="K670">
        <v>49840</v>
      </c>
    </row>
    <row r="671" spans="1:11" x14ac:dyDescent="0.3">
      <c r="A671" s="10">
        <v>45701</v>
      </c>
      <c r="B671" t="s">
        <v>21</v>
      </c>
      <c r="C671" t="s">
        <v>38</v>
      </c>
      <c r="D671" t="s">
        <v>25</v>
      </c>
      <c r="E671" t="s">
        <v>14</v>
      </c>
      <c r="F671">
        <v>50</v>
      </c>
      <c r="G671">
        <v>581</v>
      </c>
      <c r="H671">
        <v>1380</v>
      </c>
      <c r="I671">
        <v>29050</v>
      </c>
      <c r="J671">
        <v>69000</v>
      </c>
      <c r="K671">
        <v>39950</v>
      </c>
    </row>
    <row r="672" spans="1:11" x14ac:dyDescent="0.3">
      <c r="A672" s="10">
        <v>45389</v>
      </c>
      <c r="B672" t="s">
        <v>21</v>
      </c>
      <c r="C672" t="s">
        <v>22</v>
      </c>
      <c r="D672" t="s">
        <v>23</v>
      </c>
      <c r="E672" t="s">
        <v>19</v>
      </c>
      <c r="F672">
        <v>78</v>
      </c>
      <c r="G672">
        <v>655</v>
      </c>
      <c r="H672">
        <v>790</v>
      </c>
      <c r="I672">
        <v>51090</v>
      </c>
      <c r="J672">
        <v>61620</v>
      </c>
      <c r="K672">
        <v>10530</v>
      </c>
    </row>
    <row r="673" spans="1:11" x14ac:dyDescent="0.3">
      <c r="A673" s="10">
        <v>45703</v>
      </c>
      <c r="B673" t="s">
        <v>21</v>
      </c>
      <c r="C673" t="s">
        <v>38</v>
      </c>
      <c r="D673" t="s">
        <v>34</v>
      </c>
      <c r="E673" t="s">
        <v>14</v>
      </c>
      <c r="F673">
        <v>78</v>
      </c>
      <c r="G673">
        <v>964</v>
      </c>
      <c r="H673">
        <v>1264</v>
      </c>
      <c r="I673">
        <v>75192</v>
      </c>
      <c r="J673">
        <v>98592</v>
      </c>
      <c r="K673">
        <v>23400</v>
      </c>
    </row>
    <row r="674" spans="1:11" x14ac:dyDescent="0.3">
      <c r="A674" s="10">
        <v>45704</v>
      </c>
      <c r="B674" t="s">
        <v>21</v>
      </c>
      <c r="C674" t="s">
        <v>38</v>
      </c>
      <c r="D674" t="s">
        <v>32</v>
      </c>
      <c r="E674" t="s">
        <v>19</v>
      </c>
      <c r="F674">
        <v>97</v>
      </c>
      <c r="G674">
        <v>982</v>
      </c>
      <c r="H674">
        <v>1243</v>
      </c>
      <c r="I674">
        <v>95254</v>
      </c>
      <c r="J674">
        <v>120571</v>
      </c>
      <c r="K674">
        <v>25317</v>
      </c>
    </row>
    <row r="675" spans="1:11" x14ac:dyDescent="0.3">
      <c r="A675" s="10">
        <v>45705</v>
      </c>
      <c r="B675" t="s">
        <v>21</v>
      </c>
      <c r="C675" t="s">
        <v>38</v>
      </c>
      <c r="D675" t="s">
        <v>25</v>
      </c>
      <c r="E675" t="s">
        <v>19</v>
      </c>
      <c r="F675">
        <v>93</v>
      </c>
      <c r="G675">
        <v>736</v>
      </c>
      <c r="H675">
        <v>864</v>
      </c>
      <c r="I675">
        <v>68448</v>
      </c>
      <c r="J675">
        <v>80352</v>
      </c>
      <c r="K675">
        <v>11904</v>
      </c>
    </row>
    <row r="676" spans="1:11" x14ac:dyDescent="0.3">
      <c r="A676" s="10">
        <v>45706</v>
      </c>
      <c r="B676" t="s">
        <v>21</v>
      </c>
      <c r="C676" t="s">
        <v>38</v>
      </c>
      <c r="D676" t="s">
        <v>20</v>
      </c>
      <c r="E676" t="s">
        <v>19</v>
      </c>
      <c r="F676">
        <v>51</v>
      </c>
      <c r="G676">
        <v>608</v>
      </c>
      <c r="H676">
        <v>1179</v>
      </c>
      <c r="I676">
        <v>31008</v>
      </c>
      <c r="J676">
        <v>60129</v>
      </c>
      <c r="K676">
        <v>29121</v>
      </c>
    </row>
    <row r="677" spans="1:11" x14ac:dyDescent="0.3">
      <c r="A677" s="10">
        <v>45707</v>
      </c>
      <c r="B677" t="s">
        <v>21</v>
      </c>
      <c r="C677" t="s">
        <v>38</v>
      </c>
      <c r="D677" t="s">
        <v>39</v>
      </c>
      <c r="E677" t="s">
        <v>19</v>
      </c>
      <c r="F677">
        <v>95</v>
      </c>
      <c r="G677">
        <v>642</v>
      </c>
      <c r="H677">
        <v>796</v>
      </c>
      <c r="I677">
        <v>60990</v>
      </c>
      <c r="J677">
        <v>75620</v>
      </c>
      <c r="K677">
        <v>14630</v>
      </c>
    </row>
    <row r="678" spans="1:11" x14ac:dyDescent="0.3">
      <c r="A678" s="10">
        <v>45395</v>
      </c>
      <c r="B678" t="s">
        <v>27</v>
      </c>
      <c r="C678" t="s">
        <v>28</v>
      </c>
      <c r="D678" t="s">
        <v>26</v>
      </c>
      <c r="E678" t="s">
        <v>14</v>
      </c>
      <c r="F678">
        <v>22</v>
      </c>
      <c r="G678">
        <v>755</v>
      </c>
      <c r="H678">
        <v>996</v>
      </c>
      <c r="I678">
        <v>16610</v>
      </c>
      <c r="J678">
        <v>21912</v>
      </c>
      <c r="K678">
        <v>5302</v>
      </c>
    </row>
    <row r="679" spans="1:11" x14ac:dyDescent="0.3">
      <c r="A679" s="10">
        <v>45708</v>
      </c>
      <c r="B679" t="s">
        <v>21</v>
      </c>
      <c r="C679" t="s">
        <v>38</v>
      </c>
      <c r="D679" t="s">
        <v>26</v>
      </c>
      <c r="E679" t="s">
        <v>14</v>
      </c>
      <c r="F679">
        <v>90</v>
      </c>
      <c r="G679">
        <v>713</v>
      </c>
      <c r="H679">
        <v>1148</v>
      </c>
      <c r="I679">
        <v>64170</v>
      </c>
      <c r="J679">
        <v>103320</v>
      </c>
      <c r="K679">
        <v>39150</v>
      </c>
    </row>
    <row r="680" spans="1:11" x14ac:dyDescent="0.3">
      <c r="A680" s="10">
        <v>45710</v>
      </c>
      <c r="B680" t="s">
        <v>21</v>
      </c>
      <c r="C680" t="s">
        <v>38</v>
      </c>
      <c r="D680" t="s">
        <v>44</v>
      </c>
      <c r="E680" t="s">
        <v>19</v>
      </c>
      <c r="F680">
        <v>81</v>
      </c>
      <c r="G680">
        <v>813</v>
      </c>
      <c r="H680">
        <v>1428</v>
      </c>
      <c r="I680">
        <v>65853</v>
      </c>
      <c r="J680">
        <v>115668</v>
      </c>
      <c r="K680">
        <v>49815</v>
      </c>
    </row>
    <row r="681" spans="1:11" x14ac:dyDescent="0.3">
      <c r="A681" s="10">
        <v>45711</v>
      </c>
      <c r="B681" t="s">
        <v>21</v>
      </c>
      <c r="C681" t="s">
        <v>38</v>
      </c>
      <c r="D681" t="s">
        <v>13</v>
      </c>
      <c r="E681" t="s">
        <v>19</v>
      </c>
      <c r="F681">
        <v>57</v>
      </c>
      <c r="G681">
        <v>912</v>
      </c>
      <c r="H681">
        <v>1246</v>
      </c>
      <c r="I681">
        <v>51984</v>
      </c>
      <c r="J681">
        <v>71022</v>
      </c>
      <c r="K681">
        <v>19038</v>
      </c>
    </row>
    <row r="682" spans="1:11" x14ac:dyDescent="0.3">
      <c r="A682" s="10">
        <v>45712</v>
      </c>
      <c r="B682" t="s">
        <v>21</v>
      </c>
      <c r="C682" t="s">
        <v>41</v>
      </c>
      <c r="D682" t="s">
        <v>15</v>
      </c>
      <c r="E682" t="s">
        <v>19</v>
      </c>
      <c r="F682">
        <v>61</v>
      </c>
      <c r="G682">
        <v>565</v>
      </c>
      <c r="H682">
        <v>1212</v>
      </c>
      <c r="I682">
        <v>34465</v>
      </c>
      <c r="J682">
        <v>73932</v>
      </c>
      <c r="K682">
        <v>39467</v>
      </c>
    </row>
    <row r="683" spans="1:11" x14ac:dyDescent="0.3">
      <c r="A683" s="10">
        <v>45713</v>
      </c>
      <c r="B683" t="s">
        <v>21</v>
      </c>
      <c r="C683" t="s">
        <v>46</v>
      </c>
      <c r="D683" t="s">
        <v>15</v>
      </c>
      <c r="E683" t="s">
        <v>19</v>
      </c>
      <c r="F683">
        <v>62</v>
      </c>
      <c r="G683">
        <v>805</v>
      </c>
      <c r="H683">
        <v>1163</v>
      </c>
      <c r="I683">
        <v>49910</v>
      </c>
      <c r="J683">
        <v>72106</v>
      </c>
      <c r="K683">
        <v>22196</v>
      </c>
    </row>
    <row r="684" spans="1:11" x14ac:dyDescent="0.3">
      <c r="A684" s="10">
        <v>45387</v>
      </c>
      <c r="B684" t="s">
        <v>21</v>
      </c>
      <c r="C684" t="s">
        <v>22</v>
      </c>
      <c r="D684" t="s">
        <v>36</v>
      </c>
      <c r="E684" t="s">
        <v>19</v>
      </c>
      <c r="F684">
        <v>74</v>
      </c>
      <c r="G684">
        <v>743</v>
      </c>
      <c r="H684">
        <v>1265</v>
      </c>
      <c r="I684">
        <v>54982</v>
      </c>
      <c r="J684">
        <v>93610</v>
      </c>
      <c r="K684">
        <v>38628</v>
      </c>
    </row>
    <row r="685" spans="1:11" x14ac:dyDescent="0.3">
      <c r="A685" s="10">
        <v>45388</v>
      </c>
      <c r="B685" t="s">
        <v>21</v>
      </c>
      <c r="C685" t="s">
        <v>22</v>
      </c>
      <c r="D685" t="s">
        <v>37</v>
      </c>
      <c r="E685" t="s">
        <v>19</v>
      </c>
      <c r="F685">
        <v>83</v>
      </c>
      <c r="G685">
        <v>594</v>
      </c>
      <c r="H685">
        <v>852</v>
      </c>
      <c r="I685">
        <v>49302</v>
      </c>
      <c r="J685">
        <v>70716</v>
      </c>
      <c r="K685">
        <v>21414</v>
      </c>
    </row>
    <row r="686" spans="1:11" x14ac:dyDescent="0.3">
      <c r="A686" s="10">
        <v>45390</v>
      </c>
      <c r="B686" t="s">
        <v>21</v>
      </c>
      <c r="C686" t="s">
        <v>22</v>
      </c>
      <c r="D686" t="s">
        <v>26</v>
      </c>
      <c r="E686" t="s">
        <v>19</v>
      </c>
      <c r="F686">
        <v>70</v>
      </c>
      <c r="G686">
        <v>878</v>
      </c>
      <c r="H686">
        <v>844</v>
      </c>
      <c r="I686">
        <v>61460</v>
      </c>
      <c r="J686">
        <v>59080</v>
      </c>
      <c r="K686">
        <v>-2380</v>
      </c>
    </row>
    <row r="687" spans="1:11" x14ac:dyDescent="0.3">
      <c r="A687" s="10">
        <v>45397</v>
      </c>
      <c r="B687" t="s">
        <v>21</v>
      </c>
      <c r="C687" t="s">
        <v>45</v>
      </c>
      <c r="D687" t="s">
        <v>26</v>
      </c>
      <c r="E687" t="s">
        <v>14</v>
      </c>
      <c r="F687">
        <v>57</v>
      </c>
      <c r="G687">
        <v>724</v>
      </c>
      <c r="H687">
        <v>839</v>
      </c>
      <c r="I687">
        <v>41268</v>
      </c>
      <c r="J687">
        <v>47823</v>
      </c>
      <c r="K687">
        <v>6555</v>
      </c>
    </row>
    <row r="688" spans="1:11" x14ac:dyDescent="0.3">
      <c r="A688" s="10">
        <v>45405</v>
      </c>
      <c r="B688" t="s">
        <v>27</v>
      </c>
      <c r="C688" t="s">
        <v>33</v>
      </c>
      <c r="D688" t="s">
        <v>34</v>
      </c>
      <c r="E688" t="s">
        <v>19</v>
      </c>
      <c r="F688">
        <v>23</v>
      </c>
      <c r="G688">
        <v>627</v>
      </c>
      <c r="H688">
        <v>855</v>
      </c>
      <c r="I688">
        <v>14421</v>
      </c>
      <c r="J688">
        <v>19665</v>
      </c>
      <c r="K688">
        <v>5244</v>
      </c>
    </row>
    <row r="689" spans="1:11" x14ac:dyDescent="0.3">
      <c r="A689" s="10">
        <v>45398</v>
      </c>
      <c r="B689" t="s">
        <v>21</v>
      </c>
      <c r="C689" t="s">
        <v>45</v>
      </c>
      <c r="D689" t="s">
        <v>29</v>
      </c>
      <c r="E689" t="s">
        <v>14</v>
      </c>
      <c r="F689">
        <v>50</v>
      </c>
      <c r="G689">
        <v>537</v>
      </c>
      <c r="H689">
        <v>1172</v>
      </c>
      <c r="I689">
        <v>26850</v>
      </c>
      <c r="J689">
        <v>58600</v>
      </c>
      <c r="K689">
        <v>31750</v>
      </c>
    </row>
    <row r="690" spans="1:11" x14ac:dyDescent="0.3">
      <c r="A690" s="10">
        <v>45407</v>
      </c>
      <c r="B690" t="s">
        <v>27</v>
      </c>
      <c r="C690" t="s">
        <v>33</v>
      </c>
      <c r="D690" t="s">
        <v>32</v>
      </c>
      <c r="E690" t="s">
        <v>14</v>
      </c>
      <c r="F690">
        <v>23</v>
      </c>
      <c r="G690">
        <v>938</v>
      </c>
      <c r="H690">
        <v>1336</v>
      </c>
      <c r="I690">
        <v>21574</v>
      </c>
      <c r="J690">
        <v>30728</v>
      </c>
      <c r="K690">
        <v>9154</v>
      </c>
    </row>
    <row r="691" spans="1:11" x14ac:dyDescent="0.3">
      <c r="A691" s="10">
        <v>45399</v>
      </c>
      <c r="B691" t="s">
        <v>21</v>
      </c>
      <c r="C691" t="s">
        <v>45</v>
      </c>
      <c r="D691" t="s">
        <v>18</v>
      </c>
      <c r="E691" t="s">
        <v>14</v>
      </c>
      <c r="F691">
        <v>67</v>
      </c>
      <c r="G691">
        <v>989</v>
      </c>
      <c r="H691">
        <v>956</v>
      </c>
      <c r="I691">
        <v>66263</v>
      </c>
      <c r="J691">
        <v>64052</v>
      </c>
      <c r="K691">
        <v>-2211</v>
      </c>
    </row>
    <row r="692" spans="1:11" x14ac:dyDescent="0.3">
      <c r="A692" s="10">
        <v>45400</v>
      </c>
      <c r="B692" t="s">
        <v>21</v>
      </c>
      <c r="C692" t="s">
        <v>45</v>
      </c>
      <c r="D692" t="s">
        <v>30</v>
      </c>
      <c r="E692" t="s">
        <v>14</v>
      </c>
      <c r="F692">
        <v>83</v>
      </c>
      <c r="G692">
        <v>917</v>
      </c>
      <c r="H692">
        <v>989</v>
      </c>
      <c r="I692">
        <v>76111</v>
      </c>
      <c r="J692">
        <v>82087</v>
      </c>
      <c r="K692">
        <v>5976</v>
      </c>
    </row>
    <row r="693" spans="1:11" x14ac:dyDescent="0.3">
      <c r="A693" s="10">
        <v>45401</v>
      </c>
      <c r="B693" t="s">
        <v>21</v>
      </c>
      <c r="C693" t="s">
        <v>45</v>
      </c>
      <c r="D693" t="s">
        <v>31</v>
      </c>
      <c r="E693" t="s">
        <v>14</v>
      </c>
      <c r="F693">
        <v>74</v>
      </c>
      <c r="G693">
        <v>645</v>
      </c>
      <c r="H693">
        <v>879</v>
      </c>
      <c r="I693">
        <v>47730</v>
      </c>
      <c r="J693">
        <v>65046</v>
      </c>
      <c r="K693">
        <v>17316</v>
      </c>
    </row>
    <row r="694" spans="1:11" x14ac:dyDescent="0.3">
      <c r="A694" s="10">
        <v>45402</v>
      </c>
      <c r="B694" t="s">
        <v>21</v>
      </c>
      <c r="C694" t="s">
        <v>45</v>
      </c>
      <c r="D694" t="s">
        <v>23</v>
      </c>
      <c r="E694" t="s">
        <v>19</v>
      </c>
      <c r="F694">
        <v>76</v>
      </c>
      <c r="G694">
        <v>943</v>
      </c>
      <c r="H694">
        <v>1394</v>
      </c>
      <c r="I694">
        <v>71668</v>
      </c>
      <c r="J694">
        <v>105944</v>
      </c>
      <c r="K694">
        <v>34276</v>
      </c>
    </row>
    <row r="695" spans="1:11" x14ac:dyDescent="0.3">
      <c r="A695" s="10">
        <v>45403</v>
      </c>
      <c r="B695" t="s">
        <v>21</v>
      </c>
      <c r="C695" t="s">
        <v>45</v>
      </c>
      <c r="D695" t="s">
        <v>25</v>
      </c>
      <c r="E695" t="s">
        <v>19</v>
      </c>
      <c r="F695">
        <v>85</v>
      </c>
      <c r="G695">
        <v>505</v>
      </c>
      <c r="H695">
        <v>1435</v>
      </c>
      <c r="I695">
        <v>42925</v>
      </c>
      <c r="J695">
        <v>121975</v>
      </c>
      <c r="K695">
        <v>79050</v>
      </c>
    </row>
    <row r="696" spans="1:11" x14ac:dyDescent="0.3">
      <c r="A696" s="10">
        <v>45431</v>
      </c>
      <c r="B696" t="s">
        <v>21</v>
      </c>
      <c r="C696" t="s">
        <v>38</v>
      </c>
      <c r="D696" t="s">
        <v>32</v>
      </c>
      <c r="E696" t="s">
        <v>19</v>
      </c>
      <c r="F696">
        <v>82</v>
      </c>
      <c r="G696">
        <v>928</v>
      </c>
      <c r="H696">
        <v>1428</v>
      </c>
      <c r="I696">
        <v>76096</v>
      </c>
      <c r="J696">
        <v>117096</v>
      </c>
      <c r="K696">
        <v>41000</v>
      </c>
    </row>
    <row r="697" spans="1:11" x14ac:dyDescent="0.3">
      <c r="A697" s="10">
        <v>45433</v>
      </c>
      <c r="B697" t="s">
        <v>21</v>
      </c>
      <c r="C697" t="s">
        <v>38</v>
      </c>
      <c r="D697" t="s">
        <v>25</v>
      </c>
      <c r="E697" t="s">
        <v>14</v>
      </c>
      <c r="F697">
        <v>72</v>
      </c>
      <c r="G697">
        <v>605</v>
      </c>
      <c r="H697">
        <v>1081</v>
      </c>
      <c r="I697">
        <v>43560</v>
      </c>
      <c r="J697">
        <v>77832</v>
      </c>
      <c r="K697">
        <v>34272</v>
      </c>
    </row>
    <row r="698" spans="1:11" x14ac:dyDescent="0.3">
      <c r="A698" s="10">
        <v>45434</v>
      </c>
      <c r="B698" t="s">
        <v>21</v>
      </c>
      <c r="C698" t="s">
        <v>38</v>
      </c>
      <c r="D698" t="s">
        <v>25</v>
      </c>
      <c r="E698" t="s">
        <v>14</v>
      </c>
      <c r="F698">
        <v>82</v>
      </c>
      <c r="G698">
        <v>993</v>
      </c>
      <c r="H698">
        <v>823</v>
      </c>
      <c r="I698">
        <v>81426</v>
      </c>
      <c r="J698">
        <v>67486</v>
      </c>
      <c r="K698">
        <v>-13940</v>
      </c>
    </row>
    <row r="699" spans="1:11" x14ac:dyDescent="0.3">
      <c r="A699" s="10">
        <v>45435</v>
      </c>
      <c r="B699" t="s">
        <v>21</v>
      </c>
      <c r="C699" t="s">
        <v>38</v>
      </c>
      <c r="D699" t="s">
        <v>26</v>
      </c>
      <c r="E699" t="s">
        <v>14</v>
      </c>
      <c r="F699">
        <v>53</v>
      </c>
      <c r="G699">
        <v>803</v>
      </c>
      <c r="H699">
        <v>1335</v>
      </c>
      <c r="I699">
        <v>42559</v>
      </c>
      <c r="J699">
        <v>70755</v>
      </c>
      <c r="K699">
        <v>28196</v>
      </c>
    </row>
    <row r="700" spans="1:11" x14ac:dyDescent="0.3">
      <c r="A700" s="10">
        <v>45436</v>
      </c>
      <c r="B700" t="s">
        <v>21</v>
      </c>
      <c r="C700" t="s">
        <v>38</v>
      </c>
      <c r="D700" t="s">
        <v>18</v>
      </c>
      <c r="E700" t="s">
        <v>14</v>
      </c>
      <c r="F700">
        <v>87</v>
      </c>
      <c r="G700">
        <v>742</v>
      </c>
      <c r="H700">
        <v>856</v>
      </c>
      <c r="I700">
        <v>64554</v>
      </c>
      <c r="J700">
        <v>74472</v>
      </c>
      <c r="K700">
        <v>9918</v>
      </c>
    </row>
    <row r="701" spans="1:11" x14ac:dyDescent="0.3">
      <c r="A701" s="10">
        <v>45437</v>
      </c>
      <c r="B701" t="s">
        <v>21</v>
      </c>
      <c r="C701" t="s">
        <v>38</v>
      </c>
      <c r="D701" t="s">
        <v>26</v>
      </c>
      <c r="E701" t="s">
        <v>14</v>
      </c>
      <c r="F701">
        <v>70</v>
      </c>
      <c r="G701">
        <v>605</v>
      </c>
      <c r="H701">
        <v>1489</v>
      </c>
      <c r="I701">
        <v>42350</v>
      </c>
      <c r="J701">
        <v>104230</v>
      </c>
      <c r="K701">
        <v>61880</v>
      </c>
    </row>
    <row r="702" spans="1:11" x14ac:dyDescent="0.3">
      <c r="A702" s="10">
        <v>45438</v>
      </c>
      <c r="B702" t="s">
        <v>21</v>
      </c>
      <c r="C702" t="s">
        <v>38</v>
      </c>
      <c r="D702" t="s">
        <v>29</v>
      </c>
      <c r="E702" t="s">
        <v>14</v>
      </c>
      <c r="F702">
        <v>94</v>
      </c>
      <c r="G702">
        <v>754</v>
      </c>
      <c r="H702">
        <v>1354</v>
      </c>
      <c r="I702">
        <v>70876</v>
      </c>
      <c r="J702">
        <v>127276</v>
      </c>
      <c r="K702">
        <v>56400</v>
      </c>
    </row>
    <row r="703" spans="1:11" x14ac:dyDescent="0.3">
      <c r="A703" s="10">
        <v>45439</v>
      </c>
      <c r="B703" t="s">
        <v>21</v>
      </c>
      <c r="C703" t="s">
        <v>38</v>
      </c>
      <c r="D703" t="s">
        <v>18</v>
      </c>
      <c r="E703" t="s">
        <v>14</v>
      </c>
      <c r="F703">
        <v>80</v>
      </c>
      <c r="G703">
        <v>622</v>
      </c>
      <c r="H703">
        <v>1168</v>
      </c>
      <c r="I703">
        <v>49760</v>
      </c>
      <c r="J703">
        <v>93440</v>
      </c>
      <c r="K703">
        <v>43680</v>
      </c>
    </row>
    <row r="704" spans="1:11" x14ac:dyDescent="0.3">
      <c r="A704" s="10">
        <v>45440</v>
      </c>
      <c r="B704" t="s">
        <v>21</v>
      </c>
      <c r="C704" t="s">
        <v>38</v>
      </c>
      <c r="D704" t="s">
        <v>30</v>
      </c>
      <c r="E704" t="s">
        <v>19</v>
      </c>
      <c r="F704">
        <v>88</v>
      </c>
      <c r="G704">
        <v>625</v>
      </c>
      <c r="H704">
        <v>1324</v>
      </c>
      <c r="I704">
        <v>55000</v>
      </c>
      <c r="J704">
        <v>116512</v>
      </c>
      <c r="K704">
        <v>61512</v>
      </c>
    </row>
    <row r="705" spans="1:11" x14ac:dyDescent="0.3">
      <c r="A705" s="10">
        <v>45442</v>
      </c>
      <c r="B705" t="s">
        <v>21</v>
      </c>
      <c r="C705" t="s">
        <v>38</v>
      </c>
      <c r="D705" t="s">
        <v>23</v>
      </c>
      <c r="E705" t="s">
        <v>19</v>
      </c>
      <c r="F705">
        <v>67</v>
      </c>
      <c r="G705">
        <v>760</v>
      </c>
      <c r="H705">
        <v>1006</v>
      </c>
      <c r="I705">
        <v>50920</v>
      </c>
      <c r="J705">
        <v>67402</v>
      </c>
      <c r="K705">
        <v>16482</v>
      </c>
    </row>
    <row r="706" spans="1:11" x14ac:dyDescent="0.3">
      <c r="A706" s="10">
        <v>45443</v>
      </c>
      <c r="B706" t="s">
        <v>21</v>
      </c>
      <c r="C706" t="s">
        <v>41</v>
      </c>
      <c r="D706" t="s">
        <v>25</v>
      </c>
      <c r="E706" t="s">
        <v>19</v>
      </c>
      <c r="F706">
        <v>75</v>
      </c>
      <c r="G706">
        <v>966</v>
      </c>
      <c r="H706">
        <v>1355</v>
      </c>
      <c r="I706">
        <v>72450</v>
      </c>
      <c r="J706">
        <v>101625</v>
      </c>
      <c r="K706">
        <v>29175</v>
      </c>
    </row>
    <row r="707" spans="1:11" x14ac:dyDescent="0.3">
      <c r="A707" s="10">
        <v>45444</v>
      </c>
      <c r="B707" t="s">
        <v>21</v>
      </c>
      <c r="C707" t="s">
        <v>41</v>
      </c>
      <c r="D707" t="s">
        <v>25</v>
      </c>
      <c r="E707" t="s">
        <v>14</v>
      </c>
      <c r="F707">
        <v>51</v>
      </c>
      <c r="G707">
        <v>749</v>
      </c>
      <c r="H707">
        <v>1060</v>
      </c>
      <c r="I707">
        <v>38199</v>
      </c>
      <c r="J707">
        <v>54060</v>
      </c>
      <c r="K707">
        <v>15861</v>
      </c>
    </row>
    <row r="708" spans="1:11" x14ac:dyDescent="0.3">
      <c r="A708" s="10">
        <v>45445</v>
      </c>
      <c r="B708" t="s">
        <v>21</v>
      </c>
      <c r="C708" t="s">
        <v>41</v>
      </c>
      <c r="D708" t="s">
        <v>34</v>
      </c>
      <c r="E708" t="s">
        <v>19</v>
      </c>
      <c r="F708">
        <v>94</v>
      </c>
      <c r="G708">
        <v>721</v>
      </c>
      <c r="H708">
        <v>996</v>
      </c>
      <c r="I708">
        <v>67774</v>
      </c>
      <c r="J708">
        <v>93624</v>
      </c>
      <c r="K708">
        <v>25850</v>
      </c>
    </row>
    <row r="709" spans="1:11" x14ac:dyDescent="0.3">
      <c r="A709" s="10">
        <v>45446</v>
      </c>
      <c r="B709" t="s">
        <v>21</v>
      </c>
      <c r="C709" t="s">
        <v>41</v>
      </c>
      <c r="D709" t="s">
        <v>34</v>
      </c>
      <c r="E709" t="s">
        <v>19</v>
      </c>
      <c r="F709">
        <v>71</v>
      </c>
      <c r="G709">
        <v>869</v>
      </c>
      <c r="H709">
        <v>753</v>
      </c>
      <c r="I709">
        <v>61699</v>
      </c>
      <c r="J709">
        <v>53463</v>
      </c>
      <c r="K709">
        <v>-8236</v>
      </c>
    </row>
    <row r="710" spans="1:11" x14ac:dyDescent="0.3">
      <c r="A710" s="10">
        <v>45447</v>
      </c>
      <c r="B710" t="s">
        <v>21</v>
      </c>
      <c r="C710" t="s">
        <v>41</v>
      </c>
      <c r="D710" t="s">
        <v>32</v>
      </c>
      <c r="E710" t="s">
        <v>19</v>
      </c>
      <c r="F710">
        <v>52</v>
      </c>
      <c r="G710">
        <v>550</v>
      </c>
      <c r="H710">
        <v>869</v>
      </c>
      <c r="I710">
        <v>28600</v>
      </c>
      <c r="J710">
        <v>45188</v>
      </c>
      <c r="K710">
        <v>16588</v>
      </c>
    </row>
    <row r="711" spans="1:11" x14ac:dyDescent="0.3">
      <c r="A711" s="10">
        <v>45448</v>
      </c>
      <c r="B711" t="s">
        <v>21</v>
      </c>
      <c r="C711" t="s">
        <v>41</v>
      </c>
      <c r="D711" t="s">
        <v>25</v>
      </c>
      <c r="E711" t="s">
        <v>19</v>
      </c>
      <c r="F711">
        <v>77</v>
      </c>
      <c r="G711">
        <v>513</v>
      </c>
      <c r="H711">
        <v>871</v>
      </c>
      <c r="I711">
        <v>39501</v>
      </c>
      <c r="J711">
        <v>67067</v>
      </c>
      <c r="K711">
        <v>27566</v>
      </c>
    </row>
    <row r="712" spans="1:11" x14ac:dyDescent="0.3">
      <c r="A712" s="10">
        <v>45449</v>
      </c>
      <c r="B712" t="s">
        <v>21</v>
      </c>
      <c r="C712" t="s">
        <v>41</v>
      </c>
      <c r="D712" t="s">
        <v>20</v>
      </c>
      <c r="E712" t="s">
        <v>14</v>
      </c>
      <c r="F712">
        <v>84</v>
      </c>
      <c r="G712">
        <v>739</v>
      </c>
      <c r="H712">
        <v>1161</v>
      </c>
      <c r="I712">
        <v>62076</v>
      </c>
      <c r="J712">
        <v>97524</v>
      </c>
      <c r="K712">
        <v>35448</v>
      </c>
    </row>
    <row r="713" spans="1:11" x14ac:dyDescent="0.3">
      <c r="A713" s="10">
        <v>45450</v>
      </c>
      <c r="B713" t="s">
        <v>21</v>
      </c>
      <c r="C713" t="s">
        <v>41</v>
      </c>
      <c r="D713" t="s">
        <v>39</v>
      </c>
      <c r="E713" t="s">
        <v>14</v>
      </c>
      <c r="F713">
        <v>71</v>
      </c>
      <c r="G713">
        <v>923</v>
      </c>
      <c r="H713">
        <v>996</v>
      </c>
      <c r="I713">
        <v>65533</v>
      </c>
      <c r="J713">
        <v>70716</v>
      </c>
      <c r="K713">
        <v>5183</v>
      </c>
    </row>
    <row r="714" spans="1:11" x14ac:dyDescent="0.3">
      <c r="A714" s="10">
        <v>45451</v>
      </c>
      <c r="B714" t="s">
        <v>21</v>
      </c>
      <c r="C714" t="s">
        <v>41</v>
      </c>
      <c r="D714" t="s">
        <v>26</v>
      </c>
      <c r="E714" t="s">
        <v>14</v>
      </c>
      <c r="F714">
        <v>59</v>
      </c>
      <c r="G714">
        <v>862</v>
      </c>
      <c r="H714">
        <v>1233</v>
      </c>
      <c r="I714">
        <v>50858</v>
      </c>
      <c r="J714">
        <v>72747</v>
      </c>
      <c r="K714">
        <v>21889</v>
      </c>
    </row>
    <row r="715" spans="1:11" x14ac:dyDescent="0.3">
      <c r="A715" s="10">
        <v>45432</v>
      </c>
      <c r="B715" t="s">
        <v>21</v>
      </c>
      <c r="C715" t="s">
        <v>38</v>
      </c>
      <c r="D715" t="s">
        <v>23</v>
      </c>
      <c r="E715" t="s">
        <v>19</v>
      </c>
      <c r="F715">
        <v>90</v>
      </c>
      <c r="G715">
        <v>718</v>
      </c>
      <c r="H715">
        <v>1353</v>
      </c>
      <c r="I715">
        <v>64620</v>
      </c>
      <c r="J715">
        <v>121770</v>
      </c>
      <c r="K715">
        <v>57150</v>
      </c>
    </row>
    <row r="716" spans="1:11" x14ac:dyDescent="0.3">
      <c r="A716" s="10">
        <v>45452</v>
      </c>
      <c r="B716" t="s">
        <v>21</v>
      </c>
      <c r="C716" t="s">
        <v>41</v>
      </c>
      <c r="D716" t="s">
        <v>43</v>
      </c>
      <c r="E716" t="s">
        <v>14</v>
      </c>
      <c r="F716">
        <v>77</v>
      </c>
      <c r="G716">
        <v>882</v>
      </c>
      <c r="H716">
        <v>914</v>
      </c>
      <c r="I716">
        <v>67914</v>
      </c>
      <c r="J716">
        <v>70378</v>
      </c>
      <c r="K716">
        <v>2464</v>
      </c>
    </row>
    <row r="717" spans="1:11" x14ac:dyDescent="0.3">
      <c r="A717" s="10">
        <v>45453</v>
      </c>
      <c r="B717" t="s">
        <v>21</v>
      </c>
      <c r="C717" t="s">
        <v>41</v>
      </c>
      <c r="D717" t="s">
        <v>44</v>
      </c>
      <c r="E717" t="s">
        <v>14</v>
      </c>
      <c r="F717">
        <v>90</v>
      </c>
      <c r="G717">
        <v>862</v>
      </c>
      <c r="H717">
        <v>902</v>
      </c>
      <c r="I717">
        <v>77580</v>
      </c>
      <c r="J717">
        <v>81180</v>
      </c>
      <c r="K717">
        <v>3600</v>
      </c>
    </row>
    <row r="718" spans="1:11" x14ac:dyDescent="0.3">
      <c r="A718" s="10">
        <v>45461</v>
      </c>
      <c r="B718" t="s">
        <v>21</v>
      </c>
      <c r="C718" t="s">
        <v>38</v>
      </c>
      <c r="D718" t="s">
        <v>17</v>
      </c>
      <c r="E718" t="s">
        <v>19</v>
      </c>
      <c r="F718">
        <v>73</v>
      </c>
      <c r="G718">
        <v>541</v>
      </c>
      <c r="H718">
        <v>1114</v>
      </c>
      <c r="I718">
        <v>39493</v>
      </c>
      <c r="J718">
        <v>81322</v>
      </c>
      <c r="K718">
        <v>41829</v>
      </c>
    </row>
    <row r="719" spans="1:11" x14ac:dyDescent="0.3">
      <c r="A719" s="10">
        <v>45462</v>
      </c>
      <c r="B719" t="s">
        <v>21</v>
      </c>
      <c r="C719" t="s">
        <v>38</v>
      </c>
      <c r="D719" t="s">
        <v>36</v>
      </c>
      <c r="E719" t="s">
        <v>19</v>
      </c>
      <c r="F719">
        <v>94</v>
      </c>
      <c r="G719">
        <v>772</v>
      </c>
      <c r="H719">
        <v>1390</v>
      </c>
      <c r="I719">
        <v>72568</v>
      </c>
      <c r="J719">
        <v>130660</v>
      </c>
      <c r="K719">
        <v>58092</v>
      </c>
    </row>
    <row r="720" spans="1:11" x14ac:dyDescent="0.3">
      <c r="A720" s="10">
        <v>45463</v>
      </c>
      <c r="B720" t="s">
        <v>21</v>
      </c>
      <c r="C720" t="s">
        <v>38</v>
      </c>
      <c r="D720" t="s">
        <v>35</v>
      </c>
      <c r="E720" t="s">
        <v>19</v>
      </c>
      <c r="F720">
        <v>66</v>
      </c>
      <c r="G720">
        <v>771</v>
      </c>
      <c r="H720">
        <v>1419</v>
      </c>
      <c r="I720">
        <v>50886</v>
      </c>
      <c r="J720">
        <v>93654</v>
      </c>
      <c r="K720">
        <v>42768</v>
      </c>
    </row>
    <row r="721" spans="1:11" x14ac:dyDescent="0.3">
      <c r="A721" s="10">
        <v>45465</v>
      </c>
      <c r="B721" t="s">
        <v>21</v>
      </c>
      <c r="C721" t="s">
        <v>38</v>
      </c>
      <c r="D721" t="s">
        <v>17</v>
      </c>
      <c r="E721" t="s">
        <v>14</v>
      </c>
      <c r="F721">
        <v>65</v>
      </c>
      <c r="G721">
        <v>762</v>
      </c>
      <c r="H721">
        <v>1394</v>
      </c>
      <c r="I721">
        <v>49530</v>
      </c>
      <c r="J721">
        <v>90610</v>
      </c>
      <c r="K721">
        <v>41080</v>
      </c>
    </row>
    <row r="722" spans="1:11" x14ac:dyDescent="0.3">
      <c r="A722" s="10">
        <v>45466</v>
      </c>
      <c r="B722" t="s">
        <v>21</v>
      </c>
      <c r="C722" t="s">
        <v>41</v>
      </c>
      <c r="D722" t="s">
        <v>34</v>
      </c>
      <c r="E722" t="s">
        <v>14</v>
      </c>
      <c r="F722">
        <v>78</v>
      </c>
      <c r="G722">
        <v>918</v>
      </c>
      <c r="H722">
        <v>1469</v>
      </c>
      <c r="I722">
        <v>71604</v>
      </c>
      <c r="J722">
        <v>114582</v>
      </c>
      <c r="K722">
        <v>42978</v>
      </c>
    </row>
    <row r="723" spans="1:11" x14ac:dyDescent="0.3">
      <c r="A723" s="10">
        <v>45467</v>
      </c>
      <c r="B723" t="s">
        <v>21</v>
      </c>
      <c r="C723" t="s">
        <v>41</v>
      </c>
      <c r="D723" t="s">
        <v>36</v>
      </c>
      <c r="E723" t="s">
        <v>19</v>
      </c>
      <c r="F723">
        <v>76</v>
      </c>
      <c r="G723">
        <v>624</v>
      </c>
      <c r="H723">
        <v>899</v>
      </c>
      <c r="I723">
        <v>47424</v>
      </c>
      <c r="J723">
        <v>68324</v>
      </c>
      <c r="K723">
        <v>20900</v>
      </c>
    </row>
    <row r="724" spans="1:11" x14ac:dyDescent="0.3">
      <c r="A724" s="10">
        <v>45441</v>
      </c>
      <c r="B724" t="s">
        <v>21</v>
      </c>
      <c r="C724" t="s">
        <v>38</v>
      </c>
      <c r="D724" t="s">
        <v>31</v>
      </c>
      <c r="E724" t="s">
        <v>19</v>
      </c>
      <c r="F724">
        <v>59</v>
      </c>
      <c r="G724">
        <v>716</v>
      </c>
      <c r="H724">
        <v>1257</v>
      </c>
      <c r="I724">
        <v>42244</v>
      </c>
      <c r="J724">
        <v>74163</v>
      </c>
      <c r="K724">
        <v>31919</v>
      </c>
    </row>
    <row r="725" spans="1:11" x14ac:dyDescent="0.3">
      <c r="A725" s="10">
        <v>45468</v>
      </c>
      <c r="B725" t="s">
        <v>21</v>
      </c>
      <c r="C725" t="s">
        <v>41</v>
      </c>
      <c r="D725" t="s">
        <v>37</v>
      </c>
      <c r="E725" t="s">
        <v>19</v>
      </c>
      <c r="F725">
        <v>99</v>
      </c>
      <c r="G725">
        <v>598</v>
      </c>
      <c r="H725">
        <v>1404</v>
      </c>
      <c r="I725">
        <v>59202</v>
      </c>
      <c r="J725">
        <v>138996</v>
      </c>
      <c r="K725">
        <v>79794</v>
      </c>
    </row>
    <row r="726" spans="1:11" x14ac:dyDescent="0.3">
      <c r="A726" s="10">
        <v>45469</v>
      </c>
      <c r="B726" t="s">
        <v>21</v>
      </c>
      <c r="C726" t="s">
        <v>41</v>
      </c>
      <c r="D726" t="s">
        <v>23</v>
      </c>
      <c r="E726" t="s">
        <v>19</v>
      </c>
      <c r="F726">
        <v>78</v>
      </c>
      <c r="G726">
        <v>761</v>
      </c>
      <c r="H726">
        <v>1174</v>
      </c>
      <c r="I726">
        <v>59358</v>
      </c>
      <c r="J726">
        <v>91572</v>
      </c>
      <c r="K726">
        <v>32214</v>
      </c>
    </row>
    <row r="727" spans="1:11" x14ac:dyDescent="0.3">
      <c r="A727" s="10">
        <v>45470</v>
      </c>
      <c r="B727" t="s">
        <v>21</v>
      </c>
      <c r="C727" t="s">
        <v>41</v>
      </c>
      <c r="D727" t="s">
        <v>26</v>
      </c>
      <c r="E727" t="s">
        <v>19</v>
      </c>
      <c r="F727">
        <v>96</v>
      </c>
      <c r="G727">
        <v>512</v>
      </c>
      <c r="H727">
        <v>970</v>
      </c>
      <c r="I727">
        <v>49152</v>
      </c>
      <c r="J727">
        <v>93120</v>
      </c>
      <c r="K727">
        <v>43968</v>
      </c>
    </row>
    <row r="728" spans="1:11" x14ac:dyDescent="0.3">
      <c r="A728" s="10">
        <v>45471</v>
      </c>
      <c r="B728" t="s">
        <v>21</v>
      </c>
      <c r="C728" t="s">
        <v>41</v>
      </c>
      <c r="D728" t="s">
        <v>32</v>
      </c>
      <c r="E728" t="s">
        <v>19</v>
      </c>
      <c r="F728">
        <v>85</v>
      </c>
      <c r="G728">
        <v>765</v>
      </c>
      <c r="H728">
        <v>1024</v>
      </c>
      <c r="I728">
        <v>65025</v>
      </c>
      <c r="J728">
        <v>87040</v>
      </c>
      <c r="K728">
        <v>22015</v>
      </c>
    </row>
    <row r="729" spans="1:11" x14ac:dyDescent="0.3">
      <c r="A729" s="10">
        <v>45495</v>
      </c>
      <c r="B729" t="s">
        <v>21</v>
      </c>
      <c r="C729" t="s">
        <v>38</v>
      </c>
      <c r="D729" t="s">
        <v>15</v>
      </c>
      <c r="E729" t="s">
        <v>14</v>
      </c>
      <c r="F729">
        <v>59</v>
      </c>
      <c r="G729">
        <v>663</v>
      </c>
      <c r="H729">
        <v>872</v>
      </c>
      <c r="I729">
        <v>39117</v>
      </c>
      <c r="J729">
        <v>51448</v>
      </c>
      <c r="K729">
        <v>12331</v>
      </c>
    </row>
    <row r="730" spans="1:11" x14ac:dyDescent="0.3">
      <c r="A730" s="10">
        <v>45496</v>
      </c>
      <c r="B730" t="s">
        <v>21</v>
      </c>
      <c r="C730" t="s">
        <v>38</v>
      </c>
      <c r="D730" t="s">
        <v>16</v>
      </c>
      <c r="E730" t="s">
        <v>14</v>
      </c>
      <c r="F730">
        <v>75</v>
      </c>
      <c r="G730">
        <v>871</v>
      </c>
      <c r="H730">
        <v>1274</v>
      </c>
      <c r="I730">
        <v>65325</v>
      </c>
      <c r="J730">
        <v>95550</v>
      </c>
      <c r="K730">
        <v>30225</v>
      </c>
    </row>
    <row r="731" spans="1:11" x14ac:dyDescent="0.3">
      <c r="A731" s="10">
        <v>45497</v>
      </c>
      <c r="B731" t="s">
        <v>21</v>
      </c>
      <c r="C731" t="s">
        <v>38</v>
      </c>
      <c r="D731" t="s">
        <v>17</v>
      </c>
      <c r="E731" t="s">
        <v>14</v>
      </c>
      <c r="F731">
        <v>87</v>
      </c>
      <c r="G731">
        <v>869</v>
      </c>
      <c r="H731">
        <v>1247</v>
      </c>
      <c r="I731">
        <v>75603</v>
      </c>
      <c r="J731">
        <v>108489</v>
      </c>
      <c r="K731">
        <v>32886</v>
      </c>
    </row>
    <row r="732" spans="1:11" x14ac:dyDescent="0.3">
      <c r="A732" s="10">
        <v>45498</v>
      </c>
      <c r="B732" t="s">
        <v>21</v>
      </c>
      <c r="C732" t="s">
        <v>38</v>
      </c>
      <c r="D732" t="s">
        <v>17</v>
      </c>
      <c r="E732" t="s">
        <v>14</v>
      </c>
      <c r="F732">
        <v>100</v>
      </c>
      <c r="G732">
        <v>605</v>
      </c>
      <c r="H732">
        <v>1249</v>
      </c>
      <c r="I732">
        <v>60500</v>
      </c>
      <c r="J732">
        <v>124900</v>
      </c>
      <c r="K732">
        <v>64400</v>
      </c>
    </row>
    <row r="733" spans="1:11" x14ac:dyDescent="0.3">
      <c r="A733" s="10">
        <v>45499</v>
      </c>
      <c r="B733" t="s">
        <v>21</v>
      </c>
      <c r="C733" t="s">
        <v>38</v>
      </c>
      <c r="D733" t="s">
        <v>18</v>
      </c>
      <c r="E733" t="s">
        <v>14</v>
      </c>
      <c r="F733">
        <v>51</v>
      </c>
      <c r="G733">
        <v>798</v>
      </c>
      <c r="H733">
        <v>910</v>
      </c>
      <c r="I733">
        <v>40698</v>
      </c>
      <c r="J733">
        <v>46410</v>
      </c>
      <c r="K733">
        <v>5712</v>
      </c>
    </row>
    <row r="734" spans="1:11" x14ac:dyDescent="0.3">
      <c r="A734" s="10">
        <v>45500</v>
      </c>
      <c r="B734" t="s">
        <v>21</v>
      </c>
      <c r="C734" t="s">
        <v>38</v>
      </c>
      <c r="D734" t="s">
        <v>20</v>
      </c>
      <c r="E734" t="s">
        <v>14</v>
      </c>
      <c r="F734">
        <v>52</v>
      </c>
      <c r="G734">
        <v>984</v>
      </c>
      <c r="H734">
        <v>992</v>
      </c>
      <c r="I734">
        <v>51168</v>
      </c>
      <c r="J734">
        <v>51584</v>
      </c>
      <c r="K734">
        <v>416</v>
      </c>
    </row>
    <row r="735" spans="1:11" x14ac:dyDescent="0.3">
      <c r="A735" s="10">
        <v>45501</v>
      </c>
      <c r="B735" t="s">
        <v>21</v>
      </c>
      <c r="C735" t="s">
        <v>38</v>
      </c>
      <c r="D735" t="s">
        <v>17</v>
      </c>
      <c r="E735" t="s">
        <v>14</v>
      </c>
      <c r="F735">
        <v>97</v>
      </c>
      <c r="G735">
        <v>565</v>
      </c>
      <c r="H735">
        <v>995</v>
      </c>
      <c r="I735">
        <v>54805</v>
      </c>
      <c r="J735">
        <v>96515</v>
      </c>
      <c r="K735">
        <v>41710</v>
      </c>
    </row>
    <row r="736" spans="1:11" x14ac:dyDescent="0.3">
      <c r="A736" s="10">
        <v>45502</v>
      </c>
      <c r="B736" t="s">
        <v>21</v>
      </c>
      <c r="C736" t="s">
        <v>38</v>
      </c>
      <c r="D736" t="s">
        <v>36</v>
      </c>
      <c r="E736" t="s">
        <v>14</v>
      </c>
      <c r="F736">
        <v>58</v>
      </c>
      <c r="G736">
        <v>799</v>
      </c>
      <c r="H736">
        <v>1273</v>
      </c>
      <c r="I736">
        <v>46342</v>
      </c>
      <c r="J736">
        <v>73834</v>
      </c>
      <c r="K736">
        <v>27492</v>
      </c>
    </row>
    <row r="737" spans="1:11" x14ac:dyDescent="0.3">
      <c r="A737" s="10">
        <v>45503</v>
      </c>
      <c r="B737" t="s">
        <v>21</v>
      </c>
      <c r="C737" t="s">
        <v>38</v>
      </c>
      <c r="D737" t="s">
        <v>35</v>
      </c>
      <c r="E737" t="s">
        <v>19</v>
      </c>
      <c r="F737">
        <v>69</v>
      </c>
      <c r="G737">
        <v>524</v>
      </c>
      <c r="H737">
        <v>893</v>
      </c>
      <c r="I737">
        <v>36156</v>
      </c>
      <c r="J737">
        <v>61617</v>
      </c>
      <c r="K737">
        <v>25461</v>
      </c>
    </row>
    <row r="738" spans="1:11" x14ac:dyDescent="0.3">
      <c r="A738" s="10">
        <v>45504</v>
      </c>
      <c r="B738" t="s">
        <v>21</v>
      </c>
      <c r="C738" t="s">
        <v>38</v>
      </c>
      <c r="D738" t="s">
        <v>26</v>
      </c>
      <c r="E738" t="s">
        <v>19</v>
      </c>
      <c r="F738">
        <v>81</v>
      </c>
      <c r="G738">
        <v>903</v>
      </c>
      <c r="H738">
        <v>1306</v>
      </c>
      <c r="I738">
        <v>73143</v>
      </c>
      <c r="J738">
        <v>105786</v>
      </c>
      <c r="K738">
        <v>32643</v>
      </c>
    </row>
    <row r="739" spans="1:11" x14ac:dyDescent="0.3">
      <c r="A739" s="10">
        <v>45505</v>
      </c>
      <c r="B739" t="s">
        <v>21</v>
      </c>
      <c r="C739" t="s">
        <v>38</v>
      </c>
      <c r="D739" t="s">
        <v>17</v>
      </c>
      <c r="E739" t="s">
        <v>19</v>
      </c>
      <c r="F739">
        <v>89</v>
      </c>
      <c r="G739">
        <v>584</v>
      </c>
      <c r="H739">
        <v>777</v>
      </c>
      <c r="I739">
        <v>51976</v>
      </c>
      <c r="J739">
        <v>69153</v>
      </c>
      <c r="K739">
        <v>17177</v>
      </c>
    </row>
    <row r="740" spans="1:11" x14ac:dyDescent="0.3">
      <c r="A740" s="10">
        <v>45506</v>
      </c>
      <c r="B740" t="s">
        <v>21</v>
      </c>
      <c r="C740" t="s">
        <v>38</v>
      </c>
      <c r="D740" t="s">
        <v>34</v>
      </c>
      <c r="E740" t="s">
        <v>19</v>
      </c>
      <c r="F740">
        <v>75</v>
      </c>
      <c r="G740">
        <v>906</v>
      </c>
      <c r="H740">
        <v>954</v>
      </c>
      <c r="I740">
        <v>67950</v>
      </c>
      <c r="J740">
        <v>71550</v>
      </c>
      <c r="K740">
        <v>3600</v>
      </c>
    </row>
    <row r="741" spans="1:11" x14ac:dyDescent="0.3">
      <c r="A741" s="10">
        <v>45458</v>
      </c>
      <c r="B741" t="s">
        <v>11</v>
      </c>
      <c r="C741" t="s">
        <v>12</v>
      </c>
      <c r="D741" t="s">
        <v>17</v>
      </c>
      <c r="E741" t="s">
        <v>14</v>
      </c>
      <c r="F741">
        <v>17</v>
      </c>
      <c r="G741">
        <v>901</v>
      </c>
      <c r="H741">
        <v>1283</v>
      </c>
      <c r="I741">
        <v>15317</v>
      </c>
      <c r="J741">
        <v>21811</v>
      </c>
      <c r="K741">
        <v>6494</v>
      </c>
    </row>
    <row r="742" spans="1:11" x14ac:dyDescent="0.3">
      <c r="A742" s="10">
        <v>45508</v>
      </c>
      <c r="B742" t="s">
        <v>21</v>
      </c>
      <c r="C742" t="s">
        <v>41</v>
      </c>
      <c r="D742" t="s">
        <v>37</v>
      </c>
      <c r="E742" t="s">
        <v>14</v>
      </c>
      <c r="F742">
        <v>98</v>
      </c>
      <c r="G742">
        <v>925</v>
      </c>
      <c r="H742">
        <v>904</v>
      </c>
      <c r="I742">
        <v>90650</v>
      </c>
      <c r="J742">
        <v>88592</v>
      </c>
      <c r="K742">
        <v>-2058</v>
      </c>
    </row>
    <row r="743" spans="1:11" x14ac:dyDescent="0.3">
      <c r="A743" s="10">
        <v>45509</v>
      </c>
      <c r="B743" t="s">
        <v>21</v>
      </c>
      <c r="C743" t="s">
        <v>41</v>
      </c>
      <c r="D743" t="s">
        <v>23</v>
      </c>
      <c r="E743" t="s">
        <v>14</v>
      </c>
      <c r="F743">
        <v>73</v>
      </c>
      <c r="G743">
        <v>508</v>
      </c>
      <c r="H743">
        <v>1324</v>
      </c>
      <c r="I743">
        <v>37084</v>
      </c>
      <c r="J743">
        <v>96652</v>
      </c>
      <c r="K743">
        <v>59568</v>
      </c>
    </row>
    <row r="744" spans="1:11" x14ac:dyDescent="0.3">
      <c r="A744" s="10">
        <v>45528</v>
      </c>
      <c r="B744" t="s">
        <v>21</v>
      </c>
      <c r="C744" t="s">
        <v>38</v>
      </c>
      <c r="D744" t="s">
        <v>25</v>
      </c>
      <c r="E744" t="s">
        <v>14</v>
      </c>
      <c r="F744">
        <v>87</v>
      </c>
      <c r="G744">
        <v>876</v>
      </c>
      <c r="H744">
        <v>880</v>
      </c>
      <c r="I744">
        <v>76212</v>
      </c>
      <c r="J744">
        <v>76560</v>
      </c>
      <c r="K744">
        <v>348</v>
      </c>
    </row>
    <row r="745" spans="1:11" x14ac:dyDescent="0.3">
      <c r="A745" s="10">
        <v>45529</v>
      </c>
      <c r="B745" t="s">
        <v>21</v>
      </c>
      <c r="C745" t="s">
        <v>38</v>
      </c>
      <c r="D745" t="s">
        <v>20</v>
      </c>
      <c r="E745" t="s">
        <v>14</v>
      </c>
      <c r="F745">
        <v>69</v>
      </c>
      <c r="G745">
        <v>993</v>
      </c>
      <c r="H745">
        <v>862</v>
      </c>
      <c r="I745">
        <v>68517</v>
      </c>
      <c r="J745">
        <v>59478</v>
      </c>
      <c r="K745">
        <v>-9039</v>
      </c>
    </row>
    <row r="746" spans="1:11" x14ac:dyDescent="0.3">
      <c r="A746" s="10">
        <v>45530</v>
      </c>
      <c r="B746" t="s">
        <v>21</v>
      </c>
      <c r="C746" t="s">
        <v>38</v>
      </c>
      <c r="D746" t="s">
        <v>39</v>
      </c>
      <c r="E746" t="s">
        <v>14</v>
      </c>
      <c r="F746">
        <v>62</v>
      </c>
      <c r="G746">
        <v>781</v>
      </c>
      <c r="H746">
        <v>946</v>
      </c>
      <c r="I746">
        <v>48422</v>
      </c>
      <c r="J746">
        <v>58652</v>
      </c>
      <c r="K746">
        <v>10230</v>
      </c>
    </row>
    <row r="747" spans="1:11" x14ac:dyDescent="0.3">
      <c r="A747" s="10">
        <v>45464</v>
      </c>
      <c r="B747" t="s">
        <v>21</v>
      </c>
      <c r="C747" t="s">
        <v>38</v>
      </c>
      <c r="D747" t="s">
        <v>26</v>
      </c>
      <c r="E747" t="s">
        <v>14</v>
      </c>
      <c r="F747">
        <v>83</v>
      </c>
      <c r="G747">
        <v>889</v>
      </c>
      <c r="H747">
        <v>1075</v>
      </c>
      <c r="I747">
        <v>73787</v>
      </c>
      <c r="J747">
        <v>89225</v>
      </c>
      <c r="K747">
        <v>15438</v>
      </c>
    </row>
    <row r="748" spans="1:11" x14ac:dyDescent="0.3">
      <c r="A748" s="10">
        <v>45531</v>
      </c>
      <c r="B748" t="s">
        <v>21</v>
      </c>
      <c r="C748" t="s">
        <v>38</v>
      </c>
      <c r="D748" t="s">
        <v>26</v>
      </c>
      <c r="E748" t="s">
        <v>14</v>
      </c>
      <c r="F748">
        <v>63</v>
      </c>
      <c r="G748">
        <v>718</v>
      </c>
      <c r="H748">
        <v>1047</v>
      </c>
      <c r="I748">
        <v>45234</v>
      </c>
      <c r="J748">
        <v>65961</v>
      </c>
      <c r="K748">
        <v>20727</v>
      </c>
    </row>
    <row r="749" spans="1:11" x14ac:dyDescent="0.3">
      <c r="A749" s="10">
        <v>45532</v>
      </c>
      <c r="B749" t="s">
        <v>21</v>
      </c>
      <c r="C749" t="s">
        <v>38</v>
      </c>
      <c r="D749" t="s">
        <v>43</v>
      </c>
      <c r="E749" t="s">
        <v>14</v>
      </c>
      <c r="F749">
        <v>72</v>
      </c>
      <c r="G749">
        <v>673</v>
      </c>
      <c r="H749">
        <v>1027</v>
      </c>
      <c r="I749">
        <v>48456</v>
      </c>
      <c r="J749">
        <v>73944</v>
      </c>
      <c r="K749">
        <v>25488</v>
      </c>
    </row>
    <row r="750" spans="1:11" x14ac:dyDescent="0.3">
      <c r="A750" s="10">
        <v>45533</v>
      </c>
      <c r="B750" t="s">
        <v>21</v>
      </c>
      <c r="C750" t="s">
        <v>38</v>
      </c>
      <c r="D750" t="s">
        <v>44</v>
      </c>
      <c r="E750" t="s">
        <v>14</v>
      </c>
      <c r="F750">
        <v>76</v>
      </c>
      <c r="G750">
        <v>567</v>
      </c>
      <c r="H750">
        <v>897</v>
      </c>
      <c r="I750">
        <v>43092</v>
      </c>
      <c r="J750">
        <v>68172</v>
      </c>
      <c r="K750">
        <v>25080</v>
      </c>
    </row>
    <row r="751" spans="1:11" x14ac:dyDescent="0.3">
      <c r="A751" s="10">
        <v>45534</v>
      </c>
      <c r="B751" t="s">
        <v>21</v>
      </c>
      <c r="C751" t="s">
        <v>38</v>
      </c>
      <c r="D751" t="s">
        <v>13</v>
      </c>
      <c r="E751" t="s">
        <v>19</v>
      </c>
      <c r="F751">
        <v>70</v>
      </c>
      <c r="G751">
        <v>751</v>
      </c>
      <c r="H751">
        <v>1026</v>
      </c>
      <c r="I751">
        <v>52570</v>
      </c>
      <c r="J751">
        <v>71820</v>
      </c>
      <c r="K751">
        <v>19250</v>
      </c>
    </row>
    <row r="752" spans="1:11" x14ac:dyDescent="0.3">
      <c r="A752" s="10">
        <v>45536</v>
      </c>
      <c r="B752" t="s">
        <v>21</v>
      </c>
      <c r="C752" t="s">
        <v>38</v>
      </c>
      <c r="D752" t="s">
        <v>16</v>
      </c>
      <c r="E752" t="s">
        <v>19</v>
      </c>
      <c r="F752">
        <v>56</v>
      </c>
      <c r="G752">
        <v>559</v>
      </c>
      <c r="H752">
        <v>1151</v>
      </c>
      <c r="I752">
        <v>31304</v>
      </c>
      <c r="J752">
        <v>64456</v>
      </c>
      <c r="K752">
        <v>33152</v>
      </c>
    </row>
    <row r="753" spans="1:11" x14ac:dyDescent="0.3">
      <c r="A753" s="10">
        <v>45537</v>
      </c>
      <c r="B753" t="s">
        <v>21</v>
      </c>
      <c r="C753" t="s">
        <v>41</v>
      </c>
      <c r="D753" t="s">
        <v>17</v>
      </c>
      <c r="E753" t="s">
        <v>19</v>
      </c>
      <c r="F753">
        <v>72</v>
      </c>
      <c r="G753">
        <v>719</v>
      </c>
      <c r="H753">
        <v>911</v>
      </c>
      <c r="I753">
        <v>51768</v>
      </c>
      <c r="J753">
        <v>65592</v>
      </c>
      <c r="K753">
        <v>13824</v>
      </c>
    </row>
    <row r="754" spans="1:11" x14ac:dyDescent="0.3">
      <c r="A754" s="10">
        <v>45538</v>
      </c>
      <c r="B754" t="s">
        <v>21</v>
      </c>
      <c r="C754" t="s">
        <v>41</v>
      </c>
      <c r="D754" t="s">
        <v>17</v>
      </c>
      <c r="E754" t="s">
        <v>19</v>
      </c>
      <c r="F754">
        <v>89</v>
      </c>
      <c r="G754">
        <v>703</v>
      </c>
      <c r="H754">
        <v>795</v>
      </c>
      <c r="I754">
        <v>62567</v>
      </c>
      <c r="J754">
        <v>70755</v>
      </c>
      <c r="K754">
        <v>8188</v>
      </c>
    </row>
    <row r="755" spans="1:11" x14ac:dyDescent="0.3">
      <c r="A755" s="10">
        <v>45539</v>
      </c>
      <c r="B755" t="s">
        <v>21</v>
      </c>
      <c r="C755" t="s">
        <v>41</v>
      </c>
      <c r="D755" t="s">
        <v>18</v>
      </c>
      <c r="E755" t="s">
        <v>14</v>
      </c>
      <c r="F755">
        <v>77</v>
      </c>
      <c r="G755">
        <v>780</v>
      </c>
      <c r="H755">
        <v>967</v>
      </c>
      <c r="I755">
        <v>60060</v>
      </c>
      <c r="J755">
        <v>74459</v>
      </c>
      <c r="K755">
        <v>14399</v>
      </c>
    </row>
    <row r="756" spans="1:11" x14ac:dyDescent="0.3">
      <c r="A756" s="10">
        <v>45541</v>
      </c>
      <c r="B756" t="s">
        <v>21</v>
      </c>
      <c r="C756" t="s">
        <v>41</v>
      </c>
      <c r="D756" t="s">
        <v>17</v>
      </c>
      <c r="E756" t="s">
        <v>14</v>
      </c>
      <c r="F756">
        <v>54</v>
      </c>
      <c r="G756">
        <v>762</v>
      </c>
      <c r="H756">
        <v>1186</v>
      </c>
      <c r="I756">
        <v>41148</v>
      </c>
      <c r="J756">
        <v>64044</v>
      </c>
      <c r="K756">
        <v>22896</v>
      </c>
    </row>
    <row r="757" spans="1:11" x14ac:dyDescent="0.3">
      <c r="A757" s="10">
        <v>45542</v>
      </c>
      <c r="B757" t="s">
        <v>21</v>
      </c>
      <c r="C757" t="s">
        <v>41</v>
      </c>
      <c r="D757" t="s">
        <v>36</v>
      </c>
      <c r="E757" t="s">
        <v>19</v>
      </c>
      <c r="F757">
        <v>91</v>
      </c>
      <c r="G757">
        <v>647</v>
      </c>
      <c r="H757">
        <v>1073</v>
      </c>
      <c r="I757">
        <v>58877</v>
      </c>
      <c r="J757">
        <v>97643</v>
      </c>
      <c r="K757">
        <v>38766</v>
      </c>
    </row>
    <row r="758" spans="1:11" x14ac:dyDescent="0.3">
      <c r="A758" s="10">
        <v>45475</v>
      </c>
      <c r="B758" t="s">
        <v>11</v>
      </c>
      <c r="C758" t="s">
        <v>24</v>
      </c>
      <c r="D758" t="s">
        <v>26</v>
      </c>
      <c r="E758" t="s">
        <v>14</v>
      </c>
      <c r="F758">
        <v>14</v>
      </c>
      <c r="G758">
        <v>684</v>
      </c>
      <c r="H758">
        <v>1483</v>
      </c>
      <c r="I758">
        <v>9576</v>
      </c>
      <c r="J758">
        <v>20762</v>
      </c>
      <c r="K758">
        <v>11186</v>
      </c>
    </row>
    <row r="759" spans="1:11" x14ac:dyDescent="0.3">
      <c r="A759" s="10">
        <v>45555</v>
      </c>
      <c r="B759" t="s">
        <v>21</v>
      </c>
      <c r="C759" t="s">
        <v>41</v>
      </c>
      <c r="D759" t="s">
        <v>26</v>
      </c>
      <c r="E759" t="s">
        <v>19</v>
      </c>
      <c r="F759">
        <v>63</v>
      </c>
      <c r="G759">
        <v>720</v>
      </c>
      <c r="H759">
        <v>1458</v>
      </c>
      <c r="I759">
        <v>45360</v>
      </c>
      <c r="J759">
        <v>91854</v>
      </c>
      <c r="K759">
        <v>46494</v>
      </c>
    </row>
    <row r="760" spans="1:11" x14ac:dyDescent="0.3">
      <c r="A760" s="10">
        <v>45556</v>
      </c>
      <c r="B760" t="s">
        <v>21</v>
      </c>
      <c r="C760" t="s">
        <v>41</v>
      </c>
      <c r="D760" t="s">
        <v>18</v>
      </c>
      <c r="E760" t="s">
        <v>19</v>
      </c>
      <c r="F760">
        <v>66</v>
      </c>
      <c r="G760">
        <v>958</v>
      </c>
      <c r="H760">
        <v>1017</v>
      </c>
      <c r="I760">
        <v>63228</v>
      </c>
      <c r="J760">
        <v>67122</v>
      </c>
      <c r="K760">
        <v>3894</v>
      </c>
    </row>
    <row r="761" spans="1:11" x14ac:dyDescent="0.3">
      <c r="A761" s="10">
        <v>45557</v>
      </c>
      <c r="B761" t="s">
        <v>21</v>
      </c>
      <c r="C761" t="s">
        <v>41</v>
      </c>
      <c r="D761" t="s">
        <v>26</v>
      </c>
      <c r="E761" t="s">
        <v>19</v>
      </c>
      <c r="F761">
        <v>54</v>
      </c>
      <c r="G761">
        <v>663</v>
      </c>
      <c r="H761">
        <v>943</v>
      </c>
      <c r="I761">
        <v>35802</v>
      </c>
      <c r="J761">
        <v>50922</v>
      </c>
      <c r="K761">
        <v>15120</v>
      </c>
    </row>
    <row r="762" spans="1:11" x14ac:dyDescent="0.3">
      <c r="A762" s="10">
        <v>45558</v>
      </c>
      <c r="B762" t="s">
        <v>21</v>
      </c>
      <c r="C762" t="s">
        <v>41</v>
      </c>
      <c r="D762" t="s">
        <v>29</v>
      </c>
      <c r="E762" t="s">
        <v>14</v>
      </c>
      <c r="F762">
        <v>73</v>
      </c>
      <c r="G762">
        <v>540</v>
      </c>
      <c r="H762">
        <v>1397</v>
      </c>
      <c r="I762">
        <v>39420</v>
      </c>
      <c r="J762">
        <v>101981</v>
      </c>
      <c r="K762">
        <v>62561</v>
      </c>
    </row>
    <row r="763" spans="1:11" x14ac:dyDescent="0.3">
      <c r="A763" s="10">
        <v>45559</v>
      </c>
      <c r="B763" t="s">
        <v>21</v>
      </c>
      <c r="C763" t="s">
        <v>41</v>
      </c>
      <c r="D763" t="s">
        <v>18</v>
      </c>
      <c r="E763" t="s">
        <v>19</v>
      </c>
      <c r="F763">
        <v>76</v>
      </c>
      <c r="G763">
        <v>744</v>
      </c>
      <c r="H763">
        <v>1145</v>
      </c>
      <c r="I763">
        <v>56544</v>
      </c>
      <c r="J763">
        <v>87020</v>
      </c>
      <c r="K763">
        <v>30476</v>
      </c>
    </row>
    <row r="764" spans="1:11" x14ac:dyDescent="0.3">
      <c r="A764" s="10">
        <v>45560</v>
      </c>
      <c r="B764" t="s">
        <v>21</v>
      </c>
      <c r="C764" t="s">
        <v>41</v>
      </c>
      <c r="D764" t="s">
        <v>30</v>
      </c>
      <c r="E764" t="s">
        <v>19</v>
      </c>
      <c r="F764">
        <v>94</v>
      </c>
      <c r="G764">
        <v>874</v>
      </c>
      <c r="H764">
        <v>895</v>
      </c>
      <c r="I764">
        <v>82156</v>
      </c>
      <c r="J764">
        <v>84130</v>
      </c>
      <c r="K764">
        <v>1974</v>
      </c>
    </row>
    <row r="765" spans="1:11" x14ac:dyDescent="0.3">
      <c r="A765" s="10">
        <v>45561</v>
      </c>
      <c r="B765" t="s">
        <v>21</v>
      </c>
      <c r="C765" t="s">
        <v>41</v>
      </c>
      <c r="D765" t="s">
        <v>31</v>
      </c>
      <c r="E765" t="s">
        <v>19</v>
      </c>
      <c r="F765">
        <v>97</v>
      </c>
      <c r="G765">
        <v>752</v>
      </c>
      <c r="H765">
        <v>1286</v>
      </c>
      <c r="I765">
        <v>72944</v>
      </c>
      <c r="J765">
        <v>124742</v>
      </c>
      <c r="K765">
        <v>51798</v>
      </c>
    </row>
    <row r="766" spans="1:11" x14ac:dyDescent="0.3">
      <c r="A766" s="10">
        <v>45569</v>
      </c>
      <c r="B766" t="s">
        <v>21</v>
      </c>
      <c r="C766" t="s">
        <v>38</v>
      </c>
      <c r="D766" t="s">
        <v>20</v>
      </c>
      <c r="E766" t="s">
        <v>14</v>
      </c>
      <c r="F766">
        <v>77</v>
      </c>
      <c r="G766">
        <v>951</v>
      </c>
      <c r="H766">
        <v>1432</v>
      </c>
      <c r="I766">
        <v>73227</v>
      </c>
      <c r="J766">
        <v>110264</v>
      </c>
      <c r="K766">
        <v>37037</v>
      </c>
    </row>
    <row r="767" spans="1:11" x14ac:dyDescent="0.3">
      <c r="A767" s="10">
        <v>45570</v>
      </c>
      <c r="B767" t="s">
        <v>21</v>
      </c>
      <c r="C767" t="s">
        <v>38</v>
      </c>
      <c r="D767" t="s">
        <v>39</v>
      </c>
      <c r="E767" t="s">
        <v>14</v>
      </c>
      <c r="F767">
        <v>52</v>
      </c>
      <c r="G767">
        <v>633</v>
      </c>
      <c r="H767">
        <v>1226</v>
      </c>
      <c r="I767">
        <v>32916</v>
      </c>
      <c r="J767">
        <v>63752</v>
      </c>
      <c r="K767">
        <v>30836</v>
      </c>
    </row>
    <row r="768" spans="1:11" x14ac:dyDescent="0.3">
      <c r="A768" s="10">
        <v>45572</v>
      </c>
      <c r="B768" t="s">
        <v>21</v>
      </c>
      <c r="C768" t="s">
        <v>38</v>
      </c>
      <c r="D768" t="s">
        <v>43</v>
      </c>
      <c r="E768" t="s">
        <v>14</v>
      </c>
      <c r="F768">
        <v>80</v>
      </c>
      <c r="G768">
        <v>982</v>
      </c>
      <c r="H768">
        <v>1224</v>
      </c>
      <c r="I768">
        <v>78560</v>
      </c>
      <c r="J768">
        <v>97920</v>
      </c>
      <c r="K768">
        <v>19360</v>
      </c>
    </row>
    <row r="769" spans="1:11" x14ac:dyDescent="0.3">
      <c r="A769" s="10">
        <v>45573</v>
      </c>
      <c r="B769" t="s">
        <v>21</v>
      </c>
      <c r="C769" t="s">
        <v>38</v>
      </c>
      <c r="D769" t="s">
        <v>44</v>
      </c>
      <c r="E769" t="s">
        <v>14</v>
      </c>
      <c r="F769">
        <v>81</v>
      </c>
      <c r="G769">
        <v>917</v>
      </c>
      <c r="H769">
        <v>1344</v>
      </c>
      <c r="I769">
        <v>74277</v>
      </c>
      <c r="J769">
        <v>108864</v>
      </c>
      <c r="K769">
        <v>34587</v>
      </c>
    </row>
    <row r="770" spans="1:11" x14ac:dyDescent="0.3">
      <c r="A770" s="10">
        <v>45574</v>
      </c>
      <c r="B770" t="s">
        <v>21</v>
      </c>
      <c r="C770" t="s">
        <v>41</v>
      </c>
      <c r="D770" t="s">
        <v>13</v>
      </c>
      <c r="E770" t="s">
        <v>14</v>
      </c>
      <c r="F770">
        <v>63</v>
      </c>
      <c r="G770">
        <v>747</v>
      </c>
      <c r="H770">
        <v>778</v>
      </c>
      <c r="I770">
        <v>47061</v>
      </c>
      <c r="J770">
        <v>49014</v>
      </c>
      <c r="K770">
        <v>1953</v>
      </c>
    </row>
    <row r="771" spans="1:11" x14ac:dyDescent="0.3">
      <c r="A771" s="10">
        <v>45488</v>
      </c>
      <c r="B771" t="s">
        <v>27</v>
      </c>
      <c r="C771" t="s">
        <v>40</v>
      </c>
      <c r="D771" t="s">
        <v>25</v>
      </c>
      <c r="E771" t="s">
        <v>14</v>
      </c>
      <c r="F771">
        <v>23</v>
      </c>
      <c r="G771">
        <v>559</v>
      </c>
      <c r="H771">
        <v>1456</v>
      </c>
      <c r="I771">
        <v>12857</v>
      </c>
      <c r="J771">
        <v>33488</v>
      </c>
      <c r="K771">
        <v>20631</v>
      </c>
    </row>
    <row r="772" spans="1:11" x14ac:dyDescent="0.3">
      <c r="A772" s="10">
        <v>45575</v>
      </c>
      <c r="B772" t="s">
        <v>21</v>
      </c>
      <c r="C772" t="s">
        <v>41</v>
      </c>
      <c r="D772" t="s">
        <v>15</v>
      </c>
      <c r="E772" t="s">
        <v>14</v>
      </c>
      <c r="F772">
        <v>88</v>
      </c>
      <c r="G772">
        <v>978</v>
      </c>
      <c r="H772">
        <v>1231</v>
      </c>
      <c r="I772">
        <v>86064</v>
      </c>
      <c r="J772">
        <v>108328</v>
      </c>
      <c r="K772">
        <v>22264</v>
      </c>
    </row>
    <row r="773" spans="1:11" x14ac:dyDescent="0.3">
      <c r="A773" s="10">
        <v>45576</v>
      </c>
      <c r="B773" t="s">
        <v>21</v>
      </c>
      <c r="C773" t="s">
        <v>41</v>
      </c>
      <c r="D773" t="s">
        <v>16</v>
      </c>
      <c r="E773" t="s">
        <v>14</v>
      </c>
      <c r="F773">
        <v>82</v>
      </c>
      <c r="G773">
        <v>652</v>
      </c>
      <c r="H773">
        <v>994</v>
      </c>
      <c r="I773">
        <v>53464</v>
      </c>
      <c r="J773">
        <v>81508</v>
      </c>
      <c r="K773">
        <v>28044</v>
      </c>
    </row>
    <row r="774" spans="1:11" x14ac:dyDescent="0.3">
      <c r="A774" s="10">
        <v>45577</v>
      </c>
      <c r="B774" t="s">
        <v>21</v>
      </c>
      <c r="C774" t="s">
        <v>41</v>
      </c>
      <c r="D774" t="s">
        <v>17</v>
      </c>
      <c r="E774" t="s">
        <v>14</v>
      </c>
      <c r="F774">
        <v>80</v>
      </c>
      <c r="G774">
        <v>841</v>
      </c>
      <c r="H774">
        <v>1490</v>
      </c>
      <c r="I774">
        <v>67280</v>
      </c>
      <c r="J774">
        <v>119200</v>
      </c>
      <c r="K774">
        <v>51920</v>
      </c>
    </row>
    <row r="775" spans="1:11" x14ac:dyDescent="0.3">
      <c r="A775" s="10">
        <v>45579</v>
      </c>
      <c r="B775" t="s">
        <v>21</v>
      </c>
      <c r="C775" t="s">
        <v>41</v>
      </c>
      <c r="D775" t="s">
        <v>18</v>
      </c>
      <c r="E775" t="s">
        <v>19</v>
      </c>
      <c r="F775">
        <v>70</v>
      </c>
      <c r="G775">
        <v>798</v>
      </c>
      <c r="H775">
        <v>1318</v>
      </c>
      <c r="I775">
        <v>55860</v>
      </c>
      <c r="J775">
        <v>92260</v>
      </c>
      <c r="K775">
        <v>36400</v>
      </c>
    </row>
    <row r="776" spans="1:11" x14ac:dyDescent="0.3">
      <c r="A776" s="10">
        <v>45592</v>
      </c>
      <c r="B776" t="s">
        <v>21</v>
      </c>
      <c r="C776" t="s">
        <v>22</v>
      </c>
      <c r="D776" t="s">
        <v>39</v>
      </c>
      <c r="E776" t="s">
        <v>19</v>
      </c>
      <c r="F776">
        <v>69</v>
      </c>
      <c r="G776">
        <v>921</v>
      </c>
      <c r="H776">
        <v>1177</v>
      </c>
      <c r="I776">
        <v>63549</v>
      </c>
      <c r="J776">
        <v>81213</v>
      </c>
      <c r="K776">
        <v>17664</v>
      </c>
    </row>
    <row r="777" spans="1:11" x14ac:dyDescent="0.3">
      <c r="A777" s="10">
        <v>45593</v>
      </c>
      <c r="B777" t="s">
        <v>21</v>
      </c>
      <c r="C777" t="s">
        <v>22</v>
      </c>
      <c r="D777" t="s">
        <v>26</v>
      </c>
      <c r="E777" t="s">
        <v>19</v>
      </c>
      <c r="F777">
        <v>60</v>
      </c>
      <c r="G777">
        <v>729</v>
      </c>
      <c r="H777">
        <v>759</v>
      </c>
      <c r="I777">
        <v>43740</v>
      </c>
      <c r="J777">
        <v>45540</v>
      </c>
      <c r="K777">
        <v>1800</v>
      </c>
    </row>
    <row r="778" spans="1:11" x14ac:dyDescent="0.3">
      <c r="A778" s="10">
        <v>45594</v>
      </c>
      <c r="B778" t="s">
        <v>21</v>
      </c>
      <c r="C778" t="s">
        <v>22</v>
      </c>
      <c r="D778" t="s">
        <v>43</v>
      </c>
      <c r="E778" t="s">
        <v>14</v>
      </c>
      <c r="F778">
        <v>99</v>
      </c>
      <c r="G778">
        <v>880</v>
      </c>
      <c r="H778">
        <v>1318</v>
      </c>
      <c r="I778">
        <v>87120</v>
      </c>
      <c r="J778">
        <v>130482</v>
      </c>
      <c r="K778">
        <v>43362</v>
      </c>
    </row>
    <row r="779" spans="1:11" x14ac:dyDescent="0.3">
      <c r="A779" s="10">
        <v>45595</v>
      </c>
      <c r="B779" t="s">
        <v>21</v>
      </c>
      <c r="C779" t="s">
        <v>22</v>
      </c>
      <c r="D779" t="s">
        <v>44</v>
      </c>
      <c r="E779" t="s">
        <v>19</v>
      </c>
      <c r="F779">
        <v>88</v>
      </c>
      <c r="G779">
        <v>552</v>
      </c>
      <c r="H779">
        <v>1422</v>
      </c>
      <c r="I779">
        <v>48576</v>
      </c>
      <c r="J779">
        <v>125136</v>
      </c>
      <c r="K779">
        <v>76560</v>
      </c>
    </row>
    <row r="780" spans="1:11" x14ac:dyDescent="0.3">
      <c r="A780" s="10">
        <v>45603</v>
      </c>
      <c r="B780" t="s">
        <v>21</v>
      </c>
      <c r="C780" t="s">
        <v>45</v>
      </c>
      <c r="D780" t="s">
        <v>17</v>
      </c>
      <c r="E780" t="s">
        <v>14</v>
      </c>
      <c r="F780">
        <v>60</v>
      </c>
      <c r="G780">
        <v>827</v>
      </c>
      <c r="H780">
        <v>762</v>
      </c>
      <c r="I780">
        <v>49620</v>
      </c>
      <c r="J780">
        <v>45720</v>
      </c>
      <c r="K780">
        <v>-3900</v>
      </c>
    </row>
    <row r="781" spans="1:11" x14ac:dyDescent="0.3">
      <c r="A781" s="10">
        <v>45604</v>
      </c>
      <c r="B781" t="s">
        <v>21</v>
      </c>
      <c r="C781" t="s">
        <v>45</v>
      </c>
      <c r="D781" t="s">
        <v>36</v>
      </c>
      <c r="E781" t="s">
        <v>14</v>
      </c>
      <c r="F781">
        <v>64</v>
      </c>
      <c r="G781">
        <v>529</v>
      </c>
      <c r="H781">
        <v>1195</v>
      </c>
      <c r="I781">
        <v>33856</v>
      </c>
      <c r="J781">
        <v>76480</v>
      </c>
      <c r="K781">
        <v>42624</v>
      </c>
    </row>
    <row r="782" spans="1:11" x14ac:dyDescent="0.3">
      <c r="A782" s="10">
        <v>45606</v>
      </c>
      <c r="B782" t="s">
        <v>21</v>
      </c>
      <c r="C782" t="s">
        <v>45</v>
      </c>
      <c r="D782" t="s">
        <v>26</v>
      </c>
      <c r="E782" t="s">
        <v>14</v>
      </c>
      <c r="F782">
        <v>51</v>
      </c>
      <c r="G782">
        <v>859</v>
      </c>
      <c r="H782">
        <v>1243</v>
      </c>
      <c r="I782">
        <v>43809</v>
      </c>
      <c r="J782">
        <v>63393</v>
      </c>
      <c r="K782">
        <v>19584</v>
      </c>
    </row>
    <row r="783" spans="1:11" x14ac:dyDescent="0.3">
      <c r="A783" s="10">
        <v>45607</v>
      </c>
      <c r="B783" t="s">
        <v>21</v>
      </c>
      <c r="C783" t="s">
        <v>45</v>
      </c>
      <c r="D783" t="s">
        <v>17</v>
      </c>
      <c r="E783" t="s">
        <v>14</v>
      </c>
      <c r="F783">
        <v>68</v>
      </c>
      <c r="G783">
        <v>756</v>
      </c>
      <c r="H783">
        <v>887</v>
      </c>
      <c r="I783">
        <v>51408</v>
      </c>
      <c r="J783">
        <v>60316</v>
      </c>
      <c r="K783">
        <v>8908</v>
      </c>
    </row>
    <row r="784" spans="1:11" x14ac:dyDescent="0.3">
      <c r="A784" s="10">
        <v>45608</v>
      </c>
      <c r="B784" t="s">
        <v>21</v>
      </c>
      <c r="C784" t="s">
        <v>45</v>
      </c>
      <c r="D784" t="s">
        <v>34</v>
      </c>
      <c r="E784" t="s">
        <v>14</v>
      </c>
      <c r="F784">
        <v>87</v>
      </c>
      <c r="G784">
        <v>882</v>
      </c>
      <c r="H784">
        <v>1211</v>
      </c>
      <c r="I784">
        <v>76734</v>
      </c>
      <c r="J784">
        <v>105357</v>
      </c>
      <c r="K784">
        <v>28623</v>
      </c>
    </row>
    <row r="785" spans="1:11" x14ac:dyDescent="0.3">
      <c r="A785" s="10">
        <v>45636</v>
      </c>
      <c r="B785" t="s">
        <v>21</v>
      </c>
      <c r="C785" t="s">
        <v>38</v>
      </c>
      <c r="D785" t="s">
        <v>13</v>
      </c>
      <c r="E785" t="s">
        <v>19</v>
      </c>
      <c r="F785">
        <v>51</v>
      </c>
      <c r="G785">
        <v>685</v>
      </c>
      <c r="H785">
        <v>1224</v>
      </c>
      <c r="I785">
        <v>34935</v>
      </c>
      <c r="J785">
        <v>62424</v>
      </c>
      <c r="K785">
        <v>27489</v>
      </c>
    </row>
    <row r="786" spans="1:11" x14ac:dyDescent="0.3">
      <c r="A786" s="10">
        <v>45638</v>
      </c>
      <c r="B786" t="s">
        <v>21</v>
      </c>
      <c r="C786" t="s">
        <v>38</v>
      </c>
      <c r="D786" t="s">
        <v>16</v>
      </c>
      <c r="E786" t="s">
        <v>14</v>
      </c>
      <c r="F786">
        <v>72</v>
      </c>
      <c r="G786">
        <v>765</v>
      </c>
      <c r="H786">
        <v>1368</v>
      </c>
      <c r="I786">
        <v>55080</v>
      </c>
      <c r="J786">
        <v>98496</v>
      </c>
      <c r="K786">
        <v>43416</v>
      </c>
    </row>
    <row r="787" spans="1:11" x14ac:dyDescent="0.3">
      <c r="A787" s="10">
        <v>45639</v>
      </c>
      <c r="B787" t="s">
        <v>21</v>
      </c>
      <c r="C787" t="s">
        <v>38</v>
      </c>
      <c r="D787" t="s">
        <v>17</v>
      </c>
      <c r="E787" t="s">
        <v>14</v>
      </c>
      <c r="F787">
        <v>54</v>
      </c>
      <c r="G787">
        <v>702</v>
      </c>
      <c r="H787">
        <v>930</v>
      </c>
      <c r="I787">
        <v>37908</v>
      </c>
      <c r="J787">
        <v>50220</v>
      </c>
      <c r="K787">
        <v>12312</v>
      </c>
    </row>
    <row r="788" spans="1:11" x14ac:dyDescent="0.3">
      <c r="A788" s="10">
        <v>45640</v>
      </c>
      <c r="B788" t="s">
        <v>21</v>
      </c>
      <c r="C788" t="s">
        <v>38</v>
      </c>
      <c r="D788" t="s">
        <v>23</v>
      </c>
      <c r="E788" t="s">
        <v>14</v>
      </c>
      <c r="F788">
        <v>97</v>
      </c>
      <c r="G788">
        <v>917</v>
      </c>
      <c r="H788">
        <v>1203</v>
      </c>
      <c r="I788">
        <v>88949</v>
      </c>
      <c r="J788">
        <v>116691</v>
      </c>
      <c r="K788">
        <v>27742</v>
      </c>
    </row>
    <row r="789" spans="1:11" x14ac:dyDescent="0.3">
      <c r="A789" s="10">
        <v>45641</v>
      </c>
      <c r="B789" t="s">
        <v>21</v>
      </c>
      <c r="C789" t="s">
        <v>38</v>
      </c>
      <c r="D789" t="s">
        <v>25</v>
      </c>
      <c r="E789" t="s">
        <v>14</v>
      </c>
      <c r="F789">
        <v>84</v>
      </c>
      <c r="G789">
        <v>516</v>
      </c>
      <c r="H789">
        <v>820</v>
      </c>
      <c r="I789">
        <v>43344</v>
      </c>
      <c r="J789">
        <v>68880</v>
      </c>
      <c r="K789">
        <v>25536</v>
      </c>
    </row>
    <row r="790" spans="1:11" x14ac:dyDescent="0.3">
      <c r="A790" s="10">
        <v>45507</v>
      </c>
      <c r="B790" t="s">
        <v>21</v>
      </c>
      <c r="C790" t="s">
        <v>41</v>
      </c>
      <c r="D790" t="s">
        <v>36</v>
      </c>
      <c r="E790" t="s">
        <v>19</v>
      </c>
      <c r="F790">
        <v>66</v>
      </c>
      <c r="G790">
        <v>715</v>
      </c>
      <c r="H790">
        <v>1460</v>
      </c>
      <c r="I790">
        <v>47190</v>
      </c>
      <c r="J790">
        <v>96360</v>
      </c>
      <c r="K790">
        <v>49170</v>
      </c>
    </row>
    <row r="791" spans="1:11" x14ac:dyDescent="0.3">
      <c r="A791" s="10">
        <v>45643</v>
      </c>
      <c r="B791" t="s">
        <v>21</v>
      </c>
      <c r="C791" t="s">
        <v>38</v>
      </c>
      <c r="D791" t="s">
        <v>34</v>
      </c>
      <c r="E791" t="s">
        <v>14</v>
      </c>
      <c r="F791">
        <v>92</v>
      </c>
      <c r="G791">
        <v>789</v>
      </c>
      <c r="H791">
        <v>1229</v>
      </c>
      <c r="I791">
        <v>72588</v>
      </c>
      <c r="J791">
        <v>113068</v>
      </c>
      <c r="K791">
        <v>40480</v>
      </c>
    </row>
    <row r="792" spans="1:11" x14ac:dyDescent="0.3">
      <c r="A792" s="10">
        <v>45644</v>
      </c>
      <c r="B792" t="s">
        <v>21</v>
      </c>
      <c r="C792" t="s">
        <v>38</v>
      </c>
      <c r="D792" t="s">
        <v>34</v>
      </c>
      <c r="E792" t="s">
        <v>14</v>
      </c>
      <c r="F792">
        <v>53</v>
      </c>
      <c r="G792">
        <v>962</v>
      </c>
      <c r="H792">
        <v>1442</v>
      </c>
      <c r="I792">
        <v>50986</v>
      </c>
      <c r="J792">
        <v>76426</v>
      </c>
      <c r="K792">
        <v>25440</v>
      </c>
    </row>
    <row r="793" spans="1:11" x14ac:dyDescent="0.3">
      <c r="A793" s="10">
        <v>45645</v>
      </c>
      <c r="B793" t="s">
        <v>21</v>
      </c>
      <c r="C793" t="s">
        <v>38</v>
      </c>
      <c r="D793" t="s">
        <v>32</v>
      </c>
      <c r="E793" t="s">
        <v>14</v>
      </c>
      <c r="F793">
        <v>81</v>
      </c>
      <c r="G793">
        <v>565</v>
      </c>
      <c r="H793">
        <v>1224</v>
      </c>
      <c r="I793">
        <v>45765</v>
      </c>
      <c r="J793">
        <v>99144</v>
      </c>
      <c r="K793">
        <v>53379</v>
      </c>
    </row>
    <row r="794" spans="1:11" x14ac:dyDescent="0.3">
      <c r="A794" s="10">
        <v>45647</v>
      </c>
      <c r="B794" t="s">
        <v>21</v>
      </c>
      <c r="C794" t="s">
        <v>38</v>
      </c>
      <c r="D794" t="s">
        <v>20</v>
      </c>
      <c r="E794" t="s">
        <v>14</v>
      </c>
      <c r="F794">
        <v>96</v>
      </c>
      <c r="G794">
        <v>715</v>
      </c>
      <c r="H794">
        <v>1171</v>
      </c>
      <c r="I794">
        <v>68640</v>
      </c>
      <c r="J794">
        <v>112416</v>
      </c>
      <c r="K794">
        <v>43776</v>
      </c>
    </row>
    <row r="795" spans="1:11" x14ac:dyDescent="0.3">
      <c r="A795" s="10">
        <v>45512</v>
      </c>
      <c r="B795" t="s">
        <v>11</v>
      </c>
      <c r="C795" t="s">
        <v>24</v>
      </c>
      <c r="D795" t="s">
        <v>23</v>
      </c>
      <c r="E795" t="s">
        <v>14</v>
      </c>
      <c r="F795">
        <v>10</v>
      </c>
      <c r="G795">
        <v>812</v>
      </c>
      <c r="H795">
        <v>1112</v>
      </c>
      <c r="I795">
        <v>8120</v>
      </c>
      <c r="J795">
        <v>11120</v>
      </c>
      <c r="K795">
        <v>3000</v>
      </c>
    </row>
    <row r="796" spans="1:11" x14ac:dyDescent="0.3">
      <c r="A796" s="10">
        <v>45649</v>
      </c>
      <c r="B796" t="s">
        <v>21</v>
      </c>
      <c r="C796" t="s">
        <v>41</v>
      </c>
      <c r="D796" t="s">
        <v>26</v>
      </c>
      <c r="E796" t="s">
        <v>14</v>
      </c>
      <c r="F796">
        <v>69</v>
      </c>
      <c r="G796">
        <v>699</v>
      </c>
      <c r="H796">
        <v>835</v>
      </c>
      <c r="I796">
        <v>48231</v>
      </c>
      <c r="J796">
        <v>57615</v>
      </c>
      <c r="K796">
        <v>9384</v>
      </c>
    </row>
    <row r="797" spans="1:11" x14ac:dyDescent="0.3">
      <c r="A797" s="10">
        <v>45650</v>
      </c>
      <c r="B797" t="s">
        <v>21</v>
      </c>
      <c r="C797" t="s">
        <v>41</v>
      </c>
      <c r="D797" t="s">
        <v>43</v>
      </c>
      <c r="E797" t="s">
        <v>14</v>
      </c>
      <c r="F797">
        <v>58</v>
      </c>
      <c r="G797">
        <v>924</v>
      </c>
      <c r="H797">
        <v>990</v>
      </c>
      <c r="I797">
        <v>53592</v>
      </c>
      <c r="J797">
        <v>57420</v>
      </c>
      <c r="K797">
        <v>3828</v>
      </c>
    </row>
    <row r="798" spans="1:11" x14ac:dyDescent="0.3">
      <c r="A798" s="10">
        <v>45651</v>
      </c>
      <c r="B798" t="s">
        <v>21</v>
      </c>
      <c r="C798" t="s">
        <v>41</v>
      </c>
      <c r="D798" t="s">
        <v>44</v>
      </c>
      <c r="E798" t="s">
        <v>14</v>
      </c>
      <c r="F798">
        <v>83</v>
      </c>
      <c r="G798">
        <v>790</v>
      </c>
      <c r="H798">
        <v>1164</v>
      </c>
      <c r="I798">
        <v>65570</v>
      </c>
      <c r="J798">
        <v>96612</v>
      </c>
      <c r="K798">
        <v>31042</v>
      </c>
    </row>
    <row r="799" spans="1:11" x14ac:dyDescent="0.3">
      <c r="A799" s="10">
        <v>45652</v>
      </c>
      <c r="B799" t="s">
        <v>21</v>
      </c>
      <c r="C799" t="s">
        <v>41</v>
      </c>
      <c r="D799" t="s">
        <v>13</v>
      </c>
      <c r="E799" t="s">
        <v>14</v>
      </c>
      <c r="F799">
        <v>60</v>
      </c>
      <c r="G799">
        <v>867</v>
      </c>
      <c r="H799">
        <v>854</v>
      </c>
      <c r="I799">
        <v>52020</v>
      </c>
      <c r="J799">
        <v>51240</v>
      </c>
      <c r="K799">
        <v>-780</v>
      </c>
    </row>
    <row r="800" spans="1:11" x14ac:dyDescent="0.3">
      <c r="A800" s="10">
        <v>45654</v>
      </c>
      <c r="B800" t="s">
        <v>21</v>
      </c>
      <c r="C800" t="s">
        <v>41</v>
      </c>
      <c r="D800" t="s">
        <v>16</v>
      </c>
      <c r="E800" t="s">
        <v>19</v>
      </c>
      <c r="F800">
        <v>89</v>
      </c>
      <c r="G800">
        <v>702</v>
      </c>
      <c r="H800">
        <v>1314</v>
      </c>
      <c r="I800">
        <v>62478</v>
      </c>
      <c r="J800">
        <v>116946</v>
      </c>
      <c r="K800">
        <v>54468</v>
      </c>
    </row>
    <row r="801" spans="1:11" x14ac:dyDescent="0.3">
      <c r="A801" s="10">
        <v>45655</v>
      </c>
      <c r="B801" t="s">
        <v>21</v>
      </c>
      <c r="C801" t="s">
        <v>41</v>
      </c>
      <c r="D801" t="s">
        <v>17</v>
      </c>
      <c r="E801" t="s">
        <v>19</v>
      </c>
      <c r="F801">
        <v>91</v>
      </c>
      <c r="G801">
        <v>805</v>
      </c>
      <c r="H801">
        <v>1361</v>
      </c>
      <c r="I801">
        <v>73255</v>
      </c>
      <c r="J801">
        <v>123851</v>
      </c>
      <c r="K801">
        <v>50596</v>
      </c>
    </row>
    <row r="802" spans="1:11" x14ac:dyDescent="0.3">
      <c r="A802" s="10">
        <v>45656</v>
      </c>
      <c r="B802" t="s">
        <v>21</v>
      </c>
      <c r="C802" t="s">
        <v>41</v>
      </c>
      <c r="D802" t="s">
        <v>17</v>
      </c>
      <c r="E802" t="s">
        <v>19</v>
      </c>
      <c r="F802">
        <v>78</v>
      </c>
      <c r="G802">
        <v>682</v>
      </c>
      <c r="H802">
        <v>962</v>
      </c>
      <c r="I802">
        <v>53196</v>
      </c>
      <c r="J802">
        <v>75036</v>
      </c>
      <c r="K802">
        <v>21840</v>
      </c>
    </row>
    <row r="803" spans="1:11" x14ac:dyDescent="0.3">
      <c r="A803" s="10">
        <v>45520</v>
      </c>
      <c r="B803" t="s">
        <v>27</v>
      </c>
      <c r="C803" t="s">
        <v>40</v>
      </c>
      <c r="D803" t="s">
        <v>30</v>
      </c>
      <c r="E803" t="s">
        <v>19</v>
      </c>
      <c r="F803">
        <v>22</v>
      </c>
      <c r="G803">
        <v>888</v>
      </c>
      <c r="H803">
        <v>1284</v>
      </c>
      <c r="I803">
        <v>19536</v>
      </c>
      <c r="J803">
        <v>28248</v>
      </c>
      <c r="K803">
        <v>8712</v>
      </c>
    </row>
    <row r="804" spans="1:11" x14ac:dyDescent="0.3">
      <c r="A804" s="10">
        <v>45657</v>
      </c>
      <c r="B804" t="s">
        <v>21</v>
      </c>
      <c r="C804" t="s">
        <v>41</v>
      </c>
      <c r="D804" t="s">
        <v>18</v>
      </c>
      <c r="E804" t="s">
        <v>19</v>
      </c>
      <c r="F804">
        <v>54</v>
      </c>
      <c r="G804">
        <v>990</v>
      </c>
      <c r="H804">
        <v>970</v>
      </c>
      <c r="I804">
        <v>53460</v>
      </c>
      <c r="J804">
        <v>52380</v>
      </c>
      <c r="K804">
        <v>-1080</v>
      </c>
    </row>
    <row r="805" spans="1:11" x14ac:dyDescent="0.3">
      <c r="A805" s="10">
        <v>45658</v>
      </c>
      <c r="B805" t="s">
        <v>21</v>
      </c>
      <c r="C805" t="s">
        <v>41</v>
      </c>
      <c r="D805" t="s">
        <v>20</v>
      </c>
      <c r="E805" t="s">
        <v>14</v>
      </c>
      <c r="F805">
        <v>72</v>
      </c>
      <c r="G805">
        <v>749</v>
      </c>
      <c r="H805">
        <v>1262</v>
      </c>
      <c r="I805">
        <v>53928</v>
      </c>
      <c r="J805">
        <v>90864</v>
      </c>
      <c r="K805">
        <v>36936</v>
      </c>
    </row>
    <row r="806" spans="1:11" x14ac:dyDescent="0.3">
      <c r="A806" s="10">
        <v>45666</v>
      </c>
      <c r="B806" t="s">
        <v>21</v>
      </c>
      <c r="C806" t="s">
        <v>38</v>
      </c>
      <c r="D806" t="s">
        <v>23</v>
      </c>
      <c r="E806" t="s">
        <v>19</v>
      </c>
      <c r="F806">
        <v>51</v>
      </c>
      <c r="G806">
        <v>925</v>
      </c>
      <c r="H806">
        <v>750</v>
      </c>
      <c r="I806">
        <v>47175</v>
      </c>
      <c r="J806">
        <v>38250</v>
      </c>
      <c r="K806">
        <v>-8925</v>
      </c>
    </row>
    <row r="807" spans="1:11" x14ac:dyDescent="0.3">
      <c r="A807" s="10">
        <v>45667</v>
      </c>
      <c r="B807" t="s">
        <v>21</v>
      </c>
      <c r="C807" t="s">
        <v>38</v>
      </c>
      <c r="D807" t="s">
        <v>25</v>
      </c>
      <c r="E807" t="s">
        <v>19</v>
      </c>
      <c r="F807">
        <v>56</v>
      </c>
      <c r="G807">
        <v>782</v>
      </c>
      <c r="H807">
        <v>1353</v>
      </c>
      <c r="I807">
        <v>43792</v>
      </c>
      <c r="J807">
        <v>75768</v>
      </c>
      <c r="K807">
        <v>31976</v>
      </c>
    </row>
    <row r="808" spans="1:11" x14ac:dyDescent="0.3">
      <c r="A808" s="10">
        <v>45668</v>
      </c>
      <c r="B808" t="s">
        <v>21</v>
      </c>
      <c r="C808" t="s">
        <v>38</v>
      </c>
      <c r="D808" t="s">
        <v>25</v>
      </c>
      <c r="E808" t="s">
        <v>19</v>
      </c>
      <c r="F808">
        <v>92</v>
      </c>
      <c r="G808">
        <v>978</v>
      </c>
      <c r="H808">
        <v>1062</v>
      </c>
      <c r="I808">
        <v>89976</v>
      </c>
      <c r="J808">
        <v>97704</v>
      </c>
      <c r="K808">
        <v>7728</v>
      </c>
    </row>
    <row r="809" spans="1:11" x14ac:dyDescent="0.3">
      <c r="A809" s="10">
        <v>45526</v>
      </c>
      <c r="B809" t="s">
        <v>27</v>
      </c>
      <c r="C809" t="s">
        <v>40</v>
      </c>
      <c r="D809" t="s">
        <v>34</v>
      </c>
      <c r="E809" t="s">
        <v>14</v>
      </c>
      <c r="F809">
        <v>29</v>
      </c>
      <c r="G809">
        <v>818</v>
      </c>
      <c r="H809">
        <v>999</v>
      </c>
      <c r="I809">
        <v>23722</v>
      </c>
      <c r="J809">
        <v>28971</v>
      </c>
      <c r="K809">
        <v>5249</v>
      </c>
    </row>
    <row r="810" spans="1:11" x14ac:dyDescent="0.3">
      <c r="A810" s="10">
        <v>45669</v>
      </c>
      <c r="B810" t="s">
        <v>21</v>
      </c>
      <c r="C810" t="s">
        <v>38</v>
      </c>
      <c r="D810" t="s">
        <v>34</v>
      </c>
      <c r="E810" t="s">
        <v>14</v>
      </c>
      <c r="F810">
        <v>75</v>
      </c>
      <c r="G810">
        <v>539</v>
      </c>
      <c r="H810">
        <v>1068</v>
      </c>
      <c r="I810">
        <v>40425</v>
      </c>
      <c r="J810">
        <v>80100</v>
      </c>
      <c r="K810">
        <v>39675</v>
      </c>
    </row>
    <row r="811" spans="1:11" x14ac:dyDescent="0.3">
      <c r="A811" s="10">
        <v>45670</v>
      </c>
      <c r="B811" t="s">
        <v>21</v>
      </c>
      <c r="C811" t="s">
        <v>38</v>
      </c>
      <c r="D811" t="s">
        <v>34</v>
      </c>
      <c r="E811" t="s">
        <v>19</v>
      </c>
      <c r="F811">
        <v>78</v>
      </c>
      <c r="G811">
        <v>608</v>
      </c>
      <c r="H811">
        <v>1496</v>
      </c>
      <c r="I811">
        <v>47424</v>
      </c>
      <c r="J811">
        <v>116688</v>
      </c>
      <c r="K811">
        <v>69264</v>
      </c>
    </row>
    <row r="812" spans="1:11" x14ac:dyDescent="0.3">
      <c r="A812" s="10">
        <v>45672</v>
      </c>
      <c r="B812" t="s">
        <v>21</v>
      </c>
      <c r="C812" t="s">
        <v>41</v>
      </c>
      <c r="D812" t="s">
        <v>25</v>
      </c>
      <c r="E812" t="s">
        <v>19</v>
      </c>
      <c r="F812">
        <v>66</v>
      </c>
      <c r="G812">
        <v>831</v>
      </c>
      <c r="H812">
        <v>787</v>
      </c>
      <c r="I812">
        <v>54846</v>
      </c>
      <c r="J812">
        <v>51942</v>
      </c>
      <c r="K812">
        <v>-2904</v>
      </c>
    </row>
    <row r="813" spans="1:11" x14ac:dyDescent="0.3">
      <c r="A813" s="10">
        <v>45673</v>
      </c>
      <c r="B813" t="s">
        <v>21</v>
      </c>
      <c r="C813" t="s">
        <v>41</v>
      </c>
      <c r="D813" t="s">
        <v>20</v>
      </c>
      <c r="E813" t="s">
        <v>19</v>
      </c>
      <c r="F813">
        <v>86</v>
      </c>
      <c r="G813">
        <v>855</v>
      </c>
      <c r="H813">
        <v>930</v>
      </c>
      <c r="I813">
        <v>73530</v>
      </c>
      <c r="J813">
        <v>79980</v>
      </c>
      <c r="K813">
        <v>6450</v>
      </c>
    </row>
    <row r="814" spans="1:11" x14ac:dyDescent="0.3">
      <c r="A814" s="10">
        <v>45674</v>
      </c>
      <c r="B814" t="s">
        <v>21</v>
      </c>
      <c r="C814" t="s">
        <v>41</v>
      </c>
      <c r="D814" t="s">
        <v>39</v>
      </c>
      <c r="E814" t="s">
        <v>14</v>
      </c>
      <c r="F814">
        <v>84</v>
      </c>
      <c r="G814">
        <v>948</v>
      </c>
      <c r="H814">
        <v>1156</v>
      </c>
      <c r="I814">
        <v>79632</v>
      </c>
      <c r="J814">
        <v>97104</v>
      </c>
      <c r="K814">
        <v>17472</v>
      </c>
    </row>
    <row r="815" spans="1:11" x14ac:dyDescent="0.3">
      <c r="A815" s="10">
        <v>45675</v>
      </c>
      <c r="B815" t="s">
        <v>21</v>
      </c>
      <c r="C815" t="s">
        <v>41</v>
      </c>
      <c r="D815" t="s">
        <v>26</v>
      </c>
      <c r="E815" t="s">
        <v>14</v>
      </c>
      <c r="F815">
        <v>90</v>
      </c>
      <c r="G815">
        <v>962</v>
      </c>
      <c r="H815">
        <v>970</v>
      </c>
      <c r="I815">
        <v>86580</v>
      </c>
      <c r="J815">
        <v>87300</v>
      </c>
      <c r="K815">
        <v>720</v>
      </c>
    </row>
    <row r="816" spans="1:11" x14ac:dyDescent="0.3">
      <c r="A816" s="10">
        <v>45676</v>
      </c>
      <c r="B816" t="s">
        <v>21</v>
      </c>
      <c r="C816" t="s">
        <v>41</v>
      </c>
      <c r="D816" t="s">
        <v>43</v>
      </c>
      <c r="E816" t="s">
        <v>14</v>
      </c>
      <c r="F816">
        <v>84</v>
      </c>
      <c r="G816">
        <v>521</v>
      </c>
      <c r="H816">
        <v>1320</v>
      </c>
      <c r="I816">
        <v>43764</v>
      </c>
      <c r="J816">
        <v>110880</v>
      </c>
      <c r="K816">
        <v>67116</v>
      </c>
    </row>
    <row r="817" spans="1:11" x14ac:dyDescent="0.3">
      <c r="A817" s="10">
        <v>45700</v>
      </c>
      <c r="B817" t="s">
        <v>21</v>
      </c>
      <c r="C817" t="s">
        <v>38</v>
      </c>
      <c r="D817" t="s">
        <v>25</v>
      </c>
      <c r="E817" t="s">
        <v>14</v>
      </c>
      <c r="F817">
        <v>85</v>
      </c>
      <c r="G817">
        <v>938</v>
      </c>
      <c r="H817">
        <v>802</v>
      </c>
      <c r="I817">
        <v>79730</v>
      </c>
      <c r="J817">
        <v>68170</v>
      </c>
      <c r="K817">
        <v>-11560</v>
      </c>
    </row>
    <row r="818" spans="1:11" x14ac:dyDescent="0.3">
      <c r="A818" s="10">
        <v>45535</v>
      </c>
      <c r="B818" t="s">
        <v>21</v>
      </c>
      <c r="C818" t="s">
        <v>38</v>
      </c>
      <c r="D818" t="s">
        <v>15</v>
      </c>
      <c r="E818" t="s">
        <v>19</v>
      </c>
      <c r="F818">
        <v>60</v>
      </c>
      <c r="G818">
        <v>645</v>
      </c>
      <c r="H818">
        <v>936</v>
      </c>
      <c r="I818">
        <v>38700</v>
      </c>
      <c r="J818">
        <v>56160</v>
      </c>
      <c r="K818">
        <v>17460</v>
      </c>
    </row>
    <row r="819" spans="1:11" x14ac:dyDescent="0.3">
      <c r="A819" s="10">
        <v>45701</v>
      </c>
      <c r="B819" t="s">
        <v>21</v>
      </c>
      <c r="C819" t="s">
        <v>38</v>
      </c>
      <c r="D819" t="s">
        <v>25</v>
      </c>
      <c r="E819" t="s">
        <v>14</v>
      </c>
      <c r="F819">
        <v>62</v>
      </c>
      <c r="G819">
        <v>562</v>
      </c>
      <c r="H819">
        <v>884</v>
      </c>
      <c r="I819">
        <v>34844</v>
      </c>
      <c r="J819">
        <v>54808</v>
      </c>
      <c r="K819">
        <v>19964</v>
      </c>
    </row>
    <row r="820" spans="1:11" x14ac:dyDescent="0.3">
      <c r="A820" s="10">
        <v>45703</v>
      </c>
      <c r="B820" t="s">
        <v>21</v>
      </c>
      <c r="C820" t="s">
        <v>38</v>
      </c>
      <c r="D820" t="s">
        <v>34</v>
      </c>
      <c r="E820" t="s">
        <v>14</v>
      </c>
      <c r="F820">
        <v>50</v>
      </c>
      <c r="G820">
        <v>887</v>
      </c>
      <c r="H820">
        <v>1068</v>
      </c>
      <c r="I820">
        <v>44350</v>
      </c>
      <c r="J820">
        <v>53400</v>
      </c>
      <c r="K820">
        <v>9050</v>
      </c>
    </row>
    <row r="821" spans="1:11" x14ac:dyDescent="0.3">
      <c r="A821" s="10">
        <v>45704</v>
      </c>
      <c r="B821" t="s">
        <v>21</v>
      </c>
      <c r="C821" t="s">
        <v>38</v>
      </c>
      <c r="D821" t="s">
        <v>32</v>
      </c>
      <c r="E821" t="s">
        <v>19</v>
      </c>
      <c r="F821">
        <v>66</v>
      </c>
      <c r="G821">
        <v>771</v>
      </c>
      <c r="H821">
        <v>1492</v>
      </c>
      <c r="I821">
        <v>50886</v>
      </c>
      <c r="J821">
        <v>98472</v>
      </c>
      <c r="K821">
        <v>47586</v>
      </c>
    </row>
    <row r="822" spans="1:11" x14ac:dyDescent="0.3">
      <c r="A822" s="10">
        <v>45705</v>
      </c>
      <c r="B822" t="s">
        <v>21</v>
      </c>
      <c r="C822" t="s">
        <v>38</v>
      </c>
      <c r="D822" t="s">
        <v>25</v>
      </c>
      <c r="E822" t="s">
        <v>19</v>
      </c>
      <c r="F822">
        <v>61</v>
      </c>
      <c r="G822">
        <v>529</v>
      </c>
      <c r="H822">
        <v>1419</v>
      </c>
      <c r="I822">
        <v>32269</v>
      </c>
      <c r="J822">
        <v>86559</v>
      </c>
      <c r="K822">
        <v>54290</v>
      </c>
    </row>
    <row r="823" spans="1:11" x14ac:dyDescent="0.3">
      <c r="A823" s="10">
        <v>45540</v>
      </c>
      <c r="B823" t="s">
        <v>21</v>
      </c>
      <c r="C823" t="s">
        <v>41</v>
      </c>
      <c r="D823" t="s">
        <v>20</v>
      </c>
      <c r="E823" t="s">
        <v>14</v>
      </c>
      <c r="F823">
        <v>68</v>
      </c>
      <c r="G823">
        <v>777</v>
      </c>
      <c r="H823">
        <v>1433</v>
      </c>
      <c r="I823">
        <v>52836</v>
      </c>
      <c r="J823">
        <v>97444</v>
      </c>
      <c r="K823">
        <v>44608</v>
      </c>
    </row>
    <row r="824" spans="1:11" x14ac:dyDescent="0.3">
      <c r="A824" s="10">
        <v>45706</v>
      </c>
      <c r="B824" t="s">
        <v>21</v>
      </c>
      <c r="C824" t="s">
        <v>38</v>
      </c>
      <c r="D824" t="s">
        <v>20</v>
      </c>
      <c r="E824" t="s">
        <v>19</v>
      </c>
      <c r="F824">
        <v>78</v>
      </c>
      <c r="G824">
        <v>511</v>
      </c>
      <c r="H824">
        <v>1368</v>
      </c>
      <c r="I824">
        <v>39858</v>
      </c>
      <c r="J824">
        <v>106704</v>
      </c>
      <c r="K824">
        <v>66846</v>
      </c>
    </row>
    <row r="825" spans="1:11" x14ac:dyDescent="0.3">
      <c r="A825" s="10">
        <v>45707</v>
      </c>
      <c r="B825" t="s">
        <v>21</v>
      </c>
      <c r="C825" t="s">
        <v>38</v>
      </c>
      <c r="D825" t="s">
        <v>39</v>
      </c>
      <c r="E825" t="s">
        <v>19</v>
      </c>
      <c r="F825">
        <v>96</v>
      </c>
      <c r="G825">
        <v>790</v>
      </c>
      <c r="H825">
        <v>1335</v>
      </c>
      <c r="I825">
        <v>75840</v>
      </c>
      <c r="J825">
        <v>128160</v>
      </c>
      <c r="K825">
        <v>52320</v>
      </c>
    </row>
    <row r="826" spans="1:11" x14ac:dyDescent="0.3">
      <c r="A826" s="10">
        <v>45708</v>
      </c>
      <c r="B826" t="s">
        <v>21</v>
      </c>
      <c r="C826" t="s">
        <v>38</v>
      </c>
      <c r="D826" t="s">
        <v>26</v>
      </c>
      <c r="E826" t="s">
        <v>14</v>
      </c>
      <c r="F826">
        <v>63</v>
      </c>
      <c r="G826">
        <v>722</v>
      </c>
      <c r="H826">
        <v>1374</v>
      </c>
      <c r="I826">
        <v>45486</v>
      </c>
      <c r="J826">
        <v>86562</v>
      </c>
      <c r="K826">
        <v>41076</v>
      </c>
    </row>
    <row r="827" spans="1:11" x14ac:dyDescent="0.3">
      <c r="A827" s="10">
        <v>45710</v>
      </c>
      <c r="B827" t="s">
        <v>21</v>
      </c>
      <c r="C827" t="s">
        <v>38</v>
      </c>
      <c r="D827" t="s">
        <v>44</v>
      </c>
      <c r="E827" t="s">
        <v>19</v>
      </c>
      <c r="F827">
        <v>92</v>
      </c>
      <c r="G827">
        <v>521</v>
      </c>
      <c r="H827">
        <v>1414</v>
      </c>
      <c r="I827">
        <v>47932</v>
      </c>
      <c r="J827">
        <v>130088</v>
      </c>
      <c r="K827">
        <v>82156</v>
      </c>
    </row>
    <row r="828" spans="1:11" x14ac:dyDescent="0.3">
      <c r="A828" s="10">
        <v>45711</v>
      </c>
      <c r="B828" t="s">
        <v>21</v>
      </c>
      <c r="C828" t="s">
        <v>38</v>
      </c>
      <c r="D828" t="s">
        <v>13</v>
      </c>
      <c r="E828" t="s">
        <v>19</v>
      </c>
      <c r="F828">
        <v>65</v>
      </c>
      <c r="G828">
        <v>661</v>
      </c>
      <c r="H828">
        <v>1425</v>
      </c>
      <c r="I828">
        <v>42965</v>
      </c>
      <c r="J828">
        <v>92625</v>
      </c>
      <c r="K828">
        <v>49660</v>
      </c>
    </row>
    <row r="829" spans="1:11" x14ac:dyDescent="0.3">
      <c r="A829" s="10">
        <v>45712</v>
      </c>
      <c r="B829" t="s">
        <v>21</v>
      </c>
      <c r="C829" t="s">
        <v>41</v>
      </c>
      <c r="D829" t="s">
        <v>15</v>
      </c>
      <c r="E829" t="s">
        <v>19</v>
      </c>
      <c r="F829">
        <v>77</v>
      </c>
      <c r="G829">
        <v>595</v>
      </c>
      <c r="H829">
        <v>1470</v>
      </c>
      <c r="I829">
        <v>45815</v>
      </c>
      <c r="J829">
        <v>113190</v>
      </c>
      <c r="K829">
        <v>67375</v>
      </c>
    </row>
    <row r="830" spans="1:11" x14ac:dyDescent="0.3">
      <c r="A830" s="10">
        <v>45713</v>
      </c>
      <c r="B830" t="s">
        <v>21</v>
      </c>
      <c r="C830" t="s">
        <v>46</v>
      </c>
      <c r="D830" t="s">
        <v>15</v>
      </c>
      <c r="E830" t="s">
        <v>19</v>
      </c>
      <c r="F830">
        <v>62</v>
      </c>
      <c r="G830">
        <v>774</v>
      </c>
      <c r="H830">
        <v>1050</v>
      </c>
      <c r="I830">
        <v>47988</v>
      </c>
      <c r="J830">
        <v>65100</v>
      </c>
      <c r="K830">
        <v>17112</v>
      </c>
    </row>
    <row r="831" spans="1:11" x14ac:dyDescent="0.3">
      <c r="A831" s="10">
        <v>45387</v>
      </c>
      <c r="B831" t="s">
        <v>21</v>
      </c>
      <c r="C831" t="s">
        <v>22</v>
      </c>
      <c r="D831" t="s">
        <v>36</v>
      </c>
      <c r="E831" t="s">
        <v>19</v>
      </c>
      <c r="F831">
        <v>65</v>
      </c>
      <c r="G831">
        <v>816</v>
      </c>
      <c r="H831">
        <v>1347</v>
      </c>
      <c r="I831">
        <v>53040</v>
      </c>
      <c r="J831">
        <v>87555</v>
      </c>
      <c r="K831">
        <v>34515</v>
      </c>
    </row>
    <row r="832" spans="1:11" x14ac:dyDescent="0.3">
      <c r="A832" s="10">
        <v>45549</v>
      </c>
      <c r="B832" t="s">
        <v>11</v>
      </c>
      <c r="C832" t="s">
        <v>24</v>
      </c>
      <c r="D832" t="s">
        <v>23</v>
      </c>
      <c r="E832" t="s">
        <v>14</v>
      </c>
      <c r="F832">
        <v>19</v>
      </c>
      <c r="G832">
        <v>576</v>
      </c>
      <c r="H832">
        <v>1181</v>
      </c>
      <c r="I832">
        <v>10944</v>
      </c>
      <c r="J832">
        <v>22439</v>
      </c>
      <c r="K832">
        <v>11495</v>
      </c>
    </row>
    <row r="833" spans="1:11" x14ac:dyDescent="0.3">
      <c r="A833" s="10">
        <v>45388</v>
      </c>
      <c r="B833" t="s">
        <v>21</v>
      </c>
      <c r="C833" t="s">
        <v>22</v>
      </c>
      <c r="D833" t="s">
        <v>37</v>
      </c>
      <c r="E833" t="s">
        <v>19</v>
      </c>
      <c r="F833">
        <v>100</v>
      </c>
      <c r="G833">
        <v>893</v>
      </c>
      <c r="H833">
        <v>1460</v>
      </c>
      <c r="I833">
        <v>89300</v>
      </c>
      <c r="J833">
        <v>146000</v>
      </c>
      <c r="K833">
        <v>56700</v>
      </c>
    </row>
    <row r="834" spans="1:11" x14ac:dyDescent="0.3">
      <c r="A834" s="10">
        <v>45390</v>
      </c>
      <c r="B834" t="s">
        <v>21</v>
      </c>
      <c r="C834" t="s">
        <v>22</v>
      </c>
      <c r="D834" t="s">
        <v>26</v>
      </c>
      <c r="E834" t="s">
        <v>19</v>
      </c>
      <c r="F834">
        <v>79</v>
      </c>
      <c r="G834">
        <v>632</v>
      </c>
      <c r="H834">
        <v>1271</v>
      </c>
      <c r="I834">
        <v>49928</v>
      </c>
      <c r="J834">
        <v>100409</v>
      </c>
      <c r="K834">
        <v>50481</v>
      </c>
    </row>
    <row r="835" spans="1:11" x14ac:dyDescent="0.3">
      <c r="A835" s="10">
        <v>45397</v>
      </c>
      <c r="B835" t="s">
        <v>21</v>
      </c>
      <c r="C835" t="s">
        <v>45</v>
      </c>
      <c r="D835" t="s">
        <v>26</v>
      </c>
      <c r="E835" t="s">
        <v>14</v>
      </c>
      <c r="F835">
        <v>74</v>
      </c>
      <c r="G835">
        <v>859</v>
      </c>
      <c r="H835">
        <v>1315</v>
      </c>
      <c r="I835">
        <v>63566</v>
      </c>
      <c r="J835">
        <v>97310</v>
      </c>
      <c r="K835">
        <v>33744</v>
      </c>
    </row>
    <row r="836" spans="1:11" x14ac:dyDescent="0.3">
      <c r="A836" s="10">
        <v>45398</v>
      </c>
      <c r="B836" t="s">
        <v>21</v>
      </c>
      <c r="C836" t="s">
        <v>45</v>
      </c>
      <c r="D836" t="s">
        <v>29</v>
      </c>
      <c r="E836" t="s">
        <v>14</v>
      </c>
      <c r="F836">
        <v>77</v>
      </c>
      <c r="G836">
        <v>579</v>
      </c>
      <c r="H836">
        <v>1178</v>
      </c>
      <c r="I836">
        <v>44583</v>
      </c>
      <c r="J836">
        <v>90706</v>
      </c>
      <c r="K836">
        <v>46123</v>
      </c>
    </row>
    <row r="837" spans="1:11" x14ac:dyDescent="0.3">
      <c r="A837" s="10">
        <v>45554</v>
      </c>
      <c r="B837" t="s">
        <v>11</v>
      </c>
      <c r="C837" t="s">
        <v>24</v>
      </c>
      <c r="D837" t="s">
        <v>25</v>
      </c>
      <c r="E837" t="s">
        <v>19</v>
      </c>
      <c r="F837">
        <v>16</v>
      </c>
      <c r="G837">
        <v>689</v>
      </c>
      <c r="H837">
        <v>1068</v>
      </c>
      <c r="I837">
        <v>11024</v>
      </c>
      <c r="J837">
        <v>17088</v>
      </c>
      <c r="K837">
        <v>6064</v>
      </c>
    </row>
    <row r="838" spans="1:11" x14ac:dyDescent="0.3">
      <c r="A838" s="10">
        <v>45399</v>
      </c>
      <c r="B838" t="s">
        <v>21</v>
      </c>
      <c r="C838" t="s">
        <v>45</v>
      </c>
      <c r="D838" t="s">
        <v>18</v>
      </c>
      <c r="E838" t="s">
        <v>14</v>
      </c>
      <c r="F838">
        <v>61</v>
      </c>
      <c r="G838">
        <v>865</v>
      </c>
      <c r="H838">
        <v>894</v>
      </c>
      <c r="I838">
        <v>52765</v>
      </c>
      <c r="J838">
        <v>54534</v>
      </c>
      <c r="K838">
        <v>1769</v>
      </c>
    </row>
    <row r="839" spans="1:11" x14ac:dyDescent="0.3">
      <c r="A839" s="10">
        <v>45400</v>
      </c>
      <c r="B839" t="s">
        <v>21</v>
      </c>
      <c r="C839" t="s">
        <v>45</v>
      </c>
      <c r="D839" t="s">
        <v>30</v>
      </c>
      <c r="E839" t="s">
        <v>14</v>
      </c>
      <c r="F839">
        <v>57</v>
      </c>
      <c r="G839">
        <v>881</v>
      </c>
      <c r="H839">
        <v>1185</v>
      </c>
      <c r="I839">
        <v>50217</v>
      </c>
      <c r="J839">
        <v>67545</v>
      </c>
      <c r="K839">
        <v>17328</v>
      </c>
    </row>
    <row r="840" spans="1:11" x14ac:dyDescent="0.3">
      <c r="A840" s="10">
        <v>45401</v>
      </c>
      <c r="B840" t="s">
        <v>21</v>
      </c>
      <c r="C840" t="s">
        <v>45</v>
      </c>
      <c r="D840" t="s">
        <v>31</v>
      </c>
      <c r="E840" t="s">
        <v>14</v>
      </c>
      <c r="F840">
        <v>57</v>
      </c>
      <c r="G840">
        <v>548</v>
      </c>
      <c r="H840">
        <v>1306</v>
      </c>
      <c r="I840">
        <v>31236</v>
      </c>
      <c r="J840">
        <v>74442</v>
      </c>
      <c r="K840">
        <v>43206</v>
      </c>
    </row>
    <row r="841" spans="1:11" x14ac:dyDescent="0.3">
      <c r="A841" s="10">
        <v>45402</v>
      </c>
      <c r="B841" t="s">
        <v>21</v>
      </c>
      <c r="C841" t="s">
        <v>45</v>
      </c>
      <c r="D841" t="s">
        <v>23</v>
      </c>
      <c r="E841" t="s">
        <v>19</v>
      </c>
      <c r="F841">
        <v>84</v>
      </c>
      <c r="G841">
        <v>702</v>
      </c>
      <c r="H841">
        <v>787</v>
      </c>
      <c r="I841">
        <v>58968</v>
      </c>
      <c r="J841">
        <v>66108</v>
      </c>
      <c r="K841">
        <v>7140</v>
      </c>
    </row>
    <row r="842" spans="1:11" x14ac:dyDescent="0.3">
      <c r="A842" s="10">
        <v>45403</v>
      </c>
      <c r="B842" t="s">
        <v>21</v>
      </c>
      <c r="C842" t="s">
        <v>45</v>
      </c>
      <c r="D842" t="s">
        <v>25</v>
      </c>
      <c r="E842" t="s">
        <v>19</v>
      </c>
      <c r="F842">
        <v>76</v>
      </c>
      <c r="G842">
        <v>875</v>
      </c>
      <c r="H842">
        <v>1268</v>
      </c>
      <c r="I842">
        <v>66500</v>
      </c>
      <c r="J842">
        <v>96368</v>
      </c>
      <c r="K842">
        <v>29868</v>
      </c>
    </row>
    <row r="843" spans="1:11" x14ac:dyDescent="0.3">
      <c r="A843" s="10">
        <v>45431</v>
      </c>
      <c r="B843" t="s">
        <v>21</v>
      </c>
      <c r="C843" t="s">
        <v>38</v>
      </c>
      <c r="D843" t="s">
        <v>32</v>
      </c>
      <c r="E843" t="s">
        <v>19</v>
      </c>
      <c r="F843">
        <v>50</v>
      </c>
      <c r="G843">
        <v>885</v>
      </c>
      <c r="H843">
        <v>927</v>
      </c>
      <c r="I843">
        <v>44250</v>
      </c>
      <c r="J843">
        <v>46350</v>
      </c>
      <c r="K843">
        <v>2100</v>
      </c>
    </row>
    <row r="844" spans="1:11" x14ac:dyDescent="0.3">
      <c r="A844" s="10">
        <v>45433</v>
      </c>
      <c r="B844" t="s">
        <v>21</v>
      </c>
      <c r="C844" t="s">
        <v>38</v>
      </c>
      <c r="D844" t="s">
        <v>25</v>
      </c>
      <c r="E844" t="s">
        <v>14</v>
      </c>
      <c r="F844">
        <v>53</v>
      </c>
      <c r="G844">
        <v>950</v>
      </c>
      <c r="H844">
        <v>875</v>
      </c>
      <c r="I844">
        <v>50350</v>
      </c>
      <c r="J844">
        <v>46375</v>
      </c>
      <c r="K844">
        <v>-3975</v>
      </c>
    </row>
    <row r="845" spans="1:11" x14ac:dyDescent="0.3">
      <c r="A845" s="10">
        <v>45434</v>
      </c>
      <c r="B845" t="s">
        <v>21</v>
      </c>
      <c r="C845" t="s">
        <v>38</v>
      </c>
      <c r="D845" t="s">
        <v>25</v>
      </c>
      <c r="E845" t="s">
        <v>14</v>
      </c>
      <c r="F845">
        <v>62</v>
      </c>
      <c r="G845">
        <v>623</v>
      </c>
      <c r="H845">
        <v>1253</v>
      </c>
      <c r="I845">
        <v>38626</v>
      </c>
      <c r="J845">
        <v>77686</v>
      </c>
      <c r="K845">
        <v>39060</v>
      </c>
    </row>
    <row r="846" spans="1:11" x14ac:dyDescent="0.3">
      <c r="A846" s="10">
        <v>45563</v>
      </c>
      <c r="B846" t="s">
        <v>11</v>
      </c>
      <c r="C846" t="s">
        <v>12</v>
      </c>
      <c r="D846" t="s">
        <v>25</v>
      </c>
      <c r="E846" t="s">
        <v>14</v>
      </c>
      <c r="F846">
        <v>18</v>
      </c>
      <c r="G846">
        <v>835</v>
      </c>
      <c r="H846">
        <v>1234</v>
      </c>
      <c r="I846">
        <v>15030</v>
      </c>
      <c r="J846">
        <v>22212</v>
      </c>
      <c r="K846">
        <v>7182</v>
      </c>
    </row>
    <row r="847" spans="1:11" x14ac:dyDescent="0.3">
      <c r="A847" s="10">
        <v>45435</v>
      </c>
      <c r="B847" t="s">
        <v>21</v>
      </c>
      <c r="C847" t="s">
        <v>38</v>
      </c>
      <c r="D847" t="s">
        <v>26</v>
      </c>
      <c r="E847" t="s">
        <v>14</v>
      </c>
      <c r="F847">
        <v>72</v>
      </c>
      <c r="G847">
        <v>920</v>
      </c>
      <c r="H847">
        <v>753</v>
      </c>
      <c r="I847">
        <v>66240</v>
      </c>
      <c r="J847">
        <v>54216</v>
      </c>
      <c r="K847">
        <v>-12024</v>
      </c>
    </row>
    <row r="848" spans="1:11" x14ac:dyDescent="0.3">
      <c r="A848" s="10">
        <v>45565</v>
      </c>
      <c r="B848" t="s">
        <v>11</v>
      </c>
      <c r="C848" t="s">
        <v>12</v>
      </c>
      <c r="D848" t="s">
        <v>34</v>
      </c>
      <c r="E848" t="s">
        <v>14</v>
      </c>
      <c r="F848">
        <v>13</v>
      </c>
      <c r="G848">
        <v>855</v>
      </c>
      <c r="H848">
        <v>951</v>
      </c>
      <c r="I848">
        <v>11115</v>
      </c>
      <c r="J848">
        <v>12363</v>
      </c>
      <c r="K848">
        <v>1248</v>
      </c>
    </row>
    <row r="849" spans="1:11" x14ac:dyDescent="0.3">
      <c r="A849" s="10">
        <v>45436</v>
      </c>
      <c r="B849" t="s">
        <v>21</v>
      </c>
      <c r="C849" t="s">
        <v>38</v>
      </c>
      <c r="D849" t="s">
        <v>18</v>
      </c>
      <c r="E849" t="s">
        <v>14</v>
      </c>
      <c r="F849">
        <v>69</v>
      </c>
      <c r="G849">
        <v>860</v>
      </c>
      <c r="H849">
        <v>1081</v>
      </c>
      <c r="I849">
        <v>59340</v>
      </c>
      <c r="J849">
        <v>74589</v>
      </c>
      <c r="K849">
        <v>15249</v>
      </c>
    </row>
    <row r="850" spans="1:11" x14ac:dyDescent="0.3">
      <c r="A850" s="10">
        <v>45437</v>
      </c>
      <c r="B850" t="s">
        <v>21</v>
      </c>
      <c r="C850" t="s">
        <v>38</v>
      </c>
      <c r="D850" t="s">
        <v>26</v>
      </c>
      <c r="E850" t="s">
        <v>14</v>
      </c>
      <c r="F850">
        <v>80</v>
      </c>
      <c r="G850">
        <v>765</v>
      </c>
      <c r="H850">
        <v>924</v>
      </c>
      <c r="I850">
        <v>61200</v>
      </c>
      <c r="J850">
        <v>73920</v>
      </c>
      <c r="K850">
        <v>12720</v>
      </c>
    </row>
    <row r="851" spans="1:11" x14ac:dyDescent="0.3">
      <c r="A851" s="10">
        <v>45438</v>
      </c>
      <c r="B851" t="s">
        <v>21</v>
      </c>
      <c r="C851" t="s">
        <v>38</v>
      </c>
      <c r="D851" t="s">
        <v>29</v>
      </c>
      <c r="E851" t="s">
        <v>14</v>
      </c>
      <c r="F851">
        <v>75</v>
      </c>
      <c r="G851">
        <v>690</v>
      </c>
      <c r="H851">
        <v>817</v>
      </c>
      <c r="I851">
        <v>51750</v>
      </c>
      <c r="J851">
        <v>61275</v>
      </c>
      <c r="K851">
        <v>9525</v>
      </c>
    </row>
    <row r="852" spans="1:11" x14ac:dyDescent="0.3">
      <c r="A852" s="10">
        <v>45439</v>
      </c>
      <c r="B852" t="s">
        <v>21</v>
      </c>
      <c r="C852" t="s">
        <v>38</v>
      </c>
      <c r="D852" t="s">
        <v>18</v>
      </c>
      <c r="E852" t="s">
        <v>14</v>
      </c>
      <c r="F852">
        <v>100</v>
      </c>
      <c r="G852">
        <v>795</v>
      </c>
      <c r="H852">
        <v>1136</v>
      </c>
      <c r="I852">
        <v>79500</v>
      </c>
      <c r="J852">
        <v>113600</v>
      </c>
      <c r="K852">
        <v>34100</v>
      </c>
    </row>
    <row r="853" spans="1:11" x14ac:dyDescent="0.3">
      <c r="A853" s="10">
        <v>45440</v>
      </c>
      <c r="B853" t="s">
        <v>21</v>
      </c>
      <c r="C853" t="s">
        <v>38</v>
      </c>
      <c r="D853" t="s">
        <v>30</v>
      </c>
      <c r="E853" t="s">
        <v>19</v>
      </c>
      <c r="F853">
        <v>85</v>
      </c>
      <c r="G853">
        <v>845</v>
      </c>
      <c r="H853">
        <v>1155</v>
      </c>
      <c r="I853">
        <v>71825</v>
      </c>
      <c r="J853">
        <v>98175</v>
      </c>
      <c r="K853">
        <v>26350</v>
      </c>
    </row>
    <row r="854" spans="1:11" x14ac:dyDescent="0.3">
      <c r="A854" s="10">
        <v>45571</v>
      </c>
      <c r="B854" t="s">
        <v>21</v>
      </c>
      <c r="C854" t="s">
        <v>38</v>
      </c>
      <c r="D854" t="s">
        <v>26</v>
      </c>
      <c r="E854" t="s">
        <v>14</v>
      </c>
      <c r="F854">
        <v>79</v>
      </c>
      <c r="G854">
        <v>683</v>
      </c>
      <c r="H854">
        <v>1444</v>
      </c>
      <c r="I854">
        <v>53957</v>
      </c>
      <c r="J854">
        <v>114076</v>
      </c>
      <c r="K854">
        <v>60119</v>
      </c>
    </row>
    <row r="855" spans="1:11" x14ac:dyDescent="0.3">
      <c r="A855" s="10">
        <v>45442</v>
      </c>
      <c r="B855" t="s">
        <v>21</v>
      </c>
      <c r="C855" t="s">
        <v>38</v>
      </c>
      <c r="D855" t="s">
        <v>23</v>
      </c>
      <c r="E855" t="s">
        <v>19</v>
      </c>
      <c r="F855">
        <v>51</v>
      </c>
      <c r="G855">
        <v>876</v>
      </c>
      <c r="H855">
        <v>1252</v>
      </c>
      <c r="I855">
        <v>44676</v>
      </c>
      <c r="J855">
        <v>63852</v>
      </c>
      <c r="K855">
        <v>19176</v>
      </c>
    </row>
    <row r="856" spans="1:11" x14ac:dyDescent="0.3">
      <c r="A856" s="10">
        <v>45443</v>
      </c>
      <c r="B856" t="s">
        <v>21</v>
      </c>
      <c r="C856" t="s">
        <v>41</v>
      </c>
      <c r="D856" t="s">
        <v>25</v>
      </c>
      <c r="E856" t="s">
        <v>19</v>
      </c>
      <c r="F856">
        <v>55</v>
      </c>
      <c r="G856">
        <v>793</v>
      </c>
      <c r="H856">
        <v>1045</v>
      </c>
      <c r="I856">
        <v>43615</v>
      </c>
      <c r="J856">
        <v>57475</v>
      </c>
      <c r="K856">
        <v>13860</v>
      </c>
    </row>
    <row r="857" spans="1:11" x14ac:dyDescent="0.3">
      <c r="A857" s="10">
        <v>45444</v>
      </c>
      <c r="B857" t="s">
        <v>21</v>
      </c>
      <c r="C857" t="s">
        <v>41</v>
      </c>
      <c r="D857" t="s">
        <v>25</v>
      </c>
      <c r="E857" t="s">
        <v>14</v>
      </c>
      <c r="F857">
        <v>82</v>
      </c>
      <c r="G857">
        <v>641</v>
      </c>
      <c r="H857">
        <v>809</v>
      </c>
      <c r="I857">
        <v>52562</v>
      </c>
      <c r="J857">
        <v>66338</v>
      </c>
      <c r="K857">
        <v>13776</v>
      </c>
    </row>
    <row r="858" spans="1:11" x14ac:dyDescent="0.3">
      <c r="A858" s="10">
        <v>45445</v>
      </c>
      <c r="B858" t="s">
        <v>21</v>
      </c>
      <c r="C858" t="s">
        <v>41</v>
      </c>
      <c r="D858" t="s">
        <v>34</v>
      </c>
      <c r="E858" t="s">
        <v>19</v>
      </c>
      <c r="F858">
        <v>80</v>
      </c>
      <c r="G858">
        <v>678</v>
      </c>
      <c r="H858">
        <v>1016</v>
      </c>
      <c r="I858">
        <v>54240</v>
      </c>
      <c r="J858">
        <v>81280</v>
      </c>
      <c r="K858">
        <v>27040</v>
      </c>
    </row>
    <row r="859" spans="1:11" x14ac:dyDescent="0.3">
      <c r="A859" s="10">
        <v>45446</v>
      </c>
      <c r="B859" t="s">
        <v>21</v>
      </c>
      <c r="C859" t="s">
        <v>41</v>
      </c>
      <c r="D859" t="s">
        <v>34</v>
      </c>
      <c r="E859" t="s">
        <v>19</v>
      </c>
      <c r="F859">
        <v>76</v>
      </c>
      <c r="G859">
        <v>585</v>
      </c>
      <c r="H859">
        <v>1366</v>
      </c>
      <c r="I859">
        <v>44460</v>
      </c>
      <c r="J859">
        <v>103816</v>
      </c>
      <c r="K859">
        <v>59356</v>
      </c>
    </row>
    <row r="860" spans="1:11" x14ac:dyDescent="0.3">
      <c r="A860" s="10">
        <v>45447</v>
      </c>
      <c r="B860" t="s">
        <v>21</v>
      </c>
      <c r="C860" t="s">
        <v>41</v>
      </c>
      <c r="D860" t="s">
        <v>32</v>
      </c>
      <c r="E860" t="s">
        <v>19</v>
      </c>
      <c r="F860">
        <v>93</v>
      </c>
      <c r="G860">
        <v>662</v>
      </c>
      <c r="H860">
        <v>1319</v>
      </c>
      <c r="I860">
        <v>61566</v>
      </c>
      <c r="J860">
        <v>122667</v>
      </c>
      <c r="K860">
        <v>61101</v>
      </c>
    </row>
    <row r="861" spans="1:11" x14ac:dyDescent="0.3">
      <c r="A861" s="10">
        <v>45578</v>
      </c>
      <c r="B861" t="s">
        <v>21</v>
      </c>
      <c r="C861" t="s">
        <v>41</v>
      </c>
      <c r="D861" t="s">
        <v>17</v>
      </c>
      <c r="E861" t="s">
        <v>19</v>
      </c>
      <c r="F861">
        <v>67</v>
      </c>
      <c r="G861">
        <v>711</v>
      </c>
      <c r="H861">
        <v>1280</v>
      </c>
      <c r="I861">
        <v>47637</v>
      </c>
      <c r="J861">
        <v>85760</v>
      </c>
      <c r="K861">
        <v>38123</v>
      </c>
    </row>
    <row r="862" spans="1:11" x14ac:dyDescent="0.3">
      <c r="A862" s="10">
        <v>45448</v>
      </c>
      <c r="B862" t="s">
        <v>21</v>
      </c>
      <c r="C862" t="s">
        <v>41</v>
      </c>
      <c r="D862" t="s">
        <v>25</v>
      </c>
      <c r="E862" t="s">
        <v>19</v>
      </c>
      <c r="F862">
        <v>51</v>
      </c>
      <c r="G862">
        <v>744</v>
      </c>
      <c r="H862">
        <v>782</v>
      </c>
      <c r="I862">
        <v>37944</v>
      </c>
      <c r="J862">
        <v>39882</v>
      </c>
      <c r="K862">
        <v>1938</v>
      </c>
    </row>
    <row r="863" spans="1:11" x14ac:dyDescent="0.3">
      <c r="A863" s="10">
        <v>45449</v>
      </c>
      <c r="B863" t="s">
        <v>21</v>
      </c>
      <c r="C863" t="s">
        <v>41</v>
      </c>
      <c r="D863" t="s">
        <v>20</v>
      </c>
      <c r="E863" t="s">
        <v>14</v>
      </c>
      <c r="F863">
        <v>88</v>
      </c>
      <c r="G863">
        <v>820</v>
      </c>
      <c r="H863">
        <v>1241</v>
      </c>
      <c r="I863">
        <v>72160</v>
      </c>
      <c r="J863">
        <v>109208</v>
      </c>
      <c r="K863">
        <v>37048</v>
      </c>
    </row>
    <row r="864" spans="1:11" x14ac:dyDescent="0.3">
      <c r="A864" s="10">
        <v>45450</v>
      </c>
      <c r="B864" t="s">
        <v>21</v>
      </c>
      <c r="C864" t="s">
        <v>41</v>
      </c>
      <c r="D864" t="s">
        <v>39</v>
      </c>
      <c r="E864" t="s">
        <v>14</v>
      </c>
      <c r="F864">
        <v>72</v>
      </c>
      <c r="G864">
        <v>937</v>
      </c>
      <c r="H864">
        <v>1154</v>
      </c>
      <c r="I864">
        <v>67464</v>
      </c>
      <c r="J864">
        <v>83088</v>
      </c>
      <c r="K864">
        <v>15624</v>
      </c>
    </row>
    <row r="865" spans="1:11" x14ac:dyDescent="0.3">
      <c r="A865" s="10">
        <v>45451</v>
      </c>
      <c r="B865" t="s">
        <v>21</v>
      </c>
      <c r="C865" t="s">
        <v>41</v>
      </c>
      <c r="D865" t="s">
        <v>26</v>
      </c>
      <c r="E865" t="s">
        <v>14</v>
      </c>
      <c r="F865">
        <v>55</v>
      </c>
      <c r="G865">
        <v>685</v>
      </c>
      <c r="H865">
        <v>824</v>
      </c>
      <c r="I865">
        <v>37675</v>
      </c>
      <c r="J865">
        <v>45320</v>
      </c>
      <c r="K865">
        <v>7645</v>
      </c>
    </row>
    <row r="866" spans="1:11" x14ac:dyDescent="0.3">
      <c r="A866" s="10">
        <v>45583</v>
      </c>
      <c r="B866" t="s">
        <v>11</v>
      </c>
      <c r="C866" t="s">
        <v>24</v>
      </c>
      <c r="D866" t="s">
        <v>31</v>
      </c>
      <c r="E866" t="s">
        <v>14</v>
      </c>
      <c r="F866">
        <v>20</v>
      </c>
      <c r="G866">
        <v>963</v>
      </c>
      <c r="H866">
        <v>865</v>
      </c>
      <c r="I866">
        <v>19260</v>
      </c>
      <c r="J866">
        <v>17300</v>
      </c>
      <c r="K866">
        <v>-1960</v>
      </c>
    </row>
    <row r="867" spans="1:11" x14ac:dyDescent="0.3">
      <c r="A867" s="10">
        <v>45452</v>
      </c>
      <c r="B867" t="s">
        <v>21</v>
      </c>
      <c r="C867" t="s">
        <v>41</v>
      </c>
      <c r="D867" t="s">
        <v>43</v>
      </c>
      <c r="E867" t="s">
        <v>14</v>
      </c>
      <c r="F867">
        <v>55</v>
      </c>
      <c r="G867">
        <v>661</v>
      </c>
      <c r="H867">
        <v>1133</v>
      </c>
      <c r="I867">
        <v>36355</v>
      </c>
      <c r="J867">
        <v>62315</v>
      </c>
      <c r="K867">
        <v>25960</v>
      </c>
    </row>
    <row r="868" spans="1:11" x14ac:dyDescent="0.3">
      <c r="A868" s="10">
        <v>45453</v>
      </c>
      <c r="B868" t="s">
        <v>21</v>
      </c>
      <c r="C868" t="s">
        <v>41</v>
      </c>
      <c r="D868" t="s">
        <v>44</v>
      </c>
      <c r="E868" t="s">
        <v>14</v>
      </c>
      <c r="F868">
        <v>72</v>
      </c>
      <c r="G868">
        <v>804</v>
      </c>
      <c r="H868">
        <v>833</v>
      </c>
      <c r="I868">
        <v>57888</v>
      </c>
      <c r="J868">
        <v>59976</v>
      </c>
      <c r="K868">
        <v>2088</v>
      </c>
    </row>
    <row r="869" spans="1:11" x14ac:dyDescent="0.3">
      <c r="A869" s="10">
        <v>45586</v>
      </c>
      <c r="B869" t="s">
        <v>11</v>
      </c>
      <c r="C869" t="s">
        <v>24</v>
      </c>
      <c r="D869" t="s">
        <v>25</v>
      </c>
      <c r="E869" t="s">
        <v>14</v>
      </c>
      <c r="F869">
        <v>14</v>
      </c>
      <c r="G869">
        <v>913</v>
      </c>
      <c r="H869">
        <v>1155</v>
      </c>
      <c r="I869">
        <v>12782</v>
      </c>
      <c r="J869">
        <v>16170</v>
      </c>
      <c r="K869">
        <v>3388</v>
      </c>
    </row>
    <row r="870" spans="1:11" x14ac:dyDescent="0.3">
      <c r="A870" s="10">
        <v>45461</v>
      </c>
      <c r="B870" t="s">
        <v>21</v>
      </c>
      <c r="C870" t="s">
        <v>38</v>
      </c>
      <c r="D870" t="s">
        <v>17</v>
      </c>
      <c r="E870" t="s">
        <v>19</v>
      </c>
      <c r="F870">
        <v>87</v>
      </c>
      <c r="G870">
        <v>616</v>
      </c>
      <c r="H870">
        <v>1447</v>
      </c>
      <c r="I870">
        <v>53592</v>
      </c>
      <c r="J870">
        <v>125889</v>
      </c>
      <c r="K870">
        <v>72297</v>
      </c>
    </row>
    <row r="871" spans="1:11" x14ac:dyDescent="0.3">
      <c r="A871" s="10">
        <v>45588</v>
      </c>
      <c r="B871" t="s">
        <v>27</v>
      </c>
      <c r="C871" t="s">
        <v>28</v>
      </c>
      <c r="D871" t="s">
        <v>34</v>
      </c>
      <c r="E871" t="s">
        <v>14</v>
      </c>
      <c r="F871">
        <v>23</v>
      </c>
      <c r="G871">
        <v>616</v>
      </c>
      <c r="H871">
        <v>919</v>
      </c>
      <c r="I871">
        <v>14168</v>
      </c>
      <c r="J871">
        <v>21137</v>
      </c>
      <c r="K871">
        <v>6969</v>
      </c>
    </row>
    <row r="872" spans="1:11" x14ac:dyDescent="0.3">
      <c r="A872" s="10">
        <v>45462</v>
      </c>
      <c r="B872" t="s">
        <v>21</v>
      </c>
      <c r="C872" t="s">
        <v>38</v>
      </c>
      <c r="D872" t="s">
        <v>36</v>
      </c>
      <c r="E872" t="s">
        <v>19</v>
      </c>
      <c r="F872">
        <v>57</v>
      </c>
      <c r="G872">
        <v>724</v>
      </c>
      <c r="H872">
        <v>1432</v>
      </c>
      <c r="I872">
        <v>41268</v>
      </c>
      <c r="J872">
        <v>81624</v>
      </c>
      <c r="K872">
        <v>40356</v>
      </c>
    </row>
    <row r="873" spans="1:11" x14ac:dyDescent="0.3">
      <c r="A873" s="10">
        <v>45590</v>
      </c>
      <c r="B873" t="s">
        <v>27</v>
      </c>
      <c r="C873" t="s">
        <v>42</v>
      </c>
      <c r="D873" t="s">
        <v>25</v>
      </c>
      <c r="E873" t="s">
        <v>19</v>
      </c>
      <c r="F873">
        <v>28</v>
      </c>
      <c r="G873">
        <v>539</v>
      </c>
      <c r="H873">
        <v>1106</v>
      </c>
      <c r="I873">
        <v>15092</v>
      </c>
      <c r="J873">
        <v>30968</v>
      </c>
      <c r="K873">
        <v>15876</v>
      </c>
    </row>
    <row r="874" spans="1:11" x14ac:dyDescent="0.3">
      <c r="A874" s="10">
        <v>45463</v>
      </c>
      <c r="B874" t="s">
        <v>21</v>
      </c>
      <c r="C874" t="s">
        <v>38</v>
      </c>
      <c r="D874" t="s">
        <v>35</v>
      </c>
      <c r="E874" t="s">
        <v>19</v>
      </c>
      <c r="F874">
        <v>85</v>
      </c>
      <c r="G874">
        <v>639</v>
      </c>
      <c r="H874">
        <v>1447</v>
      </c>
      <c r="I874">
        <v>54315</v>
      </c>
      <c r="J874">
        <v>122995</v>
      </c>
      <c r="K874">
        <v>68680</v>
      </c>
    </row>
    <row r="875" spans="1:11" x14ac:dyDescent="0.3">
      <c r="A875" s="10">
        <v>45465</v>
      </c>
      <c r="B875" t="s">
        <v>21</v>
      </c>
      <c r="C875" t="s">
        <v>38</v>
      </c>
      <c r="D875" t="s">
        <v>17</v>
      </c>
      <c r="E875" t="s">
        <v>14</v>
      </c>
      <c r="F875">
        <v>81</v>
      </c>
      <c r="G875">
        <v>776</v>
      </c>
      <c r="H875">
        <v>895</v>
      </c>
      <c r="I875">
        <v>62856</v>
      </c>
      <c r="J875">
        <v>72495</v>
      </c>
      <c r="K875">
        <v>9639</v>
      </c>
    </row>
    <row r="876" spans="1:11" x14ac:dyDescent="0.3">
      <c r="A876" s="10">
        <v>45466</v>
      </c>
      <c r="B876" t="s">
        <v>21</v>
      </c>
      <c r="C876" t="s">
        <v>41</v>
      </c>
      <c r="D876" t="s">
        <v>34</v>
      </c>
      <c r="E876" t="s">
        <v>14</v>
      </c>
      <c r="F876">
        <v>86</v>
      </c>
      <c r="G876">
        <v>705</v>
      </c>
      <c r="H876">
        <v>1483</v>
      </c>
      <c r="I876">
        <v>60630</v>
      </c>
      <c r="J876">
        <v>127538</v>
      </c>
      <c r="K876">
        <v>66908</v>
      </c>
    </row>
    <row r="877" spans="1:11" x14ac:dyDescent="0.3">
      <c r="A877" s="10">
        <v>45467</v>
      </c>
      <c r="B877" t="s">
        <v>21</v>
      </c>
      <c r="C877" t="s">
        <v>41</v>
      </c>
      <c r="D877" t="s">
        <v>36</v>
      </c>
      <c r="E877" t="s">
        <v>19</v>
      </c>
      <c r="F877">
        <v>80</v>
      </c>
      <c r="G877">
        <v>901</v>
      </c>
      <c r="H877">
        <v>1109</v>
      </c>
      <c r="I877">
        <v>72080</v>
      </c>
      <c r="J877">
        <v>88720</v>
      </c>
      <c r="K877">
        <v>16640</v>
      </c>
    </row>
    <row r="878" spans="1:11" x14ac:dyDescent="0.3">
      <c r="A878" s="10">
        <v>45468</v>
      </c>
      <c r="B878" t="s">
        <v>21</v>
      </c>
      <c r="C878" t="s">
        <v>41</v>
      </c>
      <c r="D878" t="s">
        <v>37</v>
      </c>
      <c r="E878" t="s">
        <v>19</v>
      </c>
      <c r="F878">
        <v>59</v>
      </c>
      <c r="G878">
        <v>502</v>
      </c>
      <c r="H878">
        <v>1212</v>
      </c>
      <c r="I878">
        <v>29618</v>
      </c>
      <c r="J878">
        <v>71508</v>
      </c>
      <c r="K878">
        <v>41890</v>
      </c>
    </row>
    <row r="879" spans="1:11" x14ac:dyDescent="0.3">
      <c r="A879" s="10">
        <v>45469</v>
      </c>
      <c r="B879" t="s">
        <v>21</v>
      </c>
      <c r="C879" t="s">
        <v>41</v>
      </c>
      <c r="D879" t="s">
        <v>23</v>
      </c>
      <c r="E879" t="s">
        <v>19</v>
      </c>
      <c r="F879">
        <v>52</v>
      </c>
      <c r="G879">
        <v>556</v>
      </c>
      <c r="H879">
        <v>1402</v>
      </c>
      <c r="I879">
        <v>28912</v>
      </c>
      <c r="J879">
        <v>72904</v>
      </c>
      <c r="K879">
        <v>43992</v>
      </c>
    </row>
    <row r="880" spans="1:11" x14ac:dyDescent="0.3">
      <c r="A880" s="10">
        <v>45470</v>
      </c>
      <c r="B880" t="s">
        <v>21</v>
      </c>
      <c r="C880" t="s">
        <v>41</v>
      </c>
      <c r="D880" t="s">
        <v>26</v>
      </c>
      <c r="E880" t="s">
        <v>19</v>
      </c>
      <c r="F880">
        <v>92</v>
      </c>
      <c r="G880">
        <v>953</v>
      </c>
      <c r="H880">
        <v>790</v>
      </c>
      <c r="I880">
        <v>87676</v>
      </c>
      <c r="J880">
        <v>72680</v>
      </c>
      <c r="K880">
        <v>-14996</v>
      </c>
    </row>
    <row r="881" spans="1:11" x14ac:dyDescent="0.3">
      <c r="A881" s="10">
        <v>45471</v>
      </c>
      <c r="B881" t="s">
        <v>21</v>
      </c>
      <c r="C881" t="s">
        <v>41</v>
      </c>
      <c r="D881" t="s">
        <v>32</v>
      </c>
      <c r="E881" t="s">
        <v>19</v>
      </c>
      <c r="F881">
        <v>96</v>
      </c>
      <c r="G881">
        <v>961</v>
      </c>
      <c r="H881">
        <v>1174</v>
      </c>
      <c r="I881">
        <v>92256</v>
      </c>
      <c r="J881">
        <v>112704</v>
      </c>
      <c r="K881">
        <v>20448</v>
      </c>
    </row>
    <row r="882" spans="1:11" x14ac:dyDescent="0.3">
      <c r="A882" s="10">
        <v>45495</v>
      </c>
      <c r="B882" t="s">
        <v>21</v>
      </c>
      <c r="C882" t="s">
        <v>38</v>
      </c>
      <c r="D882" t="s">
        <v>15</v>
      </c>
      <c r="E882" t="s">
        <v>14</v>
      </c>
      <c r="F882">
        <v>79</v>
      </c>
      <c r="G882">
        <v>880</v>
      </c>
      <c r="H882">
        <v>1403</v>
      </c>
      <c r="I882">
        <v>69520</v>
      </c>
      <c r="J882">
        <v>110837</v>
      </c>
      <c r="K882">
        <v>41317</v>
      </c>
    </row>
    <row r="883" spans="1:11" x14ac:dyDescent="0.3">
      <c r="A883" s="10">
        <v>45496</v>
      </c>
      <c r="B883" t="s">
        <v>21</v>
      </c>
      <c r="C883" t="s">
        <v>38</v>
      </c>
      <c r="D883" t="s">
        <v>16</v>
      </c>
      <c r="E883" t="s">
        <v>14</v>
      </c>
      <c r="F883">
        <v>62</v>
      </c>
      <c r="G883">
        <v>936</v>
      </c>
      <c r="H883">
        <v>1364</v>
      </c>
      <c r="I883">
        <v>58032</v>
      </c>
      <c r="J883">
        <v>84568</v>
      </c>
      <c r="K883">
        <v>26536</v>
      </c>
    </row>
    <row r="884" spans="1:11" x14ac:dyDescent="0.3">
      <c r="A884" s="10">
        <v>45497</v>
      </c>
      <c r="B884" t="s">
        <v>21</v>
      </c>
      <c r="C884" t="s">
        <v>38</v>
      </c>
      <c r="D884" t="s">
        <v>17</v>
      </c>
      <c r="E884" t="s">
        <v>14</v>
      </c>
      <c r="F884">
        <v>53</v>
      </c>
      <c r="G884">
        <v>791</v>
      </c>
      <c r="H884">
        <v>1253</v>
      </c>
      <c r="I884">
        <v>41923</v>
      </c>
      <c r="J884">
        <v>66409</v>
      </c>
      <c r="K884">
        <v>24486</v>
      </c>
    </row>
    <row r="885" spans="1:11" x14ac:dyDescent="0.3">
      <c r="A885" s="10">
        <v>45602</v>
      </c>
      <c r="B885" t="s">
        <v>21</v>
      </c>
      <c r="C885" t="s">
        <v>45</v>
      </c>
      <c r="D885" t="s">
        <v>20</v>
      </c>
      <c r="E885" t="s">
        <v>14</v>
      </c>
      <c r="F885">
        <v>74</v>
      </c>
      <c r="G885">
        <v>636</v>
      </c>
      <c r="H885">
        <v>955</v>
      </c>
      <c r="I885">
        <v>47064</v>
      </c>
      <c r="J885">
        <v>70670</v>
      </c>
      <c r="K885">
        <v>23606</v>
      </c>
    </row>
    <row r="886" spans="1:11" x14ac:dyDescent="0.3">
      <c r="A886" s="10">
        <v>45498</v>
      </c>
      <c r="B886" t="s">
        <v>21</v>
      </c>
      <c r="C886" t="s">
        <v>38</v>
      </c>
      <c r="D886" t="s">
        <v>17</v>
      </c>
      <c r="E886" t="s">
        <v>14</v>
      </c>
      <c r="F886">
        <v>56</v>
      </c>
      <c r="G886">
        <v>740</v>
      </c>
      <c r="H886">
        <v>1464</v>
      </c>
      <c r="I886">
        <v>41440</v>
      </c>
      <c r="J886">
        <v>81984</v>
      </c>
      <c r="K886">
        <v>40544</v>
      </c>
    </row>
    <row r="887" spans="1:11" x14ac:dyDescent="0.3">
      <c r="A887" s="10">
        <v>45499</v>
      </c>
      <c r="B887" t="s">
        <v>21</v>
      </c>
      <c r="C887" t="s">
        <v>38</v>
      </c>
      <c r="D887" t="s">
        <v>18</v>
      </c>
      <c r="E887" t="s">
        <v>14</v>
      </c>
      <c r="F887">
        <v>63</v>
      </c>
      <c r="G887">
        <v>519</v>
      </c>
      <c r="H887">
        <v>826</v>
      </c>
      <c r="I887">
        <v>32697</v>
      </c>
      <c r="J887">
        <v>52038</v>
      </c>
      <c r="K887">
        <v>19341</v>
      </c>
    </row>
    <row r="888" spans="1:11" x14ac:dyDescent="0.3">
      <c r="A888" s="10">
        <v>45605</v>
      </c>
      <c r="B888" t="s">
        <v>21</v>
      </c>
      <c r="C888" t="s">
        <v>45</v>
      </c>
      <c r="D888" t="s">
        <v>35</v>
      </c>
      <c r="E888" t="s">
        <v>14</v>
      </c>
      <c r="F888">
        <v>83</v>
      </c>
      <c r="G888">
        <v>569</v>
      </c>
      <c r="H888">
        <v>1232</v>
      </c>
      <c r="I888">
        <v>47227</v>
      </c>
      <c r="J888">
        <v>102256</v>
      </c>
      <c r="K888">
        <v>55029</v>
      </c>
    </row>
    <row r="889" spans="1:11" x14ac:dyDescent="0.3">
      <c r="A889" s="10">
        <v>45500</v>
      </c>
      <c r="B889" t="s">
        <v>21</v>
      </c>
      <c r="C889" t="s">
        <v>38</v>
      </c>
      <c r="D889" t="s">
        <v>20</v>
      </c>
      <c r="E889" t="s">
        <v>14</v>
      </c>
      <c r="F889">
        <v>73</v>
      </c>
      <c r="G889">
        <v>857</v>
      </c>
      <c r="H889">
        <v>1024</v>
      </c>
      <c r="I889">
        <v>62561</v>
      </c>
      <c r="J889">
        <v>74752</v>
      </c>
      <c r="K889">
        <v>12191</v>
      </c>
    </row>
    <row r="890" spans="1:11" x14ac:dyDescent="0.3">
      <c r="A890" s="10">
        <v>45501</v>
      </c>
      <c r="B890" t="s">
        <v>21</v>
      </c>
      <c r="C890" t="s">
        <v>38</v>
      </c>
      <c r="D890" t="s">
        <v>17</v>
      </c>
      <c r="E890" t="s">
        <v>14</v>
      </c>
      <c r="F890">
        <v>67</v>
      </c>
      <c r="G890">
        <v>725</v>
      </c>
      <c r="H890">
        <v>884</v>
      </c>
      <c r="I890">
        <v>48575</v>
      </c>
      <c r="J890">
        <v>59228</v>
      </c>
      <c r="K890">
        <v>10653</v>
      </c>
    </row>
    <row r="891" spans="1:11" x14ac:dyDescent="0.3">
      <c r="A891" s="10">
        <v>45502</v>
      </c>
      <c r="B891" t="s">
        <v>21</v>
      </c>
      <c r="C891" t="s">
        <v>38</v>
      </c>
      <c r="D891" t="s">
        <v>36</v>
      </c>
      <c r="E891" t="s">
        <v>14</v>
      </c>
      <c r="F891">
        <v>74</v>
      </c>
      <c r="G891">
        <v>691</v>
      </c>
      <c r="H891">
        <v>871</v>
      </c>
      <c r="I891">
        <v>51134</v>
      </c>
      <c r="J891">
        <v>64454</v>
      </c>
      <c r="K891">
        <v>13320</v>
      </c>
    </row>
    <row r="892" spans="1:11" x14ac:dyDescent="0.3">
      <c r="A892" s="10">
        <v>45503</v>
      </c>
      <c r="B892" t="s">
        <v>21</v>
      </c>
      <c r="C892" t="s">
        <v>38</v>
      </c>
      <c r="D892" t="s">
        <v>35</v>
      </c>
      <c r="E892" t="s">
        <v>19</v>
      </c>
      <c r="F892">
        <v>92</v>
      </c>
      <c r="G892">
        <v>981</v>
      </c>
      <c r="H892">
        <v>1157</v>
      </c>
      <c r="I892">
        <v>90252</v>
      </c>
      <c r="J892">
        <v>106444</v>
      </c>
      <c r="K892">
        <v>16192</v>
      </c>
    </row>
    <row r="893" spans="1:11" x14ac:dyDescent="0.3">
      <c r="A893" s="10">
        <v>45610</v>
      </c>
      <c r="B893" t="s">
        <v>27</v>
      </c>
      <c r="C893" t="s">
        <v>33</v>
      </c>
      <c r="D893" t="s">
        <v>37</v>
      </c>
      <c r="E893" t="s">
        <v>19</v>
      </c>
      <c r="F893">
        <v>23</v>
      </c>
      <c r="G893">
        <v>663</v>
      </c>
      <c r="H893">
        <v>1215</v>
      </c>
      <c r="I893">
        <v>15249</v>
      </c>
      <c r="J893">
        <v>27945</v>
      </c>
      <c r="K893">
        <v>12696</v>
      </c>
    </row>
    <row r="894" spans="1:11" x14ac:dyDescent="0.3">
      <c r="A894" s="10">
        <v>45504</v>
      </c>
      <c r="B894" t="s">
        <v>21</v>
      </c>
      <c r="C894" t="s">
        <v>38</v>
      </c>
      <c r="D894" t="s">
        <v>26</v>
      </c>
      <c r="E894" t="s">
        <v>19</v>
      </c>
      <c r="F894">
        <v>63</v>
      </c>
      <c r="G894">
        <v>547</v>
      </c>
      <c r="H894">
        <v>1150</v>
      </c>
      <c r="I894">
        <v>34461</v>
      </c>
      <c r="J894">
        <v>72450</v>
      </c>
      <c r="K894">
        <v>37989</v>
      </c>
    </row>
    <row r="895" spans="1:11" x14ac:dyDescent="0.3">
      <c r="A895" s="10">
        <v>45505</v>
      </c>
      <c r="B895" t="s">
        <v>21</v>
      </c>
      <c r="C895" t="s">
        <v>38</v>
      </c>
      <c r="D895" t="s">
        <v>17</v>
      </c>
      <c r="E895" t="s">
        <v>19</v>
      </c>
      <c r="F895">
        <v>69</v>
      </c>
      <c r="G895">
        <v>531</v>
      </c>
      <c r="H895">
        <v>1210</v>
      </c>
      <c r="I895">
        <v>36639</v>
      </c>
      <c r="J895">
        <v>83490</v>
      </c>
      <c r="K895">
        <v>46851</v>
      </c>
    </row>
    <row r="896" spans="1:11" x14ac:dyDescent="0.3">
      <c r="A896" s="10">
        <v>45506</v>
      </c>
      <c r="B896" t="s">
        <v>21</v>
      </c>
      <c r="C896" t="s">
        <v>38</v>
      </c>
      <c r="D896" t="s">
        <v>34</v>
      </c>
      <c r="E896" t="s">
        <v>19</v>
      </c>
      <c r="F896">
        <v>84</v>
      </c>
      <c r="G896">
        <v>806</v>
      </c>
      <c r="H896">
        <v>1242</v>
      </c>
      <c r="I896">
        <v>67704</v>
      </c>
      <c r="J896">
        <v>104328</v>
      </c>
      <c r="K896">
        <v>36624</v>
      </c>
    </row>
    <row r="897" spans="1:11" x14ac:dyDescent="0.3">
      <c r="A897" s="10">
        <v>45614</v>
      </c>
      <c r="B897" t="s">
        <v>27</v>
      </c>
      <c r="C897" t="s">
        <v>33</v>
      </c>
      <c r="D897" t="s">
        <v>23</v>
      </c>
      <c r="E897" t="s">
        <v>14</v>
      </c>
      <c r="F897">
        <v>26</v>
      </c>
      <c r="G897">
        <v>878</v>
      </c>
      <c r="H897">
        <v>1492</v>
      </c>
      <c r="I897">
        <v>22828</v>
      </c>
      <c r="J897">
        <v>38792</v>
      </c>
      <c r="K897">
        <v>15964</v>
      </c>
    </row>
    <row r="898" spans="1:11" x14ac:dyDescent="0.3">
      <c r="A898" s="10">
        <v>45508</v>
      </c>
      <c r="B898" t="s">
        <v>21</v>
      </c>
      <c r="C898" t="s">
        <v>41</v>
      </c>
      <c r="D898" t="s">
        <v>37</v>
      </c>
      <c r="E898" t="s">
        <v>14</v>
      </c>
      <c r="F898">
        <v>71</v>
      </c>
      <c r="G898">
        <v>565</v>
      </c>
      <c r="H898">
        <v>807</v>
      </c>
      <c r="I898">
        <v>40115</v>
      </c>
      <c r="J898">
        <v>57297</v>
      </c>
      <c r="K898">
        <v>17182</v>
      </c>
    </row>
    <row r="899" spans="1:11" x14ac:dyDescent="0.3">
      <c r="A899" s="10">
        <v>45616</v>
      </c>
      <c r="B899" t="s">
        <v>27</v>
      </c>
      <c r="C899" t="s">
        <v>33</v>
      </c>
      <c r="D899" t="s">
        <v>25</v>
      </c>
      <c r="E899" t="s">
        <v>14</v>
      </c>
      <c r="F899">
        <v>25</v>
      </c>
      <c r="G899">
        <v>547</v>
      </c>
      <c r="H899">
        <v>1342</v>
      </c>
      <c r="I899">
        <v>13675</v>
      </c>
      <c r="J899">
        <v>33550</v>
      </c>
      <c r="K899">
        <v>19875</v>
      </c>
    </row>
    <row r="900" spans="1:11" x14ac:dyDescent="0.3">
      <c r="A900" s="10">
        <v>45509</v>
      </c>
      <c r="B900" t="s">
        <v>21</v>
      </c>
      <c r="C900" t="s">
        <v>41</v>
      </c>
      <c r="D900" t="s">
        <v>23</v>
      </c>
      <c r="E900" t="s">
        <v>14</v>
      </c>
      <c r="F900">
        <v>90</v>
      </c>
      <c r="G900">
        <v>634</v>
      </c>
      <c r="H900">
        <v>1465</v>
      </c>
      <c r="I900">
        <v>57060</v>
      </c>
      <c r="J900">
        <v>131850</v>
      </c>
      <c r="K900">
        <v>74790</v>
      </c>
    </row>
    <row r="901" spans="1:11" x14ac:dyDescent="0.3">
      <c r="A901" s="10">
        <v>45528</v>
      </c>
      <c r="B901" t="s">
        <v>21</v>
      </c>
      <c r="C901" t="s">
        <v>38</v>
      </c>
      <c r="D901" t="s">
        <v>25</v>
      </c>
      <c r="E901" t="s">
        <v>14</v>
      </c>
      <c r="F901">
        <v>61</v>
      </c>
      <c r="G901">
        <v>675</v>
      </c>
      <c r="H901">
        <v>770</v>
      </c>
      <c r="I901">
        <v>41175</v>
      </c>
      <c r="J901">
        <v>46970</v>
      </c>
      <c r="K901">
        <v>5795</v>
      </c>
    </row>
    <row r="902" spans="1:11" x14ac:dyDescent="0.3">
      <c r="A902" s="10">
        <v>45529</v>
      </c>
      <c r="B902" t="s">
        <v>21</v>
      </c>
      <c r="C902" t="s">
        <v>38</v>
      </c>
      <c r="D902" t="s">
        <v>20</v>
      </c>
      <c r="E902" t="s">
        <v>14</v>
      </c>
      <c r="F902">
        <v>58</v>
      </c>
      <c r="G902">
        <v>720</v>
      </c>
      <c r="H902">
        <v>1356</v>
      </c>
      <c r="I902">
        <v>41760</v>
      </c>
      <c r="J902">
        <v>78648</v>
      </c>
      <c r="K902">
        <v>36888</v>
      </c>
    </row>
    <row r="903" spans="1:11" x14ac:dyDescent="0.3">
      <c r="A903" s="10">
        <v>45530</v>
      </c>
      <c r="B903" t="s">
        <v>21</v>
      </c>
      <c r="C903" t="s">
        <v>38</v>
      </c>
      <c r="D903" t="s">
        <v>39</v>
      </c>
      <c r="E903" t="s">
        <v>14</v>
      </c>
      <c r="F903">
        <v>60</v>
      </c>
      <c r="G903">
        <v>676</v>
      </c>
      <c r="H903">
        <v>768</v>
      </c>
      <c r="I903">
        <v>40560</v>
      </c>
      <c r="J903">
        <v>46080</v>
      </c>
      <c r="K903">
        <v>5520</v>
      </c>
    </row>
    <row r="904" spans="1:11" x14ac:dyDescent="0.3">
      <c r="A904" s="10">
        <v>45531</v>
      </c>
      <c r="B904" t="s">
        <v>21</v>
      </c>
      <c r="C904" t="s">
        <v>38</v>
      </c>
      <c r="D904" t="s">
        <v>26</v>
      </c>
      <c r="E904" t="s">
        <v>14</v>
      </c>
      <c r="F904">
        <v>91</v>
      </c>
      <c r="G904">
        <v>808</v>
      </c>
      <c r="H904">
        <v>928</v>
      </c>
      <c r="I904">
        <v>73528</v>
      </c>
      <c r="J904">
        <v>84448</v>
      </c>
      <c r="K904">
        <v>10920</v>
      </c>
    </row>
    <row r="905" spans="1:11" x14ac:dyDescent="0.3">
      <c r="A905" s="10">
        <v>45532</v>
      </c>
      <c r="B905" t="s">
        <v>21</v>
      </c>
      <c r="C905" t="s">
        <v>38</v>
      </c>
      <c r="D905" t="s">
        <v>43</v>
      </c>
      <c r="E905" t="s">
        <v>14</v>
      </c>
      <c r="F905">
        <v>99</v>
      </c>
      <c r="G905">
        <v>528</v>
      </c>
      <c r="H905">
        <v>985</v>
      </c>
      <c r="I905">
        <v>52272</v>
      </c>
      <c r="J905">
        <v>97515</v>
      </c>
      <c r="K905">
        <v>45243</v>
      </c>
    </row>
    <row r="906" spans="1:11" x14ac:dyDescent="0.3">
      <c r="A906" s="10">
        <v>45533</v>
      </c>
      <c r="B906" t="s">
        <v>21</v>
      </c>
      <c r="C906" t="s">
        <v>38</v>
      </c>
      <c r="D906" t="s">
        <v>44</v>
      </c>
      <c r="E906" t="s">
        <v>14</v>
      </c>
      <c r="F906">
        <v>73</v>
      </c>
      <c r="G906">
        <v>783</v>
      </c>
      <c r="H906">
        <v>903</v>
      </c>
      <c r="I906">
        <v>57159</v>
      </c>
      <c r="J906">
        <v>65919</v>
      </c>
      <c r="K906">
        <v>8760</v>
      </c>
    </row>
    <row r="907" spans="1:11" x14ac:dyDescent="0.3">
      <c r="A907" s="10">
        <v>45534</v>
      </c>
      <c r="B907" t="s">
        <v>21</v>
      </c>
      <c r="C907" t="s">
        <v>38</v>
      </c>
      <c r="D907" t="s">
        <v>13</v>
      </c>
      <c r="E907" t="s">
        <v>19</v>
      </c>
      <c r="F907">
        <v>59</v>
      </c>
      <c r="G907">
        <v>638</v>
      </c>
      <c r="H907">
        <v>1080</v>
      </c>
      <c r="I907">
        <v>37642</v>
      </c>
      <c r="J907">
        <v>63720</v>
      </c>
      <c r="K907">
        <v>26078</v>
      </c>
    </row>
    <row r="908" spans="1:11" x14ac:dyDescent="0.3">
      <c r="A908" s="10">
        <v>45536</v>
      </c>
      <c r="B908" t="s">
        <v>21</v>
      </c>
      <c r="C908" t="s">
        <v>38</v>
      </c>
      <c r="D908" t="s">
        <v>16</v>
      </c>
      <c r="E908" t="s">
        <v>19</v>
      </c>
      <c r="F908">
        <v>68</v>
      </c>
      <c r="G908">
        <v>881</v>
      </c>
      <c r="H908">
        <v>1266</v>
      </c>
      <c r="I908">
        <v>59908</v>
      </c>
      <c r="J908">
        <v>86088</v>
      </c>
      <c r="K908">
        <v>26180</v>
      </c>
    </row>
    <row r="909" spans="1:11" x14ac:dyDescent="0.3">
      <c r="A909" s="10">
        <v>45626</v>
      </c>
      <c r="B909" t="s">
        <v>27</v>
      </c>
      <c r="C909" t="s">
        <v>40</v>
      </c>
      <c r="D909" t="s">
        <v>25</v>
      </c>
      <c r="E909" t="s">
        <v>14</v>
      </c>
      <c r="F909">
        <v>22</v>
      </c>
      <c r="G909">
        <v>606</v>
      </c>
      <c r="H909">
        <v>1459</v>
      </c>
      <c r="I909">
        <v>13332</v>
      </c>
      <c r="J909">
        <v>32098</v>
      </c>
      <c r="K909">
        <v>18766</v>
      </c>
    </row>
    <row r="910" spans="1:11" x14ac:dyDescent="0.3">
      <c r="A910" s="10">
        <v>45537</v>
      </c>
      <c r="B910" t="s">
        <v>21</v>
      </c>
      <c r="C910" t="s">
        <v>41</v>
      </c>
      <c r="D910" t="s">
        <v>17</v>
      </c>
      <c r="E910" t="s">
        <v>19</v>
      </c>
      <c r="F910">
        <v>55</v>
      </c>
      <c r="G910">
        <v>639</v>
      </c>
      <c r="H910">
        <v>1311</v>
      </c>
      <c r="I910">
        <v>35145</v>
      </c>
      <c r="J910">
        <v>72105</v>
      </c>
      <c r="K910">
        <v>36960</v>
      </c>
    </row>
    <row r="911" spans="1:11" x14ac:dyDescent="0.3">
      <c r="A911" s="10">
        <v>45538</v>
      </c>
      <c r="B911" t="s">
        <v>21</v>
      </c>
      <c r="C911" t="s">
        <v>41</v>
      </c>
      <c r="D911" t="s">
        <v>17</v>
      </c>
      <c r="E911" t="s">
        <v>19</v>
      </c>
      <c r="F911">
        <v>52</v>
      </c>
      <c r="G911">
        <v>718</v>
      </c>
      <c r="H911">
        <v>919</v>
      </c>
      <c r="I911">
        <v>37336</v>
      </c>
      <c r="J911">
        <v>47788</v>
      </c>
      <c r="K911">
        <v>10452</v>
      </c>
    </row>
    <row r="912" spans="1:11" x14ac:dyDescent="0.3">
      <c r="A912" s="10">
        <v>45629</v>
      </c>
      <c r="B912" t="s">
        <v>27</v>
      </c>
      <c r="C912" t="s">
        <v>40</v>
      </c>
      <c r="D912" t="s">
        <v>32</v>
      </c>
      <c r="E912" t="s">
        <v>19</v>
      </c>
      <c r="F912">
        <v>28</v>
      </c>
      <c r="G912">
        <v>507</v>
      </c>
      <c r="H912">
        <v>1379</v>
      </c>
      <c r="I912">
        <v>14196</v>
      </c>
      <c r="J912">
        <v>38612</v>
      </c>
      <c r="K912">
        <v>24416</v>
      </c>
    </row>
    <row r="913" spans="1:11" x14ac:dyDescent="0.3">
      <c r="A913" s="10">
        <v>45539</v>
      </c>
      <c r="B913" t="s">
        <v>21</v>
      </c>
      <c r="C913" t="s">
        <v>41</v>
      </c>
      <c r="D913" t="s">
        <v>18</v>
      </c>
      <c r="E913" t="s">
        <v>14</v>
      </c>
      <c r="F913">
        <v>95</v>
      </c>
      <c r="G913">
        <v>944</v>
      </c>
      <c r="H913">
        <v>1263</v>
      </c>
      <c r="I913">
        <v>89680</v>
      </c>
      <c r="J913">
        <v>119985</v>
      </c>
      <c r="K913">
        <v>30305</v>
      </c>
    </row>
    <row r="914" spans="1:11" x14ac:dyDescent="0.3">
      <c r="A914" s="10">
        <v>45541</v>
      </c>
      <c r="B914" t="s">
        <v>21</v>
      </c>
      <c r="C914" t="s">
        <v>41</v>
      </c>
      <c r="D914" t="s">
        <v>17</v>
      </c>
      <c r="E914" t="s">
        <v>14</v>
      </c>
      <c r="F914">
        <v>99</v>
      </c>
      <c r="G914">
        <v>523</v>
      </c>
      <c r="H914">
        <v>1350</v>
      </c>
      <c r="I914">
        <v>51777</v>
      </c>
      <c r="J914">
        <v>133650</v>
      </c>
      <c r="K914">
        <v>81873</v>
      </c>
    </row>
    <row r="915" spans="1:11" x14ac:dyDescent="0.3">
      <c r="A915" s="10">
        <v>45542</v>
      </c>
      <c r="B915" t="s">
        <v>21</v>
      </c>
      <c r="C915" t="s">
        <v>41</v>
      </c>
      <c r="D915" t="s">
        <v>36</v>
      </c>
      <c r="E915" t="s">
        <v>19</v>
      </c>
      <c r="F915">
        <v>92</v>
      </c>
      <c r="G915">
        <v>814</v>
      </c>
      <c r="H915">
        <v>865</v>
      </c>
      <c r="I915">
        <v>74888</v>
      </c>
      <c r="J915">
        <v>79580</v>
      </c>
      <c r="K915">
        <v>4692</v>
      </c>
    </row>
    <row r="916" spans="1:11" x14ac:dyDescent="0.3">
      <c r="A916" s="10">
        <v>45555</v>
      </c>
      <c r="B916" t="s">
        <v>21</v>
      </c>
      <c r="C916" t="s">
        <v>41</v>
      </c>
      <c r="D916" t="s">
        <v>26</v>
      </c>
      <c r="E916" t="s">
        <v>19</v>
      </c>
      <c r="F916">
        <v>62</v>
      </c>
      <c r="G916">
        <v>891</v>
      </c>
      <c r="H916">
        <v>1170</v>
      </c>
      <c r="I916">
        <v>55242</v>
      </c>
      <c r="J916">
        <v>72540</v>
      </c>
      <c r="K916">
        <v>17298</v>
      </c>
    </row>
    <row r="917" spans="1:11" x14ac:dyDescent="0.3">
      <c r="A917" s="10">
        <v>45634</v>
      </c>
      <c r="B917" t="s">
        <v>27</v>
      </c>
      <c r="C917" t="s">
        <v>40</v>
      </c>
      <c r="D917" t="s">
        <v>43</v>
      </c>
      <c r="E917" t="s">
        <v>19</v>
      </c>
      <c r="F917">
        <v>29</v>
      </c>
      <c r="G917">
        <v>989</v>
      </c>
      <c r="H917">
        <v>836</v>
      </c>
      <c r="I917">
        <v>28681</v>
      </c>
      <c r="J917">
        <v>24244</v>
      </c>
      <c r="K917">
        <v>-4437</v>
      </c>
    </row>
    <row r="918" spans="1:11" x14ac:dyDescent="0.3">
      <c r="A918" s="10">
        <v>45556</v>
      </c>
      <c r="B918" t="s">
        <v>21</v>
      </c>
      <c r="C918" t="s">
        <v>41</v>
      </c>
      <c r="D918" t="s">
        <v>18</v>
      </c>
      <c r="E918" t="s">
        <v>19</v>
      </c>
      <c r="F918">
        <v>89</v>
      </c>
      <c r="G918">
        <v>990</v>
      </c>
      <c r="H918">
        <v>1047</v>
      </c>
      <c r="I918">
        <v>88110</v>
      </c>
      <c r="J918">
        <v>93183</v>
      </c>
      <c r="K918">
        <v>5073</v>
      </c>
    </row>
    <row r="919" spans="1:11" x14ac:dyDescent="0.3">
      <c r="A919" s="10">
        <v>45557</v>
      </c>
      <c r="B919" t="s">
        <v>21</v>
      </c>
      <c r="C919" t="s">
        <v>41</v>
      </c>
      <c r="D919" t="s">
        <v>26</v>
      </c>
      <c r="E919" t="s">
        <v>19</v>
      </c>
      <c r="F919">
        <v>61</v>
      </c>
      <c r="G919">
        <v>907</v>
      </c>
      <c r="H919">
        <v>1327</v>
      </c>
      <c r="I919">
        <v>55327</v>
      </c>
      <c r="J919">
        <v>80947</v>
      </c>
      <c r="K919">
        <v>25620</v>
      </c>
    </row>
    <row r="920" spans="1:11" x14ac:dyDescent="0.3">
      <c r="A920" s="10">
        <v>45637</v>
      </c>
      <c r="B920" t="s">
        <v>21</v>
      </c>
      <c r="C920" t="s">
        <v>38</v>
      </c>
      <c r="D920" t="s">
        <v>15</v>
      </c>
      <c r="E920" t="s">
        <v>19</v>
      </c>
      <c r="F920">
        <v>55</v>
      </c>
      <c r="G920">
        <v>666</v>
      </c>
      <c r="H920">
        <v>1358</v>
      </c>
      <c r="I920">
        <v>36630</v>
      </c>
      <c r="J920">
        <v>74690</v>
      </c>
      <c r="K920">
        <v>38060</v>
      </c>
    </row>
    <row r="921" spans="1:11" x14ac:dyDescent="0.3">
      <c r="A921" s="10">
        <v>45558</v>
      </c>
      <c r="B921" t="s">
        <v>21</v>
      </c>
      <c r="C921" t="s">
        <v>41</v>
      </c>
      <c r="D921" t="s">
        <v>29</v>
      </c>
      <c r="E921" t="s">
        <v>14</v>
      </c>
      <c r="F921">
        <v>52</v>
      </c>
      <c r="G921">
        <v>766</v>
      </c>
      <c r="H921">
        <v>1318</v>
      </c>
      <c r="I921">
        <v>39832</v>
      </c>
      <c r="J921">
        <v>68536</v>
      </c>
      <c r="K921">
        <v>28704</v>
      </c>
    </row>
    <row r="922" spans="1:11" x14ac:dyDescent="0.3">
      <c r="A922" s="10">
        <v>45559</v>
      </c>
      <c r="B922" t="s">
        <v>21</v>
      </c>
      <c r="C922" t="s">
        <v>41</v>
      </c>
      <c r="D922" t="s">
        <v>18</v>
      </c>
      <c r="E922" t="s">
        <v>19</v>
      </c>
      <c r="F922">
        <v>96</v>
      </c>
      <c r="G922">
        <v>520</v>
      </c>
      <c r="H922">
        <v>1208</v>
      </c>
      <c r="I922">
        <v>49920</v>
      </c>
      <c r="J922">
        <v>115968</v>
      </c>
      <c r="K922">
        <v>66048</v>
      </c>
    </row>
    <row r="923" spans="1:11" x14ac:dyDescent="0.3">
      <c r="A923" s="10">
        <v>45560</v>
      </c>
      <c r="B923" t="s">
        <v>21</v>
      </c>
      <c r="C923" t="s">
        <v>41</v>
      </c>
      <c r="D923" t="s">
        <v>30</v>
      </c>
      <c r="E923" t="s">
        <v>19</v>
      </c>
      <c r="F923">
        <v>90</v>
      </c>
      <c r="G923">
        <v>792</v>
      </c>
      <c r="H923">
        <v>818</v>
      </c>
      <c r="I923">
        <v>71280</v>
      </c>
      <c r="J923">
        <v>73620</v>
      </c>
      <c r="K923">
        <v>2340</v>
      </c>
    </row>
    <row r="924" spans="1:11" x14ac:dyDescent="0.3">
      <c r="A924" s="10">
        <v>45561</v>
      </c>
      <c r="B924" t="s">
        <v>21</v>
      </c>
      <c r="C924" t="s">
        <v>41</v>
      </c>
      <c r="D924" t="s">
        <v>31</v>
      </c>
      <c r="E924" t="s">
        <v>19</v>
      </c>
      <c r="F924">
        <v>98</v>
      </c>
      <c r="G924">
        <v>711</v>
      </c>
      <c r="H924">
        <v>1190</v>
      </c>
      <c r="I924">
        <v>69678</v>
      </c>
      <c r="J924">
        <v>116620</v>
      </c>
      <c r="K924">
        <v>46942</v>
      </c>
    </row>
    <row r="925" spans="1:11" x14ac:dyDescent="0.3">
      <c r="A925" s="10">
        <v>45642</v>
      </c>
      <c r="B925" t="s">
        <v>21</v>
      </c>
      <c r="C925" t="s">
        <v>38</v>
      </c>
      <c r="D925" t="s">
        <v>25</v>
      </c>
      <c r="E925" t="s">
        <v>14</v>
      </c>
      <c r="F925">
        <v>94</v>
      </c>
      <c r="G925">
        <v>616</v>
      </c>
      <c r="H925">
        <v>1200</v>
      </c>
      <c r="I925">
        <v>57904</v>
      </c>
      <c r="J925">
        <v>112800</v>
      </c>
      <c r="K925">
        <v>54896</v>
      </c>
    </row>
    <row r="926" spans="1:11" x14ac:dyDescent="0.3">
      <c r="A926" s="10">
        <v>45569</v>
      </c>
      <c r="B926" t="s">
        <v>21</v>
      </c>
      <c r="C926" t="s">
        <v>38</v>
      </c>
      <c r="D926" t="s">
        <v>20</v>
      </c>
      <c r="E926" t="s">
        <v>14</v>
      </c>
      <c r="F926">
        <v>93</v>
      </c>
      <c r="G926">
        <v>660</v>
      </c>
      <c r="H926">
        <v>880</v>
      </c>
      <c r="I926">
        <v>61380</v>
      </c>
      <c r="J926">
        <v>81840</v>
      </c>
      <c r="K926">
        <v>20460</v>
      </c>
    </row>
    <row r="927" spans="1:11" x14ac:dyDescent="0.3">
      <c r="A927" s="10">
        <v>45570</v>
      </c>
      <c r="B927" t="s">
        <v>21</v>
      </c>
      <c r="C927" t="s">
        <v>38</v>
      </c>
      <c r="D927" t="s">
        <v>39</v>
      </c>
      <c r="E927" t="s">
        <v>14</v>
      </c>
      <c r="F927">
        <v>59</v>
      </c>
      <c r="G927">
        <v>623</v>
      </c>
      <c r="H927">
        <v>1386</v>
      </c>
      <c r="I927">
        <v>36757</v>
      </c>
      <c r="J927">
        <v>81774</v>
      </c>
      <c r="K927">
        <v>45017</v>
      </c>
    </row>
    <row r="928" spans="1:11" x14ac:dyDescent="0.3">
      <c r="A928" s="10">
        <v>45572</v>
      </c>
      <c r="B928" t="s">
        <v>21</v>
      </c>
      <c r="C928" t="s">
        <v>38</v>
      </c>
      <c r="D928" t="s">
        <v>43</v>
      </c>
      <c r="E928" t="s">
        <v>14</v>
      </c>
      <c r="F928">
        <v>98</v>
      </c>
      <c r="G928">
        <v>865</v>
      </c>
      <c r="H928">
        <v>1260</v>
      </c>
      <c r="I928">
        <v>84770</v>
      </c>
      <c r="J928">
        <v>123480</v>
      </c>
      <c r="K928">
        <v>38710</v>
      </c>
    </row>
    <row r="929" spans="1:11" x14ac:dyDescent="0.3">
      <c r="A929" s="10">
        <v>45646</v>
      </c>
      <c r="B929" t="s">
        <v>21</v>
      </c>
      <c r="C929" t="s">
        <v>38</v>
      </c>
      <c r="D929" t="s">
        <v>25</v>
      </c>
      <c r="E929" t="s">
        <v>14</v>
      </c>
      <c r="F929">
        <v>67</v>
      </c>
      <c r="G929">
        <v>898</v>
      </c>
      <c r="H929">
        <v>1133</v>
      </c>
      <c r="I929">
        <v>60166</v>
      </c>
      <c r="J929">
        <v>75911</v>
      </c>
      <c r="K929">
        <v>15745</v>
      </c>
    </row>
    <row r="930" spans="1:11" x14ac:dyDescent="0.3">
      <c r="A930" s="10">
        <v>45573</v>
      </c>
      <c r="B930" t="s">
        <v>21</v>
      </c>
      <c r="C930" t="s">
        <v>38</v>
      </c>
      <c r="D930" t="s">
        <v>44</v>
      </c>
      <c r="E930" t="s">
        <v>14</v>
      </c>
      <c r="F930">
        <v>83</v>
      </c>
      <c r="G930">
        <v>709</v>
      </c>
      <c r="H930">
        <v>1206</v>
      </c>
      <c r="I930">
        <v>58847</v>
      </c>
      <c r="J930">
        <v>100098</v>
      </c>
      <c r="K930">
        <v>41251</v>
      </c>
    </row>
    <row r="931" spans="1:11" x14ac:dyDescent="0.3">
      <c r="A931" s="10">
        <v>45648</v>
      </c>
      <c r="B931" t="s">
        <v>21</v>
      </c>
      <c r="C931" t="s">
        <v>41</v>
      </c>
      <c r="D931" t="s">
        <v>39</v>
      </c>
      <c r="E931" t="s">
        <v>14</v>
      </c>
      <c r="F931">
        <v>72</v>
      </c>
      <c r="G931">
        <v>603</v>
      </c>
      <c r="H931">
        <v>941</v>
      </c>
      <c r="I931">
        <v>43416</v>
      </c>
      <c r="J931">
        <v>67752</v>
      </c>
      <c r="K931">
        <v>24336</v>
      </c>
    </row>
    <row r="932" spans="1:11" x14ac:dyDescent="0.3">
      <c r="A932" s="10">
        <v>45574</v>
      </c>
      <c r="B932" t="s">
        <v>21</v>
      </c>
      <c r="C932" t="s">
        <v>41</v>
      </c>
      <c r="D932" t="s">
        <v>13</v>
      </c>
      <c r="E932" t="s">
        <v>14</v>
      </c>
      <c r="F932">
        <v>69</v>
      </c>
      <c r="G932">
        <v>657</v>
      </c>
      <c r="H932">
        <v>1493</v>
      </c>
      <c r="I932">
        <v>45333</v>
      </c>
      <c r="J932">
        <v>103017</v>
      </c>
      <c r="K932">
        <v>57684</v>
      </c>
    </row>
    <row r="933" spans="1:11" x14ac:dyDescent="0.3">
      <c r="A933" s="10">
        <v>45575</v>
      </c>
      <c r="B933" t="s">
        <v>21</v>
      </c>
      <c r="C933" t="s">
        <v>41</v>
      </c>
      <c r="D933" t="s">
        <v>15</v>
      </c>
      <c r="E933" t="s">
        <v>14</v>
      </c>
      <c r="F933">
        <v>81</v>
      </c>
      <c r="G933">
        <v>709</v>
      </c>
      <c r="H933">
        <v>1180</v>
      </c>
      <c r="I933">
        <v>57429</v>
      </c>
      <c r="J933">
        <v>95580</v>
      </c>
      <c r="K933">
        <v>38151</v>
      </c>
    </row>
    <row r="934" spans="1:11" x14ac:dyDescent="0.3">
      <c r="A934" s="10">
        <v>45576</v>
      </c>
      <c r="B934" t="s">
        <v>21</v>
      </c>
      <c r="C934" t="s">
        <v>41</v>
      </c>
      <c r="D934" t="s">
        <v>16</v>
      </c>
      <c r="E934" t="s">
        <v>14</v>
      </c>
      <c r="F934">
        <v>61</v>
      </c>
      <c r="G934">
        <v>547</v>
      </c>
      <c r="H934">
        <v>1060</v>
      </c>
      <c r="I934">
        <v>33367</v>
      </c>
      <c r="J934">
        <v>64660</v>
      </c>
      <c r="K934">
        <v>31293</v>
      </c>
    </row>
    <row r="935" spans="1:11" x14ac:dyDescent="0.3">
      <c r="A935" s="10">
        <v>45577</v>
      </c>
      <c r="B935" t="s">
        <v>21</v>
      </c>
      <c r="C935" t="s">
        <v>41</v>
      </c>
      <c r="D935" t="s">
        <v>17</v>
      </c>
      <c r="E935" t="s">
        <v>14</v>
      </c>
      <c r="F935">
        <v>57</v>
      </c>
      <c r="G935">
        <v>734</v>
      </c>
      <c r="H935">
        <v>979</v>
      </c>
      <c r="I935">
        <v>41838</v>
      </c>
      <c r="J935">
        <v>55803</v>
      </c>
      <c r="K935">
        <v>13965</v>
      </c>
    </row>
    <row r="936" spans="1:11" x14ac:dyDescent="0.3">
      <c r="A936" s="10">
        <v>45653</v>
      </c>
      <c r="B936" t="s">
        <v>21</v>
      </c>
      <c r="C936" t="s">
        <v>41</v>
      </c>
      <c r="D936" t="s">
        <v>15</v>
      </c>
      <c r="E936" t="s">
        <v>19</v>
      </c>
      <c r="F936">
        <v>97</v>
      </c>
      <c r="G936">
        <v>500</v>
      </c>
      <c r="H936">
        <v>1417</v>
      </c>
      <c r="I936">
        <v>48500</v>
      </c>
      <c r="J936">
        <v>137449</v>
      </c>
      <c r="K936">
        <v>88949</v>
      </c>
    </row>
    <row r="937" spans="1:11" x14ac:dyDescent="0.3">
      <c r="A937" s="10">
        <v>45579</v>
      </c>
      <c r="B937" t="s">
        <v>21</v>
      </c>
      <c r="C937" t="s">
        <v>41</v>
      </c>
      <c r="D937" t="s">
        <v>18</v>
      </c>
      <c r="E937" t="s">
        <v>19</v>
      </c>
      <c r="F937">
        <v>60</v>
      </c>
      <c r="G937">
        <v>937</v>
      </c>
      <c r="H937">
        <v>948</v>
      </c>
      <c r="I937">
        <v>56220</v>
      </c>
      <c r="J937">
        <v>56880</v>
      </c>
      <c r="K937">
        <v>660</v>
      </c>
    </row>
    <row r="938" spans="1:11" x14ac:dyDescent="0.3">
      <c r="A938" s="10">
        <v>45592</v>
      </c>
      <c r="B938" t="s">
        <v>21</v>
      </c>
      <c r="C938" t="s">
        <v>22</v>
      </c>
      <c r="D938" t="s">
        <v>39</v>
      </c>
      <c r="E938" t="s">
        <v>19</v>
      </c>
      <c r="F938">
        <v>71</v>
      </c>
      <c r="G938">
        <v>777</v>
      </c>
      <c r="H938">
        <v>1034</v>
      </c>
      <c r="I938">
        <v>55167</v>
      </c>
      <c r="J938">
        <v>73414</v>
      </c>
      <c r="K938">
        <v>18247</v>
      </c>
    </row>
    <row r="939" spans="1:11" x14ac:dyDescent="0.3">
      <c r="A939" s="10">
        <v>45593</v>
      </c>
      <c r="B939" t="s">
        <v>21</v>
      </c>
      <c r="C939" t="s">
        <v>22</v>
      </c>
      <c r="D939" t="s">
        <v>26</v>
      </c>
      <c r="E939" t="s">
        <v>19</v>
      </c>
      <c r="F939">
        <v>52</v>
      </c>
      <c r="G939">
        <v>509</v>
      </c>
      <c r="H939">
        <v>764</v>
      </c>
      <c r="I939">
        <v>26468</v>
      </c>
      <c r="J939">
        <v>39728</v>
      </c>
      <c r="K939">
        <v>13260</v>
      </c>
    </row>
    <row r="940" spans="1:11" x14ac:dyDescent="0.3">
      <c r="A940" s="10">
        <v>45594</v>
      </c>
      <c r="B940" t="s">
        <v>21</v>
      </c>
      <c r="C940" t="s">
        <v>22</v>
      </c>
      <c r="D940" t="s">
        <v>43</v>
      </c>
      <c r="E940" t="s">
        <v>14</v>
      </c>
      <c r="F940">
        <v>66</v>
      </c>
      <c r="G940">
        <v>701</v>
      </c>
      <c r="H940">
        <v>1204</v>
      </c>
      <c r="I940">
        <v>46266</v>
      </c>
      <c r="J940">
        <v>79464</v>
      </c>
      <c r="K940">
        <v>33198</v>
      </c>
    </row>
    <row r="941" spans="1:11" x14ac:dyDescent="0.3">
      <c r="A941" s="10">
        <v>45595</v>
      </c>
      <c r="B941" t="s">
        <v>21</v>
      </c>
      <c r="C941" t="s">
        <v>22</v>
      </c>
      <c r="D941" t="s">
        <v>44</v>
      </c>
      <c r="E941" t="s">
        <v>19</v>
      </c>
      <c r="F941">
        <v>97</v>
      </c>
      <c r="G941">
        <v>654</v>
      </c>
      <c r="H941">
        <v>839</v>
      </c>
      <c r="I941">
        <v>63438</v>
      </c>
      <c r="J941">
        <v>81383</v>
      </c>
      <c r="K941">
        <v>17945</v>
      </c>
    </row>
    <row r="942" spans="1:11" x14ac:dyDescent="0.3">
      <c r="A942" s="10">
        <v>45603</v>
      </c>
      <c r="B942" t="s">
        <v>21</v>
      </c>
      <c r="C942" t="s">
        <v>45</v>
      </c>
      <c r="D942" t="s">
        <v>17</v>
      </c>
      <c r="E942" t="s">
        <v>14</v>
      </c>
      <c r="F942">
        <v>63</v>
      </c>
      <c r="G942">
        <v>833</v>
      </c>
      <c r="H942">
        <v>1040</v>
      </c>
      <c r="I942">
        <v>52479</v>
      </c>
      <c r="J942">
        <v>65520</v>
      </c>
      <c r="K942">
        <v>13041</v>
      </c>
    </row>
    <row r="943" spans="1:11" x14ac:dyDescent="0.3">
      <c r="A943" s="10">
        <v>45660</v>
      </c>
      <c r="B943" t="s">
        <v>11</v>
      </c>
      <c r="C943" t="s">
        <v>12</v>
      </c>
      <c r="D943" t="s">
        <v>36</v>
      </c>
      <c r="E943" t="s">
        <v>14</v>
      </c>
      <c r="F943">
        <v>12</v>
      </c>
      <c r="G943">
        <v>864</v>
      </c>
      <c r="H943">
        <v>953</v>
      </c>
      <c r="I943">
        <v>10368</v>
      </c>
      <c r="J943">
        <v>11436</v>
      </c>
      <c r="K943">
        <v>1068</v>
      </c>
    </row>
    <row r="944" spans="1:11" x14ac:dyDescent="0.3">
      <c r="A944" s="10">
        <v>45604</v>
      </c>
      <c r="B944" t="s">
        <v>21</v>
      </c>
      <c r="C944" t="s">
        <v>45</v>
      </c>
      <c r="D944" t="s">
        <v>36</v>
      </c>
      <c r="E944" t="s">
        <v>14</v>
      </c>
      <c r="F944">
        <v>74</v>
      </c>
      <c r="G944">
        <v>743</v>
      </c>
      <c r="H944">
        <v>974</v>
      </c>
      <c r="I944">
        <v>54982</v>
      </c>
      <c r="J944">
        <v>72076</v>
      </c>
      <c r="K944">
        <v>17094</v>
      </c>
    </row>
    <row r="945" spans="1:11" x14ac:dyDescent="0.3">
      <c r="A945" s="10">
        <v>45662</v>
      </c>
      <c r="B945" t="s">
        <v>11</v>
      </c>
      <c r="C945" t="s">
        <v>12</v>
      </c>
      <c r="D945" t="s">
        <v>26</v>
      </c>
      <c r="E945" t="s">
        <v>14</v>
      </c>
      <c r="F945">
        <v>13</v>
      </c>
      <c r="G945">
        <v>839</v>
      </c>
      <c r="H945">
        <v>1025</v>
      </c>
      <c r="I945">
        <v>10907</v>
      </c>
      <c r="J945">
        <v>13325</v>
      </c>
      <c r="K945">
        <v>2418</v>
      </c>
    </row>
    <row r="946" spans="1:11" x14ac:dyDescent="0.3">
      <c r="A946" s="10">
        <v>45606</v>
      </c>
      <c r="B946" t="s">
        <v>21</v>
      </c>
      <c r="C946" t="s">
        <v>45</v>
      </c>
      <c r="D946" t="s">
        <v>26</v>
      </c>
      <c r="E946" t="s">
        <v>14</v>
      </c>
      <c r="F946">
        <v>86</v>
      </c>
      <c r="G946">
        <v>593</v>
      </c>
      <c r="H946">
        <v>1425</v>
      </c>
      <c r="I946">
        <v>50998</v>
      </c>
      <c r="J946">
        <v>122550</v>
      </c>
      <c r="K946">
        <v>71552</v>
      </c>
    </row>
    <row r="947" spans="1:11" x14ac:dyDescent="0.3">
      <c r="A947" s="10">
        <v>45664</v>
      </c>
      <c r="B947" t="s">
        <v>11</v>
      </c>
      <c r="C947" t="s">
        <v>12</v>
      </c>
      <c r="D947" t="s">
        <v>16</v>
      </c>
      <c r="E947" t="s">
        <v>14</v>
      </c>
      <c r="F947">
        <v>11</v>
      </c>
      <c r="G947">
        <v>944</v>
      </c>
      <c r="H947">
        <v>949</v>
      </c>
      <c r="I947">
        <v>10384</v>
      </c>
      <c r="J947">
        <v>10439</v>
      </c>
      <c r="K947">
        <v>55</v>
      </c>
    </row>
    <row r="948" spans="1:11" x14ac:dyDescent="0.3">
      <c r="A948" s="10">
        <v>45607</v>
      </c>
      <c r="B948" t="s">
        <v>21</v>
      </c>
      <c r="C948" t="s">
        <v>45</v>
      </c>
      <c r="D948" t="s">
        <v>17</v>
      </c>
      <c r="E948" t="s">
        <v>14</v>
      </c>
      <c r="F948">
        <v>92</v>
      </c>
      <c r="G948">
        <v>609</v>
      </c>
      <c r="H948">
        <v>792</v>
      </c>
      <c r="I948">
        <v>56028</v>
      </c>
      <c r="J948">
        <v>72864</v>
      </c>
      <c r="K948">
        <v>16836</v>
      </c>
    </row>
    <row r="949" spans="1:11" x14ac:dyDescent="0.3">
      <c r="A949" s="10">
        <v>45608</v>
      </c>
      <c r="B949" t="s">
        <v>21</v>
      </c>
      <c r="C949" t="s">
        <v>45</v>
      </c>
      <c r="D949" t="s">
        <v>34</v>
      </c>
      <c r="E949" t="s">
        <v>14</v>
      </c>
      <c r="F949">
        <v>96</v>
      </c>
      <c r="G949">
        <v>674</v>
      </c>
      <c r="H949">
        <v>1178</v>
      </c>
      <c r="I949">
        <v>64704</v>
      </c>
      <c r="J949">
        <v>113088</v>
      </c>
      <c r="K949">
        <v>48384</v>
      </c>
    </row>
    <row r="950" spans="1:11" x14ac:dyDescent="0.3">
      <c r="A950" s="10">
        <v>45636</v>
      </c>
      <c r="B950" t="s">
        <v>21</v>
      </c>
      <c r="C950" t="s">
        <v>38</v>
      </c>
      <c r="D950" t="s">
        <v>13</v>
      </c>
      <c r="E950" t="s">
        <v>19</v>
      </c>
      <c r="F950">
        <v>65</v>
      </c>
      <c r="G950">
        <v>804</v>
      </c>
      <c r="H950">
        <v>876</v>
      </c>
      <c r="I950">
        <v>52260</v>
      </c>
      <c r="J950">
        <v>56940</v>
      </c>
      <c r="K950">
        <v>4680</v>
      </c>
    </row>
    <row r="951" spans="1:11" x14ac:dyDescent="0.3">
      <c r="A951" s="10">
        <v>45638</v>
      </c>
      <c r="B951" t="s">
        <v>21</v>
      </c>
      <c r="C951" t="s">
        <v>38</v>
      </c>
      <c r="D951" t="s">
        <v>16</v>
      </c>
      <c r="E951" t="s">
        <v>14</v>
      </c>
      <c r="F951">
        <v>83</v>
      </c>
      <c r="G951">
        <v>541</v>
      </c>
      <c r="H951">
        <v>1072</v>
      </c>
      <c r="I951">
        <v>44903</v>
      </c>
      <c r="J951">
        <v>88976</v>
      </c>
      <c r="K951">
        <v>44073</v>
      </c>
    </row>
    <row r="952" spans="1:11" x14ac:dyDescent="0.3">
      <c r="A952" s="10">
        <v>45639</v>
      </c>
      <c r="B952" t="s">
        <v>21</v>
      </c>
      <c r="C952" t="s">
        <v>38</v>
      </c>
      <c r="D952" t="s">
        <v>17</v>
      </c>
      <c r="E952" t="s">
        <v>14</v>
      </c>
      <c r="F952">
        <v>89</v>
      </c>
      <c r="G952">
        <v>545</v>
      </c>
      <c r="H952">
        <v>978</v>
      </c>
      <c r="I952">
        <v>48505</v>
      </c>
      <c r="J952">
        <v>87042</v>
      </c>
      <c r="K952">
        <v>38537</v>
      </c>
    </row>
    <row r="953" spans="1:11" x14ac:dyDescent="0.3">
      <c r="A953" s="10">
        <v>45640</v>
      </c>
      <c r="B953" t="s">
        <v>21</v>
      </c>
      <c r="C953" t="s">
        <v>38</v>
      </c>
      <c r="D953" t="s">
        <v>23</v>
      </c>
      <c r="E953" t="s">
        <v>14</v>
      </c>
      <c r="F953">
        <v>80</v>
      </c>
      <c r="G953">
        <v>671</v>
      </c>
      <c r="H953">
        <v>1251</v>
      </c>
      <c r="I953">
        <v>53680</v>
      </c>
      <c r="J953">
        <v>100080</v>
      </c>
      <c r="K953">
        <v>46400</v>
      </c>
    </row>
    <row r="954" spans="1:11" x14ac:dyDescent="0.3">
      <c r="A954" s="10">
        <v>45671</v>
      </c>
      <c r="B954" t="s">
        <v>21</v>
      </c>
      <c r="C954" t="s">
        <v>41</v>
      </c>
      <c r="D954" t="s">
        <v>32</v>
      </c>
      <c r="E954" t="s">
        <v>19</v>
      </c>
      <c r="F954">
        <v>82</v>
      </c>
      <c r="G954">
        <v>822</v>
      </c>
      <c r="H954">
        <v>1445</v>
      </c>
      <c r="I954">
        <v>67404</v>
      </c>
      <c r="J954">
        <v>118490</v>
      </c>
      <c r="K954">
        <v>51086</v>
      </c>
    </row>
    <row r="955" spans="1:11" x14ac:dyDescent="0.3">
      <c r="A955" s="10">
        <v>45641</v>
      </c>
      <c r="B955" t="s">
        <v>21</v>
      </c>
      <c r="C955" t="s">
        <v>38</v>
      </c>
      <c r="D955" t="s">
        <v>25</v>
      </c>
      <c r="E955" t="s">
        <v>14</v>
      </c>
      <c r="F955">
        <v>68</v>
      </c>
      <c r="G955">
        <v>815</v>
      </c>
      <c r="H955">
        <v>808</v>
      </c>
      <c r="I955">
        <v>55420</v>
      </c>
      <c r="J955">
        <v>54944</v>
      </c>
      <c r="K955">
        <v>-476</v>
      </c>
    </row>
    <row r="956" spans="1:11" x14ac:dyDescent="0.3">
      <c r="A956" s="10">
        <v>45643</v>
      </c>
      <c r="B956" t="s">
        <v>21</v>
      </c>
      <c r="C956" t="s">
        <v>38</v>
      </c>
      <c r="D956" t="s">
        <v>34</v>
      </c>
      <c r="E956" t="s">
        <v>14</v>
      </c>
      <c r="F956">
        <v>88</v>
      </c>
      <c r="G956">
        <v>674</v>
      </c>
      <c r="H956">
        <v>891</v>
      </c>
      <c r="I956">
        <v>59312</v>
      </c>
      <c r="J956">
        <v>78408</v>
      </c>
      <c r="K956">
        <v>19096</v>
      </c>
    </row>
    <row r="957" spans="1:11" x14ac:dyDescent="0.3">
      <c r="A957" s="10">
        <v>45644</v>
      </c>
      <c r="B957" t="s">
        <v>21</v>
      </c>
      <c r="C957" t="s">
        <v>38</v>
      </c>
      <c r="D957" t="s">
        <v>34</v>
      </c>
      <c r="E957" t="s">
        <v>14</v>
      </c>
      <c r="F957">
        <v>64</v>
      </c>
      <c r="G957">
        <v>665</v>
      </c>
      <c r="H957">
        <v>783</v>
      </c>
      <c r="I957">
        <v>42560</v>
      </c>
      <c r="J957">
        <v>50112</v>
      </c>
      <c r="K957">
        <v>7552</v>
      </c>
    </row>
    <row r="958" spans="1:11" x14ac:dyDescent="0.3">
      <c r="A958" s="10">
        <v>45645</v>
      </c>
      <c r="B958" t="s">
        <v>21</v>
      </c>
      <c r="C958" t="s">
        <v>38</v>
      </c>
      <c r="D958" t="s">
        <v>32</v>
      </c>
      <c r="E958" t="s">
        <v>14</v>
      </c>
      <c r="F958">
        <v>81</v>
      </c>
      <c r="G958">
        <v>801</v>
      </c>
      <c r="H958">
        <v>846</v>
      </c>
      <c r="I958">
        <v>64881</v>
      </c>
      <c r="J958">
        <v>68526</v>
      </c>
      <c r="K958">
        <v>3645</v>
      </c>
    </row>
    <row r="959" spans="1:11" x14ac:dyDescent="0.3">
      <c r="A959" s="10">
        <v>45647</v>
      </c>
      <c r="B959" t="s">
        <v>21</v>
      </c>
      <c r="C959" t="s">
        <v>38</v>
      </c>
      <c r="D959" t="s">
        <v>20</v>
      </c>
      <c r="E959" t="s">
        <v>14</v>
      </c>
      <c r="F959">
        <v>74</v>
      </c>
      <c r="G959">
        <v>734</v>
      </c>
      <c r="H959">
        <v>886</v>
      </c>
      <c r="I959">
        <v>54316</v>
      </c>
      <c r="J959">
        <v>65564</v>
      </c>
      <c r="K959">
        <v>11248</v>
      </c>
    </row>
    <row r="960" spans="1:11" x14ac:dyDescent="0.3">
      <c r="A960" s="10">
        <v>45677</v>
      </c>
      <c r="B960" t="s">
        <v>11</v>
      </c>
      <c r="C960" t="s">
        <v>24</v>
      </c>
      <c r="D960" t="s">
        <v>44</v>
      </c>
      <c r="E960" t="s">
        <v>14</v>
      </c>
      <c r="F960">
        <v>10</v>
      </c>
      <c r="G960">
        <v>519</v>
      </c>
      <c r="H960">
        <v>1420</v>
      </c>
      <c r="I960">
        <v>5190</v>
      </c>
      <c r="J960">
        <v>14200</v>
      </c>
      <c r="K960">
        <v>9010</v>
      </c>
    </row>
    <row r="961" spans="1:11" x14ac:dyDescent="0.3">
      <c r="A961" s="10">
        <v>45649</v>
      </c>
      <c r="B961" t="s">
        <v>21</v>
      </c>
      <c r="C961" t="s">
        <v>41</v>
      </c>
      <c r="D961" t="s">
        <v>26</v>
      </c>
      <c r="E961" t="s">
        <v>14</v>
      </c>
      <c r="F961">
        <v>94</v>
      </c>
      <c r="G961">
        <v>564</v>
      </c>
      <c r="H961">
        <v>941</v>
      </c>
      <c r="I961">
        <v>53016</v>
      </c>
      <c r="J961">
        <v>88454</v>
      </c>
      <c r="K961">
        <v>35438</v>
      </c>
    </row>
    <row r="962" spans="1:11" x14ac:dyDescent="0.3">
      <c r="A962" s="10">
        <v>45650</v>
      </c>
      <c r="B962" t="s">
        <v>21</v>
      </c>
      <c r="C962" t="s">
        <v>41</v>
      </c>
      <c r="D962" t="s">
        <v>43</v>
      </c>
      <c r="E962" t="s">
        <v>14</v>
      </c>
      <c r="F962">
        <v>50</v>
      </c>
      <c r="G962">
        <v>545</v>
      </c>
      <c r="H962">
        <v>1050</v>
      </c>
      <c r="I962">
        <v>27250</v>
      </c>
      <c r="J962">
        <v>52500</v>
      </c>
      <c r="K962">
        <v>25250</v>
      </c>
    </row>
    <row r="963" spans="1:11" x14ac:dyDescent="0.3">
      <c r="A963" s="10">
        <v>45651</v>
      </c>
      <c r="B963" t="s">
        <v>21</v>
      </c>
      <c r="C963" t="s">
        <v>41</v>
      </c>
      <c r="D963" t="s">
        <v>44</v>
      </c>
      <c r="E963" t="s">
        <v>14</v>
      </c>
      <c r="F963">
        <v>60</v>
      </c>
      <c r="G963">
        <v>783</v>
      </c>
      <c r="H963">
        <v>1422</v>
      </c>
      <c r="I963">
        <v>46980</v>
      </c>
      <c r="J963">
        <v>85320</v>
      </c>
      <c r="K963">
        <v>38340</v>
      </c>
    </row>
    <row r="964" spans="1:11" x14ac:dyDescent="0.3">
      <c r="A964" s="10">
        <v>45652</v>
      </c>
      <c r="B964" t="s">
        <v>21</v>
      </c>
      <c r="C964" t="s">
        <v>41</v>
      </c>
      <c r="D964" t="s">
        <v>13</v>
      </c>
      <c r="E964" t="s">
        <v>14</v>
      </c>
      <c r="F964">
        <v>63</v>
      </c>
      <c r="G964">
        <v>746</v>
      </c>
      <c r="H964">
        <v>1075</v>
      </c>
      <c r="I964">
        <v>46998</v>
      </c>
      <c r="J964">
        <v>67725</v>
      </c>
      <c r="K964">
        <v>20727</v>
      </c>
    </row>
    <row r="965" spans="1:11" x14ac:dyDescent="0.3">
      <c r="A965" s="10">
        <v>45654</v>
      </c>
      <c r="B965" t="s">
        <v>21</v>
      </c>
      <c r="C965" t="s">
        <v>41</v>
      </c>
      <c r="D965" t="s">
        <v>16</v>
      </c>
      <c r="E965" t="s">
        <v>19</v>
      </c>
      <c r="F965">
        <v>86</v>
      </c>
      <c r="G965">
        <v>834</v>
      </c>
      <c r="H965">
        <v>1372</v>
      </c>
      <c r="I965">
        <v>71724</v>
      </c>
      <c r="J965">
        <v>117992</v>
      </c>
      <c r="K965">
        <v>46268</v>
      </c>
    </row>
    <row r="966" spans="1:11" x14ac:dyDescent="0.3">
      <c r="A966" s="10">
        <v>45683</v>
      </c>
      <c r="B966" t="s">
        <v>11</v>
      </c>
      <c r="C966" t="s">
        <v>24</v>
      </c>
      <c r="D966" t="s">
        <v>18</v>
      </c>
      <c r="E966" t="s">
        <v>14</v>
      </c>
      <c r="F966">
        <v>17</v>
      </c>
      <c r="G966">
        <v>922</v>
      </c>
      <c r="H966">
        <v>899</v>
      </c>
      <c r="I966">
        <v>15674</v>
      </c>
      <c r="J966">
        <v>15283</v>
      </c>
      <c r="K966">
        <v>-391</v>
      </c>
    </row>
    <row r="967" spans="1:11" x14ac:dyDescent="0.3">
      <c r="A967" s="10">
        <v>45655</v>
      </c>
      <c r="B967" t="s">
        <v>21</v>
      </c>
      <c r="C967" t="s">
        <v>41</v>
      </c>
      <c r="D967" t="s">
        <v>17</v>
      </c>
      <c r="E967" t="s">
        <v>19</v>
      </c>
      <c r="F967">
        <v>51</v>
      </c>
      <c r="G967">
        <v>944</v>
      </c>
      <c r="H967">
        <v>1062</v>
      </c>
      <c r="I967">
        <v>48144</v>
      </c>
      <c r="J967">
        <v>54162</v>
      </c>
      <c r="K967">
        <v>6018</v>
      </c>
    </row>
    <row r="968" spans="1:11" x14ac:dyDescent="0.3">
      <c r="A968" s="10">
        <v>45656</v>
      </c>
      <c r="B968" t="s">
        <v>21</v>
      </c>
      <c r="C968" t="s">
        <v>41</v>
      </c>
      <c r="D968" t="s">
        <v>17</v>
      </c>
      <c r="E968" t="s">
        <v>19</v>
      </c>
      <c r="F968">
        <v>75</v>
      </c>
      <c r="G968">
        <v>547</v>
      </c>
      <c r="H968">
        <v>1203</v>
      </c>
      <c r="I968">
        <v>41025</v>
      </c>
      <c r="J968">
        <v>90225</v>
      </c>
      <c r="K968">
        <v>49200</v>
      </c>
    </row>
    <row r="969" spans="1:11" x14ac:dyDescent="0.3">
      <c r="A969" s="10">
        <v>45657</v>
      </c>
      <c r="B969" t="s">
        <v>21</v>
      </c>
      <c r="C969" t="s">
        <v>41</v>
      </c>
      <c r="D969" t="s">
        <v>18</v>
      </c>
      <c r="E969" t="s">
        <v>19</v>
      </c>
      <c r="F969">
        <v>64</v>
      </c>
      <c r="G969">
        <v>918</v>
      </c>
      <c r="H969">
        <v>907</v>
      </c>
      <c r="I969">
        <v>58752</v>
      </c>
      <c r="J969">
        <v>58048</v>
      </c>
      <c r="K969">
        <v>-704</v>
      </c>
    </row>
    <row r="970" spans="1:11" x14ac:dyDescent="0.3">
      <c r="A970" s="10">
        <v>45687</v>
      </c>
      <c r="B970" t="s">
        <v>11</v>
      </c>
      <c r="C970" t="s">
        <v>24</v>
      </c>
      <c r="D970" t="s">
        <v>20</v>
      </c>
      <c r="E970" t="s">
        <v>19</v>
      </c>
      <c r="F970">
        <v>12</v>
      </c>
      <c r="G970">
        <v>519</v>
      </c>
      <c r="H970">
        <v>1212</v>
      </c>
      <c r="I970">
        <v>6228</v>
      </c>
      <c r="J970">
        <v>14544</v>
      </c>
      <c r="K970">
        <v>8316</v>
      </c>
    </row>
    <row r="971" spans="1:11" x14ac:dyDescent="0.3">
      <c r="A971" s="10">
        <v>45658</v>
      </c>
      <c r="B971" t="s">
        <v>21</v>
      </c>
      <c r="C971" t="s">
        <v>41</v>
      </c>
      <c r="D971" t="s">
        <v>20</v>
      </c>
      <c r="E971" t="s">
        <v>14</v>
      </c>
      <c r="F971">
        <v>74</v>
      </c>
      <c r="G971">
        <v>965</v>
      </c>
      <c r="H971">
        <v>906</v>
      </c>
      <c r="I971">
        <v>71410</v>
      </c>
      <c r="J971">
        <v>67044</v>
      </c>
      <c r="K971">
        <v>-4366</v>
      </c>
    </row>
    <row r="972" spans="1:11" x14ac:dyDescent="0.3">
      <c r="A972" s="10">
        <v>45666</v>
      </c>
      <c r="B972" t="s">
        <v>21</v>
      </c>
      <c r="C972" t="s">
        <v>38</v>
      </c>
      <c r="D972" t="s">
        <v>23</v>
      </c>
      <c r="E972" t="s">
        <v>19</v>
      </c>
      <c r="F972">
        <v>100</v>
      </c>
      <c r="G972">
        <v>667</v>
      </c>
      <c r="H972">
        <v>1109</v>
      </c>
      <c r="I972">
        <v>66700</v>
      </c>
      <c r="J972">
        <v>110900</v>
      </c>
      <c r="K972">
        <v>44200</v>
      </c>
    </row>
    <row r="973" spans="1:11" x14ac:dyDescent="0.3">
      <c r="A973" s="10">
        <v>45667</v>
      </c>
      <c r="B973" t="s">
        <v>21</v>
      </c>
      <c r="C973" t="s">
        <v>38</v>
      </c>
      <c r="D973" t="s">
        <v>25</v>
      </c>
      <c r="E973" t="s">
        <v>19</v>
      </c>
      <c r="F973">
        <v>60</v>
      </c>
      <c r="G973">
        <v>509</v>
      </c>
      <c r="H973">
        <v>954</v>
      </c>
      <c r="I973">
        <v>30540</v>
      </c>
      <c r="J973">
        <v>57240</v>
      </c>
      <c r="K973">
        <v>26700</v>
      </c>
    </row>
    <row r="974" spans="1:11" x14ac:dyDescent="0.3">
      <c r="A974" s="10">
        <v>45668</v>
      </c>
      <c r="B974" t="s">
        <v>21</v>
      </c>
      <c r="C974" t="s">
        <v>38</v>
      </c>
      <c r="D974" t="s">
        <v>25</v>
      </c>
      <c r="E974" t="s">
        <v>19</v>
      </c>
      <c r="F974">
        <v>93</v>
      </c>
      <c r="G974">
        <v>814</v>
      </c>
      <c r="H974">
        <v>832</v>
      </c>
      <c r="I974">
        <v>75702</v>
      </c>
      <c r="J974">
        <v>77376</v>
      </c>
      <c r="K974">
        <v>1674</v>
      </c>
    </row>
    <row r="975" spans="1:11" x14ac:dyDescent="0.3">
      <c r="A975" s="10">
        <v>45669</v>
      </c>
      <c r="B975" t="s">
        <v>21</v>
      </c>
      <c r="C975" t="s">
        <v>38</v>
      </c>
      <c r="D975" t="s">
        <v>34</v>
      </c>
      <c r="E975" t="s">
        <v>14</v>
      </c>
      <c r="F975">
        <v>86</v>
      </c>
      <c r="G975">
        <v>567</v>
      </c>
      <c r="H975">
        <v>1491</v>
      </c>
      <c r="I975">
        <v>48762</v>
      </c>
      <c r="J975">
        <v>128226</v>
      </c>
      <c r="K975">
        <v>79464</v>
      </c>
    </row>
    <row r="976" spans="1:11" x14ac:dyDescent="0.3">
      <c r="A976" s="10">
        <v>45670</v>
      </c>
      <c r="B976" t="s">
        <v>21</v>
      </c>
      <c r="C976" t="s">
        <v>38</v>
      </c>
      <c r="D976" t="s">
        <v>34</v>
      </c>
      <c r="E976" t="s">
        <v>19</v>
      </c>
      <c r="F976">
        <v>54</v>
      </c>
      <c r="G976">
        <v>674</v>
      </c>
      <c r="H976">
        <v>787</v>
      </c>
      <c r="I976">
        <v>36396</v>
      </c>
      <c r="J976">
        <v>42498</v>
      </c>
      <c r="K976">
        <v>6102</v>
      </c>
    </row>
    <row r="977" spans="1:11" x14ac:dyDescent="0.3">
      <c r="A977" s="10">
        <v>45672</v>
      </c>
      <c r="B977" t="s">
        <v>21</v>
      </c>
      <c r="C977" t="s">
        <v>41</v>
      </c>
      <c r="D977" t="s">
        <v>25</v>
      </c>
      <c r="E977" t="s">
        <v>19</v>
      </c>
      <c r="F977">
        <v>98</v>
      </c>
      <c r="G977">
        <v>950</v>
      </c>
      <c r="H977">
        <v>1426</v>
      </c>
      <c r="I977">
        <v>93100</v>
      </c>
      <c r="J977">
        <v>139748</v>
      </c>
      <c r="K977">
        <v>46648</v>
      </c>
    </row>
    <row r="978" spans="1:11" x14ac:dyDescent="0.3">
      <c r="A978" s="10">
        <v>45673</v>
      </c>
      <c r="B978" t="s">
        <v>21</v>
      </c>
      <c r="C978" t="s">
        <v>41</v>
      </c>
      <c r="D978" t="s">
        <v>20</v>
      </c>
      <c r="E978" t="s">
        <v>19</v>
      </c>
      <c r="F978">
        <v>82</v>
      </c>
      <c r="G978">
        <v>916</v>
      </c>
      <c r="H978">
        <v>1461</v>
      </c>
      <c r="I978">
        <v>75112</v>
      </c>
      <c r="J978">
        <v>119802</v>
      </c>
      <c r="K978">
        <v>44690</v>
      </c>
    </row>
    <row r="979" spans="1:11" x14ac:dyDescent="0.3">
      <c r="A979" s="10">
        <v>45674</v>
      </c>
      <c r="B979" t="s">
        <v>21</v>
      </c>
      <c r="C979" t="s">
        <v>41</v>
      </c>
      <c r="D979" t="s">
        <v>39</v>
      </c>
      <c r="E979" t="s">
        <v>14</v>
      </c>
      <c r="F979">
        <v>66</v>
      </c>
      <c r="G979">
        <v>710</v>
      </c>
      <c r="H979">
        <v>1034</v>
      </c>
      <c r="I979">
        <v>46860</v>
      </c>
      <c r="J979">
        <v>68244</v>
      </c>
      <c r="K979">
        <v>21384</v>
      </c>
    </row>
    <row r="980" spans="1:11" x14ac:dyDescent="0.3">
      <c r="A980" s="10">
        <v>45675</v>
      </c>
      <c r="B980" t="s">
        <v>21</v>
      </c>
      <c r="C980" t="s">
        <v>41</v>
      </c>
      <c r="D980" t="s">
        <v>26</v>
      </c>
      <c r="E980" t="s">
        <v>14</v>
      </c>
      <c r="F980">
        <v>77</v>
      </c>
      <c r="G980">
        <v>922</v>
      </c>
      <c r="H980">
        <v>1400</v>
      </c>
      <c r="I980">
        <v>70994</v>
      </c>
      <c r="J980">
        <v>107800</v>
      </c>
      <c r="K980">
        <v>36806</v>
      </c>
    </row>
    <row r="981" spans="1:11" x14ac:dyDescent="0.3">
      <c r="A981" s="10">
        <v>45698</v>
      </c>
      <c r="B981" t="s">
        <v>27</v>
      </c>
      <c r="C981" t="s">
        <v>40</v>
      </c>
      <c r="D981" t="s">
        <v>20</v>
      </c>
      <c r="E981" t="s">
        <v>14</v>
      </c>
      <c r="F981">
        <v>22</v>
      </c>
      <c r="G981">
        <v>745</v>
      </c>
      <c r="H981">
        <v>1153</v>
      </c>
      <c r="I981">
        <v>16390</v>
      </c>
      <c r="J981">
        <v>25366</v>
      </c>
      <c r="K981">
        <v>8976</v>
      </c>
    </row>
    <row r="982" spans="1:11" x14ac:dyDescent="0.3">
      <c r="A982" s="10">
        <v>45676</v>
      </c>
      <c r="B982" t="s">
        <v>21</v>
      </c>
      <c r="C982" t="s">
        <v>41</v>
      </c>
      <c r="D982" t="s">
        <v>43</v>
      </c>
      <c r="E982" t="s">
        <v>14</v>
      </c>
      <c r="F982">
        <v>93</v>
      </c>
      <c r="G982">
        <v>887</v>
      </c>
      <c r="H982">
        <v>993</v>
      </c>
      <c r="I982">
        <v>82491</v>
      </c>
      <c r="J982">
        <v>92349</v>
      </c>
      <c r="K982">
        <v>9858</v>
      </c>
    </row>
    <row r="983" spans="1:11" x14ac:dyDescent="0.3">
      <c r="A983" s="10">
        <v>45700</v>
      </c>
      <c r="B983" t="s">
        <v>21</v>
      </c>
      <c r="C983" t="s">
        <v>38</v>
      </c>
      <c r="D983" t="s">
        <v>25</v>
      </c>
      <c r="E983" t="s">
        <v>14</v>
      </c>
      <c r="F983">
        <v>78</v>
      </c>
      <c r="G983">
        <v>709</v>
      </c>
      <c r="H983">
        <v>1494</v>
      </c>
      <c r="I983">
        <v>55302</v>
      </c>
      <c r="J983">
        <v>116532</v>
      </c>
      <c r="K983">
        <v>61230</v>
      </c>
    </row>
    <row r="984" spans="1:11" x14ac:dyDescent="0.3">
      <c r="A984" s="10">
        <v>45701</v>
      </c>
      <c r="B984" t="s">
        <v>21</v>
      </c>
      <c r="C984" t="s">
        <v>38</v>
      </c>
      <c r="D984" t="s">
        <v>25</v>
      </c>
      <c r="E984" t="s">
        <v>14</v>
      </c>
      <c r="F984">
        <v>87</v>
      </c>
      <c r="G984">
        <v>714</v>
      </c>
      <c r="H984">
        <v>926</v>
      </c>
      <c r="I984">
        <v>62118</v>
      </c>
      <c r="J984">
        <v>80562</v>
      </c>
      <c r="K984">
        <v>18444</v>
      </c>
    </row>
    <row r="985" spans="1:11" x14ac:dyDescent="0.3">
      <c r="A985" s="10">
        <v>45702</v>
      </c>
      <c r="B985" t="s">
        <v>21</v>
      </c>
      <c r="C985" t="s">
        <v>38</v>
      </c>
      <c r="D985" t="s">
        <v>34</v>
      </c>
      <c r="E985" t="s">
        <v>14</v>
      </c>
      <c r="F985">
        <v>90</v>
      </c>
      <c r="G985">
        <v>983</v>
      </c>
      <c r="H985">
        <v>924</v>
      </c>
      <c r="I985">
        <v>88470</v>
      </c>
      <c r="J985">
        <v>83160</v>
      </c>
      <c r="K985">
        <v>-5310</v>
      </c>
    </row>
    <row r="986" spans="1:11" x14ac:dyDescent="0.3">
      <c r="A986" s="10">
        <v>45703</v>
      </c>
      <c r="B986" t="s">
        <v>21</v>
      </c>
      <c r="C986" t="s">
        <v>38</v>
      </c>
      <c r="D986" t="s">
        <v>34</v>
      </c>
      <c r="E986" t="s">
        <v>14</v>
      </c>
      <c r="F986">
        <v>78</v>
      </c>
      <c r="G986">
        <v>789</v>
      </c>
      <c r="H986">
        <v>1064</v>
      </c>
      <c r="I986">
        <v>61542</v>
      </c>
      <c r="J986">
        <v>82992</v>
      </c>
      <c r="K986">
        <v>21450</v>
      </c>
    </row>
    <row r="987" spans="1:11" x14ac:dyDescent="0.3">
      <c r="A987" s="10">
        <v>45704</v>
      </c>
      <c r="B987" t="s">
        <v>21</v>
      </c>
      <c r="C987" t="s">
        <v>38</v>
      </c>
      <c r="D987" t="s">
        <v>32</v>
      </c>
      <c r="E987" t="s">
        <v>19</v>
      </c>
      <c r="F987">
        <v>74</v>
      </c>
      <c r="G987">
        <v>835</v>
      </c>
      <c r="H987">
        <v>1096</v>
      </c>
      <c r="I987">
        <v>61790</v>
      </c>
      <c r="J987">
        <v>81104</v>
      </c>
      <c r="K987">
        <v>19314</v>
      </c>
    </row>
    <row r="988" spans="1:11" x14ac:dyDescent="0.3">
      <c r="A988" s="10">
        <v>45705</v>
      </c>
      <c r="B988" t="s">
        <v>21</v>
      </c>
      <c r="C988" t="s">
        <v>38</v>
      </c>
      <c r="D988" t="s">
        <v>25</v>
      </c>
      <c r="E988" t="s">
        <v>19</v>
      </c>
      <c r="F988">
        <v>94</v>
      </c>
      <c r="G988">
        <v>952</v>
      </c>
      <c r="H988">
        <v>1425</v>
      </c>
      <c r="I988">
        <v>89488</v>
      </c>
      <c r="J988">
        <v>133950</v>
      </c>
      <c r="K988">
        <v>44462</v>
      </c>
    </row>
    <row r="989" spans="1:11" x14ac:dyDescent="0.3">
      <c r="A989" s="10">
        <v>45706</v>
      </c>
      <c r="B989" t="s">
        <v>21</v>
      </c>
      <c r="C989" t="s">
        <v>38</v>
      </c>
      <c r="D989" t="s">
        <v>20</v>
      </c>
      <c r="E989" t="s">
        <v>19</v>
      </c>
      <c r="F989">
        <v>55</v>
      </c>
      <c r="G989">
        <v>558</v>
      </c>
      <c r="H989">
        <v>1203</v>
      </c>
      <c r="I989">
        <v>30690</v>
      </c>
      <c r="J989">
        <v>66165</v>
      </c>
      <c r="K989">
        <v>35475</v>
      </c>
    </row>
    <row r="990" spans="1:11" x14ac:dyDescent="0.3">
      <c r="A990" s="10">
        <v>45707</v>
      </c>
      <c r="B990" t="s">
        <v>21</v>
      </c>
      <c r="C990" t="s">
        <v>38</v>
      </c>
      <c r="D990" t="s">
        <v>39</v>
      </c>
      <c r="E990" t="s">
        <v>19</v>
      </c>
      <c r="F990">
        <v>56</v>
      </c>
      <c r="G990">
        <v>562</v>
      </c>
      <c r="H990">
        <v>1341</v>
      </c>
      <c r="I990">
        <v>31472</v>
      </c>
      <c r="J990">
        <v>75096</v>
      </c>
      <c r="K990">
        <v>43624</v>
      </c>
    </row>
    <row r="991" spans="1:11" x14ac:dyDescent="0.3">
      <c r="A991" s="10">
        <v>45708</v>
      </c>
      <c r="B991" t="s">
        <v>21</v>
      </c>
      <c r="C991" t="s">
        <v>38</v>
      </c>
      <c r="D991" t="s">
        <v>26</v>
      </c>
      <c r="E991" t="s">
        <v>14</v>
      </c>
      <c r="F991">
        <v>94</v>
      </c>
      <c r="G991">
        <v>513</v>
      </c>
      <c r="H991">
        <v>1318</v>
      </c>
      <c r="I991">
        <v>48222</v>
      </c>
      <c r="J991">
        <v>123892</v>
      </c>
      <c r="K991">
        <v>75670</v>
      </c>
    </row>
    <row r="992" spans="1:11" x14ac:dyDescent="0.3">
      <c r="A992" s="10">
        <v>45709</v>
      </c>
      <c r="B992" t="s">
        <v>21</v>
      </c>
      <c r="C992" t="s">
        <v>38</v>
      </c>
      <c r="D992" t="s">
        <v>43</v>
      </c>
      <c r="E992" t="s">
        <v>19</v>
      </c>
      <c r="F992">
        <v>76</v>
      </c>
      <c r="G992">
        <v>526</v>
      </c>
      <c r="H992">
        <v>1260</v>
      </c>
      <c r="I992">
        <v>39976</v>
      </c>
      <c r="J992">
        <v>95760</v>
      </c>
      <c r="K992">
        <v>55784</v>
      </c>
    </row>
    <row r="993" spans="1:11" x14ac:dyDescent="0.3">
      <c r="A993" s="10">
        <v>45710</v>
      </c>
      <c r="B993" t="s">
        <v>21</v>
      </c>
      <c r="C993" t="s">
        <v>38</v>
      </c>
      <c r="D993" t="s">
        <v>44</v>
      </c>
      <c r="E993" t="s">
        <v>19</v>
      </c>
      <c r="F993">
        <v>61</v>
      </c>
      <c r="G993">
        <v>545</v>
      </c>
      <c r="H993">
        <v>915</v>
      </c>
      <c r="I993">
        <v>33245</v>
      </c>
      <c r="J993">
        <v>55815</v>
      </c>
      <c r="K993">
        <v>22570</v>
      </c>
    </row>
    <row r="994" spans="1:11" x14ac:dyDescent="0.3">
      <c r="A994" s="10">
        <v>45711</v>
      </c>
      <c r="B994" t="s">
        <v>21</v>
      </c>
      <c r="C994" t="s">
        <v>38</v>
      </c>
      <c r="D994" t="s">
        <v>13</v>
      </c>
      <c r="E994" t="s">
        <v>19</v>
      </c>
      <c r="F994">
        <v>99</v>
      </c>
      <c r="G994">
        <v>943</v>
      </c>
      <c r="H994">
        <v>823</v>
      </c>
      <c r="I994">
        <v>93357</v>
      </c>
      <c r="J994">
        <v>81477</v>
      </c>
      <c r="K994">
        <v>-11880</v>
      </c>
    </row>
    <row r="995" spans="1:11" x14ac:dyDescent="0.3">
      <c r="A995" s="10">
        <v>45712</v>
      </c>
      <c r="B995" t="s">
        <v>21</v>
      </c>
      <c r="C995" t="s">
        <v>41</v>
      </c>
      <c r="D995" t="s">
        <v>15</v>
      </c>
      <c r="E995" t="s">
        <v>19</v>
      </c>
      <c r="F995">
        <v>84</v>
      </c>
      <c r="G995">
        <v>738</v>
      </c>
      <c r="H995">
        <v>1080</v>
      </c>
      <c r="I995">
        <v>61992</v>
      </c>
      <c r="J995">
        <v>90720</v>
      </c>
      <c r="K995">
        <v>28728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3352B-1F67-4731-8085-DEBCFCE78200}">
  <sheetPr>
    <tabColor rgb="FFFF0000"/>
    <pageSetUpPr fitToPage="1"/>
  </sheetPr>
  <dimension ref="A1:N994"/>
  <sheetViews>
    <sheetView zoomScale="78" zoomScaleNormal="100" workbookViewId="0">
      <selection activeCell="E24" sqref="E24"/>
    </sheetView>
  </sheetViews>
  <sheetFormatPr defaultRowHeight="14.4" x14ac:dyDescent="0.3"/>
  <cols>
    <col min="1" max="1" width="18.109375" customWidth="1"/>
    <col min="2" max="2" width="13.77734375" customWidth="1"/>
    <col min="3" max="3" width="20.33203125" customWidth="1"/>
    <col min="4" max="4" width="16.109375" bestFit="1" customWidth="1"/>
    <col min="5" max="5" width="11.88671875" customWidth="1"/>
    <col min="6" max="6" width="13.6640625" customWidth="1"/>
    <col min="7" max="7" width="12.109375" customWidth="1"/>
    <col min="8" max="8" width="9.5546875" customWidth="1"/>
    <col min="9" max="9" width="20.109375" customWidth="1"/>
    <col min="10" max="10" width="14.44140625" customWidth="1"/>
    <col min="11" max="11" width="11" bestFit="1" customWidth="1"/>
  </cols>
  <sheetData>
    <row r="1" spans="1:11" ht="28.05" customHeight="1" thickBot="1" x14ac:dyDescent="0.35">
      <c r="A1" s="1" t="s">
        <v>0</v>
      </c>
      <c r="B1" s="2" t="s">
        <v>1</v>
      </c>
      <c r="C1" s="2" t="s">
        <v>2</v>
      </c>
      <c r="D1" s="2" t="s">
        <v>3</v>
      </c>
      <c r="E1" s="2" t="s">
        <v>4</v>
      </c>
      <c r="F1" s="2" t="s">
        <v>5</v>
      </c>
      <c r="G1" s="2" t="s">
        <v>6</v>
      </c>
      <c r="H1" s="2" t="s">
        <v>7</v>
      </c>
      <c r="I1" s="3" t="s">
        <v>8</v>
      </c>
      <c r="J1" s="3" t="s">
        <v>9</v>
      </c>
      <c r="K1" s="3" t="s">
        <v>10</v>
      </c>
    </row>
    <row r="2" spans="1:11" ht="15.6" thickTop="1" thickBot="1" x14ac:dyDescent="0.35">
      <c r="A2" s="4">
        <v>45454</v>
      </c>
      <c r="B2" s="5" t="s">
        <v>11</v>
      </c>
      <c r="C2" s="5" t="s">
        <v>12</v>
      </c>
      <c r="D2" s="5" t="s">
        <v>13</v>
      </c>
      <c r="E2" s="5" t="s">
        <v>14</v>
      </c>
      <c r="F2" s="5">
        <v>17</v>
      </c>
      <c r="G2" s="5">
        <v>938</v>
      </c>
      <c r="H2" s="5">
        <v>938</v>
      </c>
      <c r="I2" s="6">
        <f t="shared" ref="I2:I65" si="0">F2*G2</f>
        <v>15946</v>
      </c>
      <c r="J2" s="6">
        <f t="shared" ref="J2:J65" si="1">F2*H2</f>
        <v>15946</v>
      </c>
      <c r="K2" s="6">
        <f t="shared" ref="K2:K65" si="2">J2-I2</f>
        <v>0</v>
      </c>
    </row>
    <row r="3" spans="1:11" ht="15.6" thickTop="1" thickBot="1" x14ac:dyDescent="0.35">
      <c r="A3" s="4">
        <v>45455</v>
      </c>
      <c r="B3" s="5" t="s">
        <v>11</v>
      </c>
      <c r="C3" s="5" t="s">
        <v>12</v>
      </c>
      <c r="D3" s="5" t="s">
        <v>15</v>
      </c>
      <c r="E3" s="5" t="s">
        <v>14</v>
      </c>
      <c r="F3" s="5">
        <v>18</v>
      </c>
      <c r="G3" s="5">
        <v>920</v>
      </c>
      <c r="H3" s="5">
        <v>1360</v>
      </c>
      <c r="I3" s="6">
        <f t="shared" si="0"/>
        <v>16560</v>
      </c>
      <c r="J3" s="6">
        <f t="shared" si="1"/>
        <v>24480</v>
      </c>
      <c r="K3" s="6">
        <f t="shared" si="2"/>
        <v>7920</v>
      </c>
    </row>
    <row r="4" spans="1:11" ht="15.6" thickTop="1" thickBot="1" x14ac:dyDescent="0.35">
      <c r="A4" s="4">
        <v>45456</v>
      </c>
      <c r="B4" s="5" t="s">
        <v>11</v>
      </c>
      <c r="C4" s="5" t="s">
        <v>12</v>
      </c>
      <c r="D4" s="5" t="s">
        <v>16</v>
      </c>
      <c r="E4" s="5" t="s">
        <v>14</v>
      </c>
      <c r="F4" s="5">
        <v>20</v>
      </c>
      <c r="G4" s="5">
        <v>731</v>
      </c>
      <c r="H4" s="5">
        <v>1186</v>
      </c>
      <c r="I4" s="6">
        <f t="shared" si="0"/>
        <v>14620</v>
      </c>
      <c r="J4" s="6">
        <f t="shared" si="1"/>
        <v>23720</v>
      </c>
      <c r="K4" s="6">
        <f t="shared" si="2"/>
        <v>9100</v>
      </c>
    </row>
    <row r="5" spans="1:11" ht="15.6" thickTop="1" thickBot="1" x14ac:dyDescent="0.35">
      <c r="A5" s="4">
        <v>45457</v>
      </c>
      <c r="B5" s="5" t="s">
        <v>11</v>
      </c>
      <c r="C5" s="5" t="s">
        <v>12</v>
      </c>
      <c r="D5" s="5" t="s">
        <v>17</v>
      </c>
      <c r="E5" s="5" t="s">
        <v>14</v>
      </c>
      <c r="F5" s="5">
        <v>17</v>
      </c>
      <c r="G5" s="5">
        <v>750</v>
      </c>
      <c r="H5" s="5">
        <v>793</v>
      </c>
      <c r="I5" s="6">
        <f t="shared" si="0"/>
        <v>12750</v>
      </c>
      <c r="J5" s="6">
        <f t="shared" si="1"/>
        <v>13481</v>
      </c>
      <c r="K5" s="6">
        <f t="shared" si="2"/>
        <v>731</v>
      </c>
    </row>
    <row r="6" spans="1:11" ht="15.6" thickTop="1" thickBot="1" x14ac:dyDescent="0.35">
      <c r="A6" s="4">
        <v>45459</v>
      </c>
      <c r="B6" s="5" t="s">
        <v>11</v>
      </c>
      <c r="C6" s="5" t="s">
        <v>12</v>
      </c>
      <c r="D6" s="5" t="s">
        <v>18</v>
      </c>
      <c r="E6" s="5" t="s">
        <v>19</v>
      </c>
      <c r="F6" s="5">
        <v>14</v>
      </c>
      <c r="G6" s="5">
        <v>906</v>
      </c>
      <c r="H6" s="5">
        <v>1327</v>
      </c>
      <c r="I6" s="6">
        <f t="shared" si="0"/>
        <v>12684</v>
      </c>
      <c r="J6" s="6">
        <f t="shared" si="1"/>
        <v>18578</v>
      </c>
      <c r="K6" s="6">
        <f t="shared" si="2"/>
        <v>5894</v>
      </c>
    </row>
    <row r="7" spans="1:11" ht="15.6" thickTop="1" thickBot="1" x14ac:dyDescent="0.35">
      <c r="A7" s="4">
        <v>45460</v>
      </c>
      <c r="B7" s="5" t="s">
        <v>11</v>
      </c>
      <c r="C7" s="5" t="s">
        <v>12</v>
      </c>
      <c r="D7" s="5" t="s">
        <v>20</v>
      </c>
      <c r="E7" s="5" t="s">
        <v>19</v>
      </c>
      <c r="F7" s="5">
        <v>20</v>
      </c>
      <c r="G7" s="5">
        <v>699</v>
      </c>
      <c r="H7" s="5">
        <v>1400</v>
      </c>
      <c r="I7" s="6">
        <f t="shared" si="0"/>
        <v>13980</v>
      </c>
      <c r="J7" s="6">
        <f t="shared" si="1"/>
        <v>28000</v>
      </c>
      <c r="K7" s="6">
        <f t="shared" si="2"/>
        <v>14020</v>
      </c>
    </row>
    <row r="8" spans="1:11" ht="15.6" thickTop="1" thickBot="1" x14ac:dyDescent="0.35">
      <c r="A8" s="4">
        <v>45389</v>
      </c>
      <c r="B8" s="5" t="s">
        <v>21</v>
      </c>
      <c r="C8" s="5" t="s">
        <v>22</v>
      </c>
      <c r="D8" s="5" t="s">
        <v>23</v>
      </c>
      <c r="E8" s="5" t="s">
        <v>19</v>
      </c>
      <c r="F8" s="5">
        <v>55</v>
      </c>
      <c r="G8" s="5">
        <v>637</v>
      </c>
      <c r="H8" s="5">
        <v>1143</v>
      </c>
      <c r="I8" s="6">
        <f t="shared" si="0"/>
        <v>35035</v>
      </c>
      <c r="J8" s="6">
        <f t="shared" si="1"/>
        <v>62865</v>
      </c>
      <c r="K8" s="6">
        <f t="shared" si="2"/>
        <v>27830</v>
      </c>
    </row>
    <row r="9" spans="1:11" ht="15.6" thickTop="1" thickBot="1" x14ac:dyDescent="0.35">
      <c r="A9" s="4">
        <v>45472</v>
      </c>
      <c r="B9" s="5" t="s">
        <v>11</v>
      </c>
      <c r="C9" s="5" t="s">
        <v>24</v>
      </c>
      <c r="D9" s="5" t="s">
        <v>23</v>
      </c>
      <c r="E9" s="5" t="s">
        <v>14</v>
      </c>
      <c r="F9" s="5">
        <v>17</v>
      </c>
      <c r="G9" s="5">
        <v>537</v>
      </c>
      <c r="H9" s="5">
        <v>1350</v>
      </c>
      <c r="I9" s="6">
        <f t="shared" si="0"/>
        <v>9129</v>
      </c>
      <c r="J9" s="6">
        <f t="shared" si="1"/>
        <v>22950</v>
      </c>
      <c r="K9" s="6">
        <f t="shared" si="2"/>
        <v>13821</v>
      </c>
    </row>
    <row r="10" spans="1:11" ht="15.6" thickTop="1" thickBot="1" x14ac:dyDescent="0.35">
      <c r="A10" s="4">
        <v>45473</v>
      </c>
      <c r="B10" s="5" t="s">
        <v>11</v>
      </c>
      <c r="C10" s="5" t="s">
        <v>24</v>
      </c>
      <c r="D10" s="5" t="s">
        <v>25</v>
      </c>
      <c r="E10" s="5" t="s">
        <v>14</v>
      </c>
      <c r="F10" s="5">
        <v>20</v>
      </c>
      <c r="G10" s="5">
        <v>875</v>
      </c>
      <c r="H10" s="5">
        <v>911</v>
      </c>
      <c r="I10" s="6">
        <f t="shared" si="0"/>
        <v>17500</v>
      </c>
      <c r="J10" s="6">
        <f t="shared" si="1"/>
        <v>18220</v>
      </c>
      <c r="K10" s="6">
        <f t="shared" si="2"/>
        <v>720</v>
      </c>
    </row>
    <row r="11" spans="1:11" ht="15.6" thickTop="1" thickBot="1" x14ac:dyDescent="0.35">
      <c r="A11" s="4">
        <v>45474</v>
      </c>
      <c r="B11" s="5" t="s">
        <v>11</v>
      </c>
      <c r="C11" s="5" t="s">
        <v>24</v>
      </c>
      <c r="D11" s="5" t="s">
        <v>25</v>
      </c>
      <c r="E11" s="5" t="s">
        <v>14</v>
      </c>
      <c r="F11" s="5">
        <v>13</v>
      </c>
      <c r="G11" s="5">
        <v>917</v>
      </c>
      <c r="H11" s="5">
        <v>1315</v>
      </c>
      <c r="I11" s="6">
        <f t="shared" si="0"/>
        <v>11921</v>
      </c>
      <c r="J11" s="6">
        <f t="shared" si="1"/>
        <v>17095</v>
      </c>
      <c r="K11" s="6">
        <f t="shared" si="2"/>
        <v>5174</v>
      </c>
    </row>
    <row r="12" spans="1:11" ht="15.6" thickTop="1" thickBot="1" x14ac:dyDescent="0.35">
      <c r="A12" s="4">
        <v>45476</v>
      </c>
      <c r="B12" s="5" t="s">
        <v>11</v>
      </c>
      <c r="C12" s="5" t="s">
        <v>24</v>
      </c>
      <c r="D12" s="5" t="s">
        <v>18</v>
      </c>
      <c r="E12" s="5" t="s">
        <v>14</v>
      </c>
      <c r="F12" s="5">
        <v>12</v>
      </c>
      <c r="G12" s="5">
        <v>980</v>
      </c>
      <c r="H12" s="5">
        <v>1462</v>
      </c>
      <c r="I12" s="6">
        <f t="shared" si="0"/>
        <v>11760</v>
      </c>
      <c r="J12" s="6">
        <f t="shared" si="1"/>
        <v>17544</v>
      </c>
      <c r="K12" s="6">
        <f t="shared" si="2"/>
        <v>5784</v>
      </c>
    </row>
    <row r="13" spans="1:11" ht="15.6" thickTop="1" thickBot="1" x14ac:dyDescent="0.35">
      <c r="A13" s="4">
        <v>45477</v>
      </c>
      <c r="B13" s="5" t="s">
        <v>11</v>
      </c>
      <c r="C13" s="5" t="s">
        <v>24</v>
      </c>
      <c r="D13" s="5" t="s">
        <v>26</v>
      </c>
      <c r="E13" s="5" t="s">
        <v>14</v>
      </c>
      <c r="F13" s="5">
        <v>12</v>
      </c>
      <c r="G13" s="5">
        <v>734</v>
      </c>
      <c r="H13" s="5">
        <v>1181</v>
      </c>
      <c r="I13" s="6">
        <f t="shared" si="0"/>
        <v>8808</v>
      </c>
      <c r="J13" s="6">
        <f t="shared" si="1"/>
        <v>14172</v>
      </c>
      <c r="K13" s="6">
        <f t="shared" si="2"/>
        <v>5364</v>
      </c>
    </row>
    <row r="14" spans="1:11" ht="15.6" thickTop="1" thickBot="1" x14ac:dyDescent="0.35">
      <c r="A14" s="4">
        <v>45395</v>
      </c>
      <c r="B14" s="5" t="s">
        <v>27</v>
      </c>
      <c r="C14" s="5" t="s">
        <v>28</v>
      </c>
      <c r="D14" s="5" t="s">
        <v>26</v>
      </c>
      <c r="E14" s="5" t="s">
        <v>14</v>
      </c>
      <c r="F14" s="5">
        <v>29</v>
      </c>
      <c r="G14" s="5">
        <v>951</v>
      </c>
      <c r="H14" s="5">
        <v>1268</v>
      </c>
      <c r="I14" s="6">
        <f t="shared" si="0"/>
        <v>27579</v>
      </c>
      <c r="J14" s="6">
        <f t="shared" si="1"/>
        <v>36772</v>
      </c>
      <c r="K14" s="6">
        <f t="shared" si="2"/>
        <v>9193</v>
      </c>
    </row>
    <row r="15" spans="1:11" ht="15.6" thickTop="1" thickBot="1" x14ac:dyDescent="0.35">
      <c r="A15" s="4">
        <v>45478</v>
      </c>
      <c r="B15" s="5" t="s">
        <v>11</v>
      </c>
      <c r="C15" s="5" t="s">
        <v>24</v>
      </c>
      <c r="D15" s="5" t="s">
        <v>29</v>
      </c>
      <c r="E15" s="5" t="s">
        <v>14</v>
      </c>
      <c r="F15" s="5">
        <v>12</v>
      </c>
      <c r="G15" s="5">
        <v>913</v>
      </c>
      <c r="H15" s="5">
        <v>1170</v>
      </c>
      <c r="I15" s="6">
        <f t="shared" si="0"/>
        <v>10956</v>
      </c>
      <c r="J15" s="6">
        <f t="shared" si="1"/>
        <v>14040</v>
      </c>
      <c r="K15" s="6">
        <f t="shared" si="2"/>
        <v>3084</v>
      </c>
    </row>
    <row r="16" spans="1:11" ht="15.6" thickTop="1" thickBot="1" x14ac:dyDescent="0.35">
      <c r="A16" s="4">
        <v>45479</v>
      </c>
      <c r="B16" s="5" t="s">
        <v>11</v>
      </c>
      <c r="C16" s="5" t="s">
        <v>24</v>
      </c>
      <c r="D16" s="5" t="s">
        <v>18</v>
      </c>
      <c r="E16" s="5" t="s">
        <v>19</v>
      </c>
      <c r="F16" s="5">
        <v>20</v>
      </c>
      <c r="G16" s="5">
        <v>833</v>
      </c>
      <c r="H16" s="5">
        <v>877</v>
      </c>
      <c r="I16" s="6">
        <f t="shared" si="0"/>
        <v>16660</v>
      </c>
      <c r="J16" s="6">
        <f t="shared" si="1"/>
        <v>17540</v>
      </c>
      <c r="K16" s="6">
        <f t="shared" si="2"/>
        <v>880</v>
      </c>
    </row>
    <row r="17" spans="1:11" ht="15.6" thickTop="1" thickBot="1" x14ac:dyDescent="0.35">
      <c r="A17" s="4">
        <v>45480</v>
      </c>
      <c r="B17" s="5" t="s">
        <v>11</v>
      </c>
      <c r="C17" s="5" t="s">
        <v>24</v>
      </c>
      <c r="D17" s="5" t="s">
        <v>30</v>
      </c>
      <c r="E17" s="5" t="s">
        <v>19</v>
      </c>
      <c r="F17" s="5">
        <v>17</v>
      </c>
      <c r="G17" s="5">
        <v>748</v>
      </c>
      <c r="H17" s="5">
        <v>1138</v>
      </c>
      <c r="I17" s="6">
        <f t="shared" si="0"/>
        <v>12716</v>
      </c>
      <c r="J17" s="6">
        <f t="shared" si="1"/>
        <v>19346</v>
      </c>
      <c r="K17" s="6">
        <f t="shared" si="2"/>
        <v>6630</v>
      </c>
    </row>
    <row r="18" spans="1:11" ht="15.6" thickTop="1" thickBot="1" x14ac:dyDescent="0.35">
      <c r="A18" s="4">
        <v>45481</v>
      </c>
      <c r="B18" s="5" t="s">
        <v>11</v>
      </c>
      <c r="C18" s="5" t="s">
        <v>24</v>
      </c>
      <c r="D18" s="5" t="s">
        <v>31</v>
      </c>
      <c r="E18" s="5" t="s">
        <v>19</v>
      </c>
      <c r="F18" s="5">
        <v>20</v>
      </c>
      <c r="G18" s="5">
        <v>517</v>
      </c>
      <c r="H18" s="5">
        <v>1405</v>
      </c>
      <c r="I18" s="6">
        <f t="shared" si="0"/>
        <v>10340</v>
      </c>
      <c r="J18" s="6">
        <f t="shared" si="1"/>
        <v>28100</v>
      </c>
      <c r="K18" s="6">
        <f t="shared" si="2"/>
        <v>17760</v>
      </c>
    </row>
    <row r="19" spans="1:11" ht="15.6" thickTop="1" thickBot="1" x14ac:dyDescent="0.35">
      <c r="A19" s="4">
        <v>45482</v>
      </c>
      <c r="B19" s="5" t="s">
        <v>11</v>
      </c>
      <c r="C19" s="5" t="s">
        <v>24</v>
      </c>
      <c r="D19" s="5" t="s">
        <v>23</v>
      </c>
      <c r="E19" s="5" t="s">
        <v>19</v>
      </c>
      <c r="F19" s="5">
        <v>18</v>
      </c>
      <c r="G19" s="5">
        <v>674</v>
      </c>
      <c r="H19" s="5">
        <v>775</v>
      </c>
      <c r="I19" s="6">
        <f t="shared" si="0"/>
        <v>12132</v>
      </c>
      <c r="J19" s="6">
        <f t="shared" si="1"/>
        <v>13950</v>
      </c>
      <c r="K19" s="6">
        <f t="shared" si="2"/>
        <v>1818</v>
      </c>
    </row>
    <row r="20" spans="1:11" ht="15.6" thickTop="1" thickBot="1" x14ac:dyDescent="0.35">
      <c r="A20" s="4">
        <v>45483</v>
      </c>
      <c r="B20" s="5" t="s">
        <v>11</v>
      </c>
      <c r="C20" s="5" t="s">
        <v>24</v>
      </c>
      <c r="D20" s="5" t="s">
        <v>25</v>
      </c>
      <c r="E20" s="5" t="s">
        <v>14</v>
      </c>
      <c r="F20" s="5">
        <v>17</v>
      </c>
      <c r="G20" s="5">
        <v>641</v>
      </c>
      <c r="H20" s="5">
        <v>765</v>
      </c>
      <c r="I20" s="6">
        <f t="shared" si="0"/>
        <v>10897</v>
      </c>
      <c r="J20" s="6">
        <f t="shared" si="1"/>
        <v>13005</v>
      </c>
      <c r="K20" s="6">
        <f t="shared" si="2"/>
        <v>2108</v>
      </c>
    </row>
    <row r="21" spans="1:11" ht="15.6" thickTop="1" thickBot="1" x14ac:dyDescent="0.35">
      <c r="A21" s="4">
        <v>45510</v>
      </c>
      <c r="B21" s="5" t="s">
        <v>11</v>
      </c>
      <c r="C21" s="5" t="s">
        <v>24</v>
      </c>
      <c r="D21" s="5" t="s">
        <v>26</v>
      </c>
      <c r="E21" s="5" t="s">
        <v>14</v>
      </c>
      <c r="F21" s="5">
        <v>10</v>
      </c>
      <c r="G21" s="5">
        <v>754</v>
      </c>
      <c r="H21" s="5">
        <v>982</v>
      </c>
      <c r="I21" s="6">
        <f t="shared" si="0"/>
        <v>7540</v>
      </c>
      <c r="J21" s="6">
        <f t="shared" si="1"/>
        <v>9820</v>
      </c>
      <c r="K21" s="6">
        <f t="shared" si="2"/>
        <v>2280</v>
      </c>
    </row>
    <row r="22" spans="1:11" ht="15.6" thickTop="1" thickBot="1" x14ac:dyDescent="0.35">
      <c r="A22" s="4">
        <v>45511</v>
      </c>
      <c r="B22" s="5" t="s">
        <v>11</v>
      </c>
      <c r="C22" s="5" t="s">
        <v>24</v>
      </c>
      <c r="D22" s="5" t="s">
        <v>32</v>
      </c>
      <c r="E22" s="5" t="s">
        <v>14</v>
      </c>
      <c r="F22" s="5">
        <v>14</v>
      </c>
      <c r="G22" s="5">
        <v>815</v>
      </c>
      <c r="H22" s="5">
        <v>1341</v>
      </c>
      <c r="I22" s="6">
        <f t="shared" si="0"/>
        <v>11410</v>
      </c>
      <c r="J22" s="6">
        <f t="shared" si="1"/>
        <v>18774</v>
      </c>
      <c r="K22" s="6">
        <f t="shared" si="2"/>
        <v>7364</v>
      </c>
    </row>
    <row r="23" spans="1:11" ht="15.6" thickTop="1" thickBot="1" x14ac:dyDescent="0.35">
      <c r="A23" s="4">
        <v>45513</v>
      </c>
      <c r="B23" s="5" t="s">
        <v>11</v>
      </c>
      <c r="C23" s="5" t="s">
        <v>24</v>
      </c>
      <c r="D23" s="5" t="s">
        <v>25</v>
      </c>
      <c r="E23" s="5" t="s">
        <v>14</v>
      </c>
      <c r="F23" s="5">
        <v>18</v>
      </c>
      <c r="G23" s="5">
        <v>704</v>
      </c>
      <c r="H23" s="5">
        <v>930</v>
      </c>
      <c r="I23" s="6">
        <f t="shared" si="0"/>
        <v>12672</v>
      </c>
      <c r="J23" s="6">
        <f t="shared" si="1"/>
        <v>16740</v>
      </c>
      <c r="K23" s="6">
        <f t="shared" si="2"/>
        <v>4068</v>
      </c>
    </row>
    <row r="24" spans="1:11" ht="15.6" thickTop="1" thickBot="1" x14ac:dyDescent="0.35">
      <c r="A24" s="4">
        <v>45405</v>
      </c>
      <c r="B24" s="5" t="s">
        <v>27</v>
      </c>
      <c r="C24" s="5" t="s">
        <v>33</v>
      </c>
      <c r="D24" s="5" t="s">
        <v>34</v>
      </c>
      <c r="E24" s="5" t="s">
        <v>19</v>
      </c>
      <c r="F24" s="5">
        <v>25</v>
      </c>
      <c r="G24" s="5">
        <v>958</v>
      </c>
      <c r="H24" s="5">
        <v>942</v>
      </c>
      <c r="I24" s="6">
        <f t="shared" si="0"/>
        <v>23950</v>
      </c>
      <c r="J24" s="6">
        <f t="shared" si="1"/>
        <v>23550</v>
      </c>
      <c r="K24" s="6">
        <f t="shared" si="2"/>
        <v>-400</v>
      </c>
    </row>
    <row r="25" spans="1:11" ht="15.6" thickTop="1" thickBot="1" x14ac:dyDescent="0.35">
      <c r="A25" s="4">
        <v>45514</v>
      </c>
      <c r="B25" s="5" t="s">
        <v>11</v>
      </c>
      <c r="C25" s="5" t="s">
        <v>24</v>
      </c>
      <c r="D25" s="5" t="s">
        <v>25</v>
      </c>
      <c r="E25" s="5" t="s">
        <v>14</v>
      </c>
      <c r="F25" s="5">
        <v>19</v>
      </c>
      <c r="G25" s="5">
        <v>744</v>
      </c>
      <c r="H25" s="5">
        <v>1433</v>
      </c>
      <c r="I25" s="6">
        <f t="shared" si="0"/>
        <v>14136</v>
      </c>
      <c r="J25" s="6">
        <f t="shared" si="1"/>
        <v>27227</v>
      </c>
      <c r="K25" s="6">
        <f t="shared" si="2"/>
        <v>13091</v>
      </c>
    </row>
    <row r="26" spans="1:11" ht="15.6" thickTop="1" thickBot="1" x14ac:dyDescent="0.35">
      <c r="A26" s="4">
        <v>45407</v>
      </c>
      <c r="B26" s="5" t="s">
        <v>27</v>
      </c>
      <c r="C26" s="5" t="s">
        <v>33</v>
      </c>
      <c r="D26" s="5" t="s">
        <v>32</v>
      </c>
      <c r="E26" s="5" t="s">
        <v>14</v>
      </c>
      <c r="F26" s="5">
        <v>26</v>
      </c>
      <c r="G26" s="5">
        <v>520</v>
      </c>
      <c r="H26" s="5">
        <v>1486</v>
      </c>
      <c r="I26" s="6">
        <f t="shared" si="0"/>
        <v>13520</v>
      </c>
      <c r="J26" s="6">
        <f t="shared" si="1"/>
        <v>38636</v>
      </c>
      <c r="K26" s="6">
        <f t="shared" si="2"/>
        <v>25116</v>
      </c>
    </row>
    <row r="27" spans="1:11" ht="15.6" thickTop="1" thickBot="1" x14ac:dyDescent="0.35">
      <c r="A27" s="4">
        <v>45515</v>
      </c>
      <c r="B27" s="5" t="s">
        <v>11</v>
      </c>
      <c r="C27" s="5" t="s">
        <v>24</v>
      </c>
      <c r="D27" s="5" t="s">
        <v>26</v>
      </c>
      <c r="E27" s="5" t="s">
        <v>19</v>
      </c>
      <c r="F27" s="5">
        <v>10</v>
      </c>
      <c r="G27" s="5">
        <v>669</v>
      </c>
      <c r="H27" s="5">
        <v>1344</v>
      </c>
      <c r="I27" s="6">
        <f t="shared" si="0"/>
        <v>6690</v>
      </c>
      <c r="J27" s="6">
        <f t="shared" si="1"/>
        <v>13440</v>
      </c>
      <c r="K27" s="6">
        <f t="shared" si="2"/>
        <v>6750</v>
      </c>
    </row>
    <row r="28" spans="1:11" ht="15.6" thickTop="1" thickBot="1" x14ac:dyDescent="0.35">
      <c r="A28" s="4">
        <v>45516</v>
      </c>
      <c r="B28" s="5" t="s">
        <v>11</v>
      </c>
      <c r="C28" s="5" t="s">
        <v>24</v>
      </c>
      <c r="D28" s="5" t="s">
        <v>18</v>
      </c>
      <c r="E28" s="5" t="s">
        <v>19</v>
      </c>
      <c r="F28" s="5">
        <v>20</v>
      </c>
      <c r="G28" s="5">
        <v>966</v>
      </c>
      <c r="H28" s="5">
        <v>924</v>
      </c>
      <c r="I28" s="6">
        <f t="shared" si="0"/>
        <v>19320</v>
      </c>
      <c r="J28" s="6">
        <f t="shared" si="1"/>
        <v>18480</v>
      </c>
      <c r="K28" s="6">
        <f t="shared" si="2"/>
        <v>-840</v>
      </c>
    </row>
    <row r="29" spans="1:11" ht="15.6" thickTop="1" thickBot="1" x14ac:dyDescent="0.35">
      <c r="A29" s="4">
        <v>45543</v>
      </c>
      <c r="B29" s="5" t="s">
        <v>11</v>
      </c>
      <c r="C29" s="5" t="s">
        <v>24</v>
      </c>
      <c r="D29" s="5" t="s">
        <v>35</v>
      </c>
      <c r="E29" s="5" t="s">
        <v>19</v>
      </c>
      <c r="F29" s="5">
        <v>18</v>
      </c>
      <c r="G29" s="5">
        <v>859</v>
      </c>
      <c r="H29" s="5">
        <v>1044</v>
      </c>
      <c r="I29" s="6">
        <f t="shared" si="0"/>
        <v>15462</v>
      </c>
      <c r="J29" s="6">
        <f t="shared" si="1"/>
        <v>18792</v>
      </c>
      <c r="K29" s="6">
        <f t="shared" si="2"/>
        <v>3330</v>
      </c>
    </row>
    <row r="30" spans="1:11" ht="15.6" thickTop="1" thickBot="1" x14ac:dyDescent="0.35">
      <c r="A30" s="4">
        <v>45544</v>
      </c>
      <c r="B30" s="5" t="s">
        <v>11</v>
      </c>
      <c r="C30" s="5" t="s">
        <v>24</v>
      </c>
      <c r="D30" s="5" t="s">
        <v>26</v>
      </c>
      <c r="E30" s="5" t="s">
        <v>19</v>
      </c>
      <c r="F30" s="5">
        <v>15</v>
      </c>
      <c r="G30" s="5">
        <v>890</v>
      </c>
      <c r="H30" s="5">
        <v>1362</v>
      </c>
      <c r="I30" s="6">
        <f t="shared" si="0"/>
        <v>13350</v>
      </c>
      <c r="J30" s="6">
        <f t="shared" si="1"/>
        <v>20430</v>
      </c>
      <c r="K30" s="6">
        <f t="shared" si="2"/>
        <v>7080</v>
      </c>
    </row>
    <row r="31" spans="1:11" ht="15.6" thickTop="1" thickBot="1" x14ac:dyDescent="0.35">
      <c r="A31" s="4">
        <v>45545</v>
      </c>
      <c r="B31" s="5" t="s">
        <v>11</v>
      </c>
      <c r="C31" s="5" t="s">
        <v>24</v>
      </c>
      <c r="D31" s="5" t="s">
        <v>17</v>
      </c>
      <c r="E31" s="5" t="s">
        <v>19</v>
      </c>
      <c r="F31" s="5">
        <v>19</v>
      </c>
      <c r="G31" s="5">
        <v>630</v>
      </c>
      <c r="H31" s="5">
        <v>882</v>
      </c>
      <c r="I31" s="6">
        <f t="shared" si="0"/>
        <v>11970</v>
      </c>
      <c r="J31" s="6">
        <f t="shared" si="1"/>
        <v>16758</v>
      </c>
      <c r="K31" s="6">
        <f t="shared" si="2"/>
        <v>4788</v>
      </c>
    </row>
    <row r="32" spans="1:11" ht="15.6" thickTop="1" thickBot="1" x14ac:dyDescent="0.35">
      <c r="A32" s="4">
        <v>45546</v>
      </c>
      <c r="B32" s="5" t="s">
        <v>11</v>
      </c>
      <c r="C32" s="5" t="s">
        <v>24</v>
      </c>
      <c r="D32" s="5" t="s">
        <v>34</v>
      </c>
      <c r="E32" s="5" t="s">
        <v>19</v>
      </c>
      <c r="F32" s="5">
        <v>10</v>
      </c>
      <c r="G32" s="5">
        <v>701</v>
      </c>
      <c r="H32" s="5">
        <v>1384</v>
      </c>
      <c r="I32" s="6">
        <f t="shared" si="0"/>
        <v>7010</v>
      </c>
      <c r="J32" s="6">
        <f t="shared" si="1"/>
        <v>13840</v>
      </c>
      <c r="K32" s="6">
        <f t="shared" si="2"/>
        <v>6830</v>
      </c>
    </row>
    <row r="33" spans="1:11" ht="15.6" thickTop="1" thickBot="1" x14ac:dyDescent="0.35">
      <c r="A33" s="4">
        <v>45547</v>
      </c>
      <c r="B33" s="5" t="s">
        <v>11</v>
      </c>
      <c r="C33" s="5" t="s">
        <v>24</v>
      </c>
      <c r="D33" s="5" t="s">
        <v>36</v>
      </c>
      <c r="E33" s="5" t="s">
        <v>14</v>
      </c>
      <c r="F33" s="5">
        <v>19</v>
      </c>
      <c r="G33" s="5">
        <v>653</v>
      </c>
      <c r="H33" s="5">
        <v>1402</v>
      </c>
      <c r="I33" s="6">
        <f t="shared" si="0"/>
        <v>12407</v>
      </c>
      <c r="J33" s="6">
        <f t="shared" si="1"/>
        <v>26638</v>
      </c>
      <c r="K33" s="6">
        <f t="shared" si="2"/>
        <v>14231</v>
      </c>
    </row>
    <row r="34" spans="1:11" ht="15.6" thickTop="1" thickBot="1" x14ac:dyDescent="0.35">
      <c r="A34" s="4">
        <v>45548</v>
      </c>
      <c r="B34" s="5" t="s">
        <v>11</v>
      </c>
      <c r="C34" s="5" t="s">
        <v>24</v>
      </c>
      <c r="D34" s="5" t="s">
        <v>37</v>
      </c>
      <c r="E34" s="5" t="s">
        <v>14</v>
      </c>
      <c r="F34" s="5">
        <v>14</v>
      </c>
      <c r="G34" s="5">
        <v>968</v>
      </c>
      <c r="H34" s="5">
        <v>1419</v>
      </c>
      <c r="I34" s="6">
        <f t="shared" si="0"/>
        <v>13552</v>
      </c>
      <c r="J34" s="6">
        <f t="shared" si="1"/>
        <v>19866</v>
      </c>
      <c r="K34" s="6">
        <f t="shared" si="2"/>
        <v>6314</v>
      </c>
    </row>
    <row r="35" spans="1:11" ht="15.6" thickTop="1" thickBot="1" x14ac:dyDescent="0.35">
      <c r="A35" s="4">
        <v>45550</v>
      </c>
      <c r="B35" s="5" t="s">
        <v>11</v>
      </c>
      <c r="C35" s="5" t="s">
        <v>24</v>
      </c>
      <c r="D35" s="5" t="s">
        <v>26</v>
      </c>
      <c r="E35" s="5" t="s">
        <v>14</v>
      </c>
      <c r="F35" s="5">
        <v>20</v>
      </c>
      <c r="G35" s="5">
        <v>508</v>
      </c>
      <c r="H35" s="5">
        <v>1433</v>
      </c>
      <c r="I35" s="6">
        <f t="shared" si="0"/>
        <v>10160</v>
      </c>
      <c r="J35" s="6">
        <f t="shared" si="1"/>
        <v>28660</v>
      </c>
      <c r="K35" s="6">
        <f t="shared" si="2"/>
        <v>18500</v>
      </c>
    </row>
    <row r="36" spans="1:11" ht="15.6" thickTop="1" thickBot="1" x14ac:dyDescent="0.35">
      <c r="A36" s="4">
        <v>45551</v>
      </c>
      <c r="B36" s="5" t="s">
        <v>11</v>
      </c>
      <c r="C36" s="5" t="s">
        <v>24</v>
      </c>
      <c r="D36" s="5" t="s">
        <v>32</v>
      </c>
      <c r="E36" s="5" t="s">
        <v>14</v>
      </c>
      <c r="F36" s="5">
        <v>12</v>
      </c>
      <c r="G36" s="5">
        <v>539</v>
      </c>
      <c r="H36" s="5">
        <v>1136</v>
      </c>
      <c r="I36" s="6">
        <f t="shared" si="0"/>
        <v>6468</v>
      </c>
      <c r="J36" s="6">
        <f t="shared" si="1"/>
        <v>13632</v>
      </c>
      <c r="K36" s="6">
        <f t="shared" si="2"/>
        <v>7164</v>
      </c>
    </row>
    <row r="37" spans="1:11" ht="15.6" thickTop="1" thickBot="1" x14ac:dyDescent="0.35">
      <c r="A37" s="4">
        <v>45552</v>
      </c>
      <c r="B37" s="5" t="s">
        <v>11</v>
      </c>
      <c r="C37" s="5" t="s">
        <v>24</v>
      </c>
      <c r="D37" s="5" t="s">
        <v>23</v>
      </c>
      <c r="E37" s="5" t="s">
        <v>14</v>
      </c>
      <c r="F37" s="5">
        <v>10</v>
      </c>
      <c r="G37" s="5">
        <v>731</v>
      </c>
      <c r="H37" s="5">
        <v>1226</v>
      </c>
      <c r="I37" s="6">
        <f t="shared" si="0"/>
        <v>7310</v>
      </c>
      <c r="J37" s="6">
        <f t="shared" si="1"/>
        <v>12260</v>
      </c>
      <c r="K37" s="6">
        <f t="shared" si="2"/>
        <v>4950</v>
      </c>
    </row>
    <row r="38" spans="1:11" ht="15.6" thickTop="1" thickBot="1" x14ac:dyDescent="0.35">
      <c r="A38" s="4">
        <v>45553</v>
      </c>
      <c r="B38" s="5" t="s">
        <v>11</v>
      </c>
      <c r="C38" s="5" t="s">
        <v>24</v>
      </c>
      <c r="D38" s="5" t="s">
        <v>25</v>
      </c>
      <c r="E38" s="5" t="s">
        <v>14</v>
      </c>
      <c r="F38" s="5">
        <v>15</v>
      </c>
      <c r="G38" s="5">
        <v>621</v>
      </c>
      <c r="H38" s="5">
        <v>1488</v>
      </c>
      <c r="I38" s="6">
        <f t="shared" si="0"/>
        <v>9315</v>
      </c>
      <c r="J38" s="6">
        <f t="shared" si="1"/>
        <v>22320</v>
      </c>
      <c r="K38" s="6">
        <f t="shared" si="2"/>
        <v>13005</v>
      </c>
    </row>
    <row r="39" spans="1:11" ht="15.6" thickTop="1" thickBot="1" x14ac:dyDescent="0.35">
      <c r="A39" s="4">
        <v>45562</v>
      </c>
      <c r="B39" s="5" t="s">
        <v>11</v>
      </c>
      <c r="C39" s="5" t="s">
        <v>12</v>
      </c>
      <c r="D39" s="5" t="s">
        <v>23</v>
      </c>
      <c r="E39" s="5" t="s">
        <v>19</v>
      </c>
      <c r="F39" s="5">
        <v>16</v>
      </c>
      <c r="G39" s="5">
        <v>963</v>
      </c>
      <c r="H39" s="5">
        <v>1186</v>
      </c>
      <c r="I39" s="6">
        <f t="shared" si="0"/>
        <v>15408</v>
      </c>
      <c r="J39" s="6">
        <f t="shared" si="1"/>
        <v>18976</v>
      </c>
      <c r="K39" s="6">
        <f t="shared" si="2"/>
        <v>3568</v>
      </c>
    </row>
    <row r="40" spans="1:11" ht="15.6" thickTop="1" thickBot="1" x14ac:dyDescent="0.35">
      <c r="A40" s="4">
        <v>45564</v>
      </c>
      <c r="B40" s="5" t="s">
        <v>11</v>
      </c>
      <c r="C40" s="5" t="s">
        <v>12</v>
      </c>
      <c r="D40" s="5" t="s">
        <v>25</v>
      </c>
      <c r="E40" s="5" t="s">
        <v>14</v>
      </c>
      <c r="F40" s="5">
        <v>13</v>
      </c>
      <c r="G40" s="5">
        <v>762</v>
      </c>
      <c r="H40" s="5">
        <v>1311</v>
      </c>
      <c r="I40" s="6">
        <f t="shared" si="0"/>
        <v>9906</v>
      </c>
      <c r="J40" s="6">
        <f t="shared" si="1"/>
        <v>17043</v>
      </c>
      <c r="K40" s="6">
        <f t="shared" si="2"/>
        <v>7137</v>
      </c>
    </row>
    <row r="41" spans="1:11" ht="15.6" thickTop="1" thickBot="1" x14ac:dyDescent="0.35">
      <c r="A41" s="4">
        <v>45566</v>
      </c>
      <c r="B41" s="5" t="s">
        <v>11</v>
      </c>
      <c r="C41" s="5" t="s">
        <v>12</v>
      </c>
      <c r="D41" s="5" t="s">
        <v>34</v>
      </c>
      <c r="E41" s="5" t="s">
        <v>14</v>
      </c>
      <c r="F41" s="5">
        <v>14</v>
      </c>
      <c r="G41" s="5">
        <v>909</v>
      </c>
      <c r="H41" s="5">
        <v>780</v>
      </c>
      <c r="I41" s="6">
        <f t="shared" si="0"/>
        <v>12726</v>
      </c>
      <c r="J41" s="6">
        <f t="shared" si="1"/>
        <v>10920</v>
      </c>
      <c r="K41" s="6">
        <f t="shared" si="2"/>
        <v>-1806</v>
      </c>
    </row>
    <row r="42" spans="1:11" ht="15.6" thickTop="1" thickBot="1" x14ac:dyDescent="0.35">
      <c r="A42" s="4">
        <v>45567</v>
      </c>
      <c r="B42" s="5" t="s">
        <v>11</v>
      </c>
      <c r="C42" s="5" t="s">
        <v>12</v>
      </c>
      <c r="D42" s="5" t="s">
        <v>32</v>
      </c>
      <c r="E42" s="5" t="s">
        <v>14</v>
      </c>
      <c r="F42" s="5">
        <v>11</v>
      </c>
      <c r="G42" s="5">
        <v>858</v>
      </c>
      <c r="H42" s="5">
        <v>1080</v>
      </c>
      <c r="I42" s="6">
        <f t="shared" si="0"/>
        <v>9438</v>
      </c>
      <c r="J42" s="6">
        <f t="shared" si="1"/>
        <v>11880</v>
      </c>
      <c r="K42" s="6">
        <f t="shared" si="2"/>
        <v>2442</v>
      </c>
    </row>
    <row r="43" spans="1:11" ht="15.6" thickTop="1" thickBot="1" x14ac:dyDescent="0.35">
      <c r="A43" s="4">
        <v>45568</v>
      </c>
      <c r="B43" s="5" t="s">
        <v>11</v>
      </c>
      <c r="C43" s="5" t="s">
        <v>12</v>
      </c>
      <c r="D43" s="5" t="s">
        <v>25</v>
      </c>
      <c r="E43" s="5" t="s">
        <v>14</v>
      </c>
      <c r="F43" s="5">
        <v>12</v>
      </c>
      <c r="G43" s="5">
        <v>516</v>
      </c>
      <c r="H43" s="5">
        <v>857</v>
      </c>
      <c r="I43" s="6">
        <f t="shared" si="0"/>
        <v>6192</v>
      </c>
      <c r="J43" s="6">
        <f t="shared" si="1"/>
        <v>10284</v>
      </c>
      <c r="K43" s="6">
        <f t="shared" si="2"/>
        <v>4092</v>
      </c>
    </row>
    <row r="44" spans="1:11" ht="15.6" thickTop="1" thickBot="1" x14ac:dyDescent="0.35">
      <c r="A44" s="4">
        <v>45580</v>
      </c>
      <c r="B44" s="5" t="s">
        <v>11</v>
      </c>
      <c r="C44" s="5" t="s">
        <v>24</v>
      </c>
      <c r="D44" s="5" t="s">
        <v>20</v>
      </c>
      <c r="E44" s="5" t="s">
        <v>19</v>
      </c>
      <c r="F44" s="5">
        <v>20</v>
      </c>
      <c r="G44" s="5">
        <v>817</v>
      </c>
      <c r="H44" s="5">
        <v>1324</v>
      </c>
      <c r="I44" s="6">
        <f t="shared" si="0"/>
        <v>16340</v>
      </c>
      <c r="J44" s="6">
        <f t="shared" si="1"/>
        <v>26480</v>
      </c>
      <c r="K44" s="6">
        <f t="shared" si="2"/>
        <v>10140</v>
      </c>
    </row>
    <row r="45" spans="1:11" ht="15.6" thickTop="1" thickBot="1" x14ac:dyDescent="0.35">
      <c r="A45" s="4">
        <v>45581</v>
      </c>
      <c r="B45" s="5" t="s">
        <v>11</v>
      </c>
      <c r="C45" s="5" t="s">
        <v>24</v>
      </c>
      <c r="D45" s="5" t="s">
        <v>17</v>
      </c>
      <c r="E45" s="5" t="s">
        <v>19</v>
      </c>
      <c r="F45" s="5">
        <v>16</v>
      </c>
      <c r="G45" s="5">
        <v>935</v>
      </c>
      <c r="H45" s="5">
        <v>980</v>
      </c>
      <c r="I45" s="6">
        <f t="shared" si="0"/>
        <v>14960</v>
      </c>
      <c r="J45" s="6">
        <f t="shared" si="1"/>
        <v>15680</v>
      </c>
      <c r="K45" s="6">
        <f t="shared" si="2"/>
        <v>720</v>
      </c>
    </row>
    <row r="46" spans="1:11" ht="15.6" thickTop="1" thickBot="1" x14ac:dyDescent="0.35">
      <c r="A46" s="4">
        <v>45582</v>
      </c>
      <c r="B46" s="5" t="s">
        <v>11</v>
      </c>
      <c r="C46" s="5" t="s">
        <v>24</v>
      </c>
      <c r="D46" s="5" t="s">
        <v>36</v>
      </c>
      <c r="E46" s="5" t="s">
        <v>19</v>
      </c>
      <c r="F46" s="5">
        <v>17</v>
      </c>
      <c r="G46" s="5">
        <v>642</v>
      </c>
      <c r="H46" s="5">
        <v>1095</v>
      </c>
      <c r="I46" s="6">
        <f t="shared" si="0"/>
        <v>10914</v>
      </c>
      <c r="J46" s="6">
        <f t="shared" si="1"/>
        <v>18615</v>
      </c>
      <c r="K46" s="6">
        <f t="shared" si="2"/>
        <v>7701</v>
      </c>
    </row>
    <row r="47" spans="1:11" ht="15.6" thickTop="1" thickBot="1" x14ac:dyDescent="0.35">
      <c r="A47" s="4">
        <v>45584</v>
      </c>
      <c r="B47" s="5" t="s">
        <v>11</v>
      </c>
      <c r="C47" s="5" t="s">
        <v>24</v>
      </c>
      <c r="D47" s="5" t="s">
        <v>23</v>
      </c>
      <c r="E47" s="5" t="s">
        <v>14</v>
      </c>
      <c r="F47" s="5">
        <v>18</v>
      </c>
      <c r="G47" s="5">
        <v>596</v>
      </c>
      <c r="H47" s="5">
        <v>817</v>
      </c>
      <c r="I47" s="6">
        <f t="shared" si="0"/>
        <v>10728</v>
      </c>
      <c r="J47" s="6">
        <f t="shared" si="1"/>
        <v>14706</v>
      </c>
      <c r="K47" s="6">
        <f t="shared" si="2"/>
        <v>3978</v>
      </c>
    </row>
    <row r="48" spans="1:11" ht="15.6" thickTop="1" thickBot="1" x14ac:dyDescent="0.35">
      <c r="A48" s="4">
        <v>45585</v>
      </c>
      <c r="B48" s="5" t="s">
        <v>11</v>
      </c>
      <c r="C48" s="5" t="s">
        <v>24</v>
      </c>
      <c r="D48" s="5" t="s">
        <v>25</v>
      </c>
      <c r="E48" s="5" t="s">
        <v>14</v>
      </c>
      <c r="F48" s="5">
        <v>14</v>
      </c>
      <c r="G48" s="5">
        <v>533</v>
      </c>
      <c r="H48" s="5">
        <v>922</v>
      </c>
      <c r="I48" s="6">
        <f t="shared" si="0"/>
        <v>7462</v>
      </c>
      <c r="J48" s="6">
        <f t="shared" si="1"/>
        <v>12908</v>
      </c>
      <c r="K48" s="6">
        <f t="shared" si="2"/>
        <v>5446</v>
      </c>
    </row>
    <row r="49" spans="1:11" ht="15.6" thickTop="1" thickBot="1" x14ac:dyDescent="0.35">
      <c r="A49" s="4">
        <v>45587</v>
      </c>
      <c r="B49" s="5" t="s">
        <v>11</v>
      </c>
      <c r="C49" s="5" t="s">
        <v>24</v>
      </c>
      <c r="D49" s="5" t="s">
        <v>34</v>
      </c>
      <c r="E49" s="5" t="s">
        <v>14</v>
      </c>
      <c r="F49" s="5">
        <v>19</v>
      </c>
      <c r="G49" s="5">
        <v>578</v>
      </c>
      <c r="H49" s="5">
        <v>1434</v>
      </c>
      <c r="I49" s="6">
        <f t="shared" si="0"/>
        <v>10982</v>
      </c>
      <c r="J49" s="6">
        <f t="shared" si="1"/>
        <v>27246</v>
      </c>
      <c r="K49" s="6">
        <f t="shared" si="2"/>
        <v>16264</v>
      </c>
    </row>
    <row r="50" spans="1:11" ht="15.6" thickTop="1" thickBot="1" x14ac:dyDescent="0.35">
      <c r="A50" s="4">
        <v>45659</v>
      </c>
      <c r="B50" s="5" t="s">
        <v>11</v>
      </c>
      <c r="C50" s="5" t="s">
        <v>12</v>
      </c>
      <c r="D50" s="5" t="s">
        <v>17</v>
      </c>
      <c r="E50" s="5" t="s">
        <v>14</v>
      </c>
      <c r="F50" s="5">
        <v>14</v>
      </c>
      <c r="G50" s="5">
        <v>521</v>
      </c>
      <c r="H50" s="5">
        <v>974</v>
      </c>
      <c r="I50" s="6">
        <f t="shared" si="0"/>
        <v>7294</v>
      </c>
      <c r="J50" s="6">
        <f t="shared" si="1"/>
        <v>13636</v>
      </c>
      <c r="K50" s="6">
        <f t="shared" si="2"/>
        <v>6342</v>
      </c>
    </row>
    <row r="51" spans="1:11" ht="15.6" thickTop="1" thickBot="1" x14ac:dyDescent="0.35">
      <c r="A51" s="4">
        <v>45432</v>
      </c>
      <c r="B51" s="5" t="s">
        <v>21</v>
      </c>
      <c r="C51" s="5" t="s">
        <v>38</v>
      </c>
      <c r="D51" s="5" t="s">
        <v>23</v>
      </c>
      <c r="E51" s="5" t="s">
        <v>19</v>
      </c>
      <c r="F51" s="5">
        <v>79</v>
      </c>
      <c r="G51" s="5">
        <v>616</v>
      </c>
      <c r="H51" s="5">
        <v>944</v>
      </c>
      <c r="I51" s="6">
        <f t="shared" si="0"/>
        <v>48664</v>
      </c>
      <c r="J51" s="6">
        <f t="shared" si="1"/>
        <v>74576</v>
      </c>
      <c r="K51" s="6">
        <f t="shared" si="2"/>
        <v>25912</v>
      </c>
    </row>
    <row r="52" spans="1:11" ht="15.6" thickTop="1" thickBot="1" x14ac:dyDescent="0.35">
      <c r="A52" s="4">
        <v>45661</v>
      </c>
      <c r="B52" s="5" t="s">
        <v>11</v>
      </c>
      <c r="C52" s="5" t="s">
        <v>12</v>
      </c>
      <c r="D52" s="5" t="s">
        <v>35</v>
      </c>
      <c r="E52" s="5" t="s">
        <v>14</v>
      </c>
      <c r="F52" s="5">
        <v>14</v>
      </c>
      <c r="G52" s="5">
        <v>734</v>
      </c>
      <c r="H52" s="5">
        <v>1058</v>
      </c>
      <c r="I52" s="6">
        <f t="shared" si="0"/>
        <v>10276</v>
      </c>
      <c r="J52" s="6">
        <f t="shared" si="1"/>
        <v>14812</v>
      </c>
      <c r="K52" s="6">
        <f t="shared" si="2"/>
        <v>4536</v>
      </c>
    </row>
    <row r="53" spans="1:11" ht="15.6" thickTop="1" thickBot="1" x14ac:dyDescent="0.35">
      <c r="A53" s="4">
        <v>45663</v>
      </c>
      <c r="B53" s="5" t="s">
        <v>11</v>
      </c>
      <c r="C53" s="5" t="s">
        <v>12</v>
      </c>
      <c r="D53" s="5" t="s">
        <v>15</v>
      </c>
      <c r="E53" s="5" t="s">
        <v>14</v>
      </c>
      <c r="F53" s="5">
        <v>20</v>
      </c>
      <c r="G53" s="5">
        <v>837</v>
      </c>
      <c r="H53" s="5">
        <v>1014</v>
      </c>
      <c r="I53" s="6">
        <f t="shared" si="0"/>
        <v>16740</v>
      </c>
      <c r="J53" s="6">
        <f t="shared" si="1"/>
        <v>20280</v>
      </c>
      <c r="K53" s="6">
        <f t="shared" si="2"/>
        <v>3540</v>
      </c>
    </row>
    <row r="54" spans="1:11" ht="15.6" thickTop="1" thickBot="1" x14ac:dyDescent="0.35">
      <c r="A54" s="4">
        <v>45665</v>
      </c>
      <c r="B54" s="5" t="s">
        <v>11</v>
      </c>
      <c r="C54" s="5" t="s">
        <v>12</v>
      </c>
      <c r="D54" s="5" t="s">
        <v>17</v>
      </c>
      <c r="E54" s="5" t="s">
        <v>19</v>
      </c>
      <c r="F54" s="5">
        <v>11</v>
      </c>
      <c r="G54" s="5">
        <v>617</v>
      </c>
      <c r="H54" s="5">
        <v>1025</v>
      </c>
      <c r="I54" s="6">
        <f t="shared" si="0"/>
        <v>6787</v>
      </c>
      <c r="J54" s="6">
        <f t="shared" si="1"/>
        <v>11275</v>
      </c>
      <c r="K54" s="6">
        <f t="shared" si="2"/>
        <v>4488</v>
      </c>
    </row>
    <row r="55" spans="1:11" ht="15.6" thickTop="1" thickBot="1" x14ac:dyDescent="0.35">
      <c r="A55" s="4">
        <v>45678</v>
      </c>
      <c r="B55" s="5" t="s">
        <v>11</v>
      </c>
      <c r="C55" s="5" t="s">
        <v>24</v>
      </c>
      <c r="D55" s="5" t="s">
        <v>13</v>
      </c>
      <c r="E55" s="5" t="s">
        <v>14</v>
      </c>
      <c r="F55" s="5">
        <v>20</v>
      </c>
      <c r="G55" s="5">
        <v>749</v>
      </c>
      <c r="H55" s="5">
        <v>753</v>
      </c>
      <c r="I55" s="6">
        <f t="shared" si="0"/>
        <v>14980</v>
      </c>
      <c r="J55" s="6">
        <f t="shared" si="1"/>
        <v>15060</v>
      </c>
      <c r="K55" s="6">
        <f t="shared" si="2"/>
        <v>80</v>
      </c>
    </row>
    <row r="56" spans="1:11" ht="15.6" thickTop="1" thickBot="1" x14ac:dyDescent="0.35">
      <c r="A56" s="4">
        <v>45679</v>
      </c>
      <c r="B56" s="5" t="s">
        <v>11</v>
      </c>
      <c r="C56" s="5" t="s">
        <v>24</v>
      </c>
      <c r="D56" s="5" t="s">
        <v>15</v>
      </c>
      <c r="E56" s="5" t="s">
        <v>14</v>
      </c>
      <c r="F56" s="5">
        <v>15</v>
      </c>
      <c r="G56" s="5">
        <v>924</v>
      </c>
      <c r="H56" s="5">
        <v>1024</v>
      </c>
      <c r="I56" s="6">
        <f t="shared" si="0"/>
        <v>13860</v>
      </c>
      <c r="J56" s="6">
        <f t="shared" si="1"/>
        <v>15360</v>
      </c>
      <c r="K56" s="6">
        <f t="shared" si="2"/>
        <v>1500</v>
      </c>
    </row>
    <row r="57" spans="1:11" ht="15.6" thickTop="1" thickBot="1" x14ac:dyDescent="0.35">
      <c r="A57" s="4">
        <v>45680</v>
      </c>
      <c r="B57" s="5" t="s">
        <v>11</v>
      </c>
      <c r="C57" s="5" t="s">
        <v>24</v>
      </c>
      <c r="D57" s="5" t="s">
        <v>16</v>
      </c>
      <c r="E57" s="5" t="s">
        <v>14</v>
      </c>
      <c r="F57" s="5">
        <v>18</v>
      </c>
      <c r="G57" s="5">
        <v>601</v>
      </c>
      <c r="H57" s="5">
        <v>1246</v>
      </c>
      <c r="I57" s="6">
        <f t="shared" si="0"/>
        <v>10818</v>
      </c>
      <c r="J57" s="6">
        <f t="shared" si="1"/>
        <v>22428</v>
      </c>
      <c r="K57" s="6">
        <f t="shared" si="2"/>
        <v>11610</v>
      </c>
    </row>
    <row r="58" spans="1:11" ht="15.6" thickTop="1" thickBot="1" x14ac:dyDescent="0.35">
      <c r="A58" s="4">
        <v>45681</v>
      </c>
      <c r="B58" s="5" t="s">
        <v>11</v>
      </c>
      <c r="C58" s="5" t="s">
        <v>24</v>
      </c>
      <c r="D58" s="5" t="s">
        <v>17</v>
      </c>
      <c r="E58" s="5" t="s">
        <v>14</v>
      </c>
      <c r="F58" s="5">
        <v>17</v>
      </c>
      <c r="G58" s="5">
        <v>626</v>
      </c>
      <c r="H58" s="5">
        <v>1462</v>
      </c>
      <c r="I58" s="6">
        <f t="shared" si="0"/>
        <v>10642</v>
      </c>
      <c r="J58" s="6">
        <f t="shared" si="1"/>
        <v>24854</v>
      </c>
      <c r="K58" s="6">
        <f t="shared" si="2"/>
        <v>14212</v>
      </c>
    </row>
    <row r="59" spans="1:11" ht="15.6" thickTop="1" thickBot="1" x14ac:dyDescent="0.35">
      <c r="A59" s="4">
        <v>45682</v>
      </c>
      <c r="B59" s="5" t="s">
        <v>11</v>
      </c>
      <c r="C59" s="5" t="s">
        <v>24</v>
      </c>
      <c r="D59" s="5" t="s">
        <v>17</v>
      </c>
      <c r="E59" s="5" t="s">
        <v>14</v>
      </c>
      <c r="F59" s="5">
        <v>13</v>
      </c>
      <c r="G59" s="5">
        <v>542</v>
      </c>
      <c r="H59" s="5">
        <v>853</v>
      </c>
      <c r="I59" s="6">
        <f t="shared" si="0"/>
        <v>7046</v>
      </c>
      <c r="J59" s="6">
        <f t="shared" si="1"/>
        <v>11089</v>
      </c>
      <c r="K59" s="6">
        <f t="shared" si="2"/>
        <v>4043</v>
      </c>
    </row>
    <row r="60" spans="1:11" ht="15.6" thickTop="1" thickBot="1" x14ac:dyDescent="0.35">
      <c r="A60" s="4">
        <v>45441</v>
      </c>
      <c r="B60" s="5" t="s">
        <v>21</v>
      </c>
      <c r="C60" s="5" t="s">
        <v>38</v>
      </c>
      <c r="D60" s="5" t="s">
        <v>31</v>
      </c>
      <c r="E60" s="5" t="s">
        <v>19</v>
      </c>
      <c r="F60" s="5">
        <v>50</v>
      </c>
      <c r="G60" s="5">
        <v>639</v>
      </c>
      <c r="H60" s="5">
        <v>789</v>
      </c>
      <c r="I60" s="6">
        <f t="shared" si="0"/>
        <v>31950</v>
      </c>
      <c r="J60" s="6">
        <f t="shared" si="1"/>
        <v>39450</v>
      </c>
      <c r="K60" s="6">
        <f t="shared" si="2"/>
        <v>7500</v>
      </c>
    </row>
    <row r="61" spans="1:11" ht="15.6" thickTop="1" thickBot="1" x14ac:dyDescent="0.35">
      <c r="A61" s="4">
        <v>45684</v>
      </c>
      <c r="B61" s="5" t="s">
        <v>11</v>
      </c>
      <c r="C61" s="5" t="s">
        <v>24</v>
      </c>
      <c r="D61" s="5" t="s">
        <v>20</v>
      </c>
      <c r="E61" s="5" t="s">
        <v>19</v>
      </c>
      <c r="F61" s="5">
        <v>19</v>
      </c>
      <c r="G61" s="5">
        <v>595</v>
      </c>
      <c r="H61" s="5">
        <v>1424</v>
      </c>
      <c r="I61" s="6">
        <f t="shared" si="0"/>
        <v>11305</v>
      </c>
      <c r="J61" s="6">
        <f t="shared" si="1"/>
        <v>27056</v>
      </c>
      <c r="K61" s="6">
        <f t="shared" si="2"/>
        <v>15751</v>
      </c>
    </row>
    <row r="62" spans="1:11" ht="15.6" thickTop="1" thickBot="1" x14ac:dyDescent="0.35">
      <c r="A62" s="4">
        <v>45685</v>
      </c>
      <c r="B62" s="5" t="s">
        <v>11</v>
      </c>
      <c r="C62" s="5" t="s">
        <v>24</v>
      </c>
      <c r="D62" s="5" t="s">
        <v>17</v>
      </c>
      <c r="E62" s="5" t="s">
        <v>19</v>
      </c>
      <c r="F62" s="5">
        <v>17</v>
      </c>
      <c r="G62" s="5">
        <v>593</v>
      </c>
      <c r="H62" s="5">
        <v>895</v>
      </c>
      <c r="I62" s="6">
        <f t="shared" si="0"/>
        <v>10081</v>
      </c>
      <c r="J62" s="6">
        <f t="shared" si="1"/>
        <v>15215</v>
      </c>
      <c r="K62" s="6">
        <f t="shared" si="2"/>
        <v>5134</v>
      </c>
    </row>
    <row r="63" spans="1:11" ht="15.6" thickTop="1" thickBot="1" x14ac:dyDescent="0.35">
      <c r="A63" s="4">
        <v>45686</v>
      </c>
      <c r="B63" s="5" t="s">
        <v>11</v>
      </c>
      <c r="C63" s="5" t="s">
        <v>24</v>
      </c>
      <c r="D63" s="5" t="s">
        <v>25</v>
      </c>
      <c r="E63" s="5" t="s">
        <v>19</v>
      </c>
      <c r="F63" s="5">
        <v>20</v>
      </c>
      <c r="G63" s="5">
        <v>735</v>
      </c>
      <c r="H63" s="5">
        <v>1277</v>
      </c>
      <c r="I63" s="6">
        <f t="shared" si="0"/>
        <v>14700</v>
      </c>
      <c r="J63" s="6">
        <f t="shared" si="1"/>
        <v>25540</v>
      </c>
      <c r="K63" s="6">
        <f t="shared" si="2"/>
        <v>10840</v>
      </c>
    </row>
    <row r="64" spans="1:11" ht="15.6" thickTop="1" thickBot="1" x14ac:dyDescent="0.35">
      <c r="A64" s="4">
        <v>45688</v>
      </c>
      <c r="B64" s="5" t="s">
        <v>11</v>
      </c>
      <c r="C64" s="5" t="s">
        <v>24</v>
      </c>
      <c r="D64" s="5" t="s">
        <v>39</v>
      </c>
      <c r="E64" s="5" t="s">
        <v>19</v>
      </c>
      <c r="F64" s="5">
        <v>17</v>
      </c>
      <c r="G64" s="5">
        <v>750</v>
      </c>
      <c r="H64" s="5">
        <v>1253</v>
      </c>
      <c r="I64" s="6">
        <f t="shared" si="0"/>
        <v>12750</v>
      </c>
      <c r="J64" s="6">
        <f t="shared" si="1"/>
        <v>21301</v>
      </c>
      <c r="K64" s="6">
        <f t="shared" si="2"/>
        <v>8551</v>
      </c>
    </row>
    <row r="65" spans="1:11" ht="15.6" thickTop="1" thickBot="1" x14ac:dyDescent="0.35">
      <c r="A65" s="4">
        <v>45454</v>
      </c>
      <c r="B65" s="5" t="s">
        <v>11</v>
      </c>
      <c r="C65" s="5" t="s">
        <v>12</v>
      </c>
      <c r="D65" s="5" t="s">
        <v>13</v>
      </c>
      <c r="E65" s="5" t="s">
        <v>14</v>
      </c>
      <c r="F65" s="5">
        <v>11</v>
      </c>
      <c r="G65" s="5">
        <v>601</v>
      </c>
      <c r="H65" s="5">
        <v>1323</v>
      </c>
      <c r="I65" s="6">
        <f t="shared" si="0"/>
        <v>6611</v>
      </c>
      <c r="J65" s="6">
        <f t="shared" si="1"/>
        <v>14553</v>
      </c>
      <c r="K65" s="6">
        <f t="shared" si="2"/>
        <v>7942</v>
      </c>
    </row>
    <row r="66" spans="1:11" ht="15.6" thickTop="1" thickBot="1" x14ac:dyDescent="0.35">
      <c r="A66" s="4">
        <v>45455</v>
      </c>
      <c r="B66" s="5" t="s">
        <v>11</v>
      </c>
      <c r="C66" s="5" t="s">
        <v>12</v>
      </c>
      <c r="D66" s="5" t="s">
        <v>15</v>
      </c>
      <c r="E66" s="5" t="s">
        <v>14</v>
      </c>
      <c r="F66" s="5">
        <v>20</v>
      </c>
      <c r="G66" s="5">
        <v>857</v>
      </c>
      <c r="H66" s="5">
        <v>983</v>
      </c>
      <c r="I66" s="6">
        <f t="shared" ref="I66:I129" si="3">F66*G66</f>
        <v>17140</v>
      </c>
      <c r="J66" s="6">
        <f t="shared" ref="J66:J129" si="4">F66*H66</f>
        <v>19660</v>
      </c>
      <c r="K66" s="6">
        <f t="shared" ref="K66:K129" si="5">J66-I66</f>
        <v>2520</v>
      </c>
    </row>
    <row r="67" spans="1:11" ht="15.6" thickTop="1" thickBot="1" x14ac:dyDescent="0.35">
      <c r="A67" s="4">
        <v>45456</v>
      </c>
      <c r="B67" s="5" t="s">
        <v>11</v>
      </c>
      <c r="C67" s="5" t="s">
        <v>12</v>
      </c>
      <c r="D67" s="5" t="s">
        <v>16</v>
      </c>
      <c r="E67" s="5" t="s">
        <v>14</v>
      </c>
      <c r="F67" s="5">
        <v>11</v>
      </c>
      <c r="G67" s="5">
        <v>774</v>
      </c>
      <c r="H67" s="5">
        <v>1363</v>
      </c>
      <c r="I67" s="6">
        <f t="shared" si="3"/>
        <v>8514</v>
      </c>
      <c r="J67" s="6">
        <f t="shared" si="4"/>
        <v>14993</v>
      </c>
      <c r="K67" s="6">
        <f t="shared" si="5"/>
        <v>6479</v>
      </c>
    </row>
    <row r="68" spans="1:11" ht="15.6" thickTop="1" thickBot="1" x14ac:dyDescent="0.35">
      <c r="A68" s="4">
        <v>45457</v>
      </c>
      <c r="B68" s="5" t="s">
        <v>11</v>
      </c>
      <c r="C68" s="5" t="s">
        <v>12</v>
      </c>
      <c r="D68" s="5" t="s">
        <v>17</v>
      </c>
      <c r="E68" s="5" t="s">
        <v>14</v>
      </c>
      <c r="F68" s="5">
        <v>13</v>
      </c>
      <c r="G68" s="5">
        <v>986</v>
      </c>
      <c r="H68" s="5">
        <v>1073</v>
      </c>
      <c r="I68" s="6">
        <f t="shared" si="3"/>
        <v>12818</v>
      </c>
      <c r="J68" s="6">
        <f t="shared" si="4"/>
        <v>13949</v>
      </c>
      <c r="K68" s="6">
        <f t="shared" si="5"/>
        <v>1131</v>
      </c>
    </row>
    <row r="69" spans="1:11" ht="15.6" thickTop="1" thickBot="1" x14ac:dyDescent="0.35">
      <c r="A69" s="4">
        <v>45459</v>
      </c>
      <c r="B69" s="5" t="s">
        <v>11</v>
      </c>
      <c r="C69" s="5" t="s">
        <v>12</v>
      </c>
      <c r="D69" s="5" t="s">
        <v>18</v>
      </c>
      <c r="E69" s="5" t="s">
        <v>19</v>
      </c>
      <c r="F69" s="5">
        <v>12</v>
      </c>
      <c r="G69" s="5">
        <v>997</v>
      </c>
      <c r="H69" s="5">
        <v>1445</v>
      </c>
      <c r="I69" s="6">
        <f t="shared" si="3"/>
        <v>11964</v>
      </c>
      <c r="J69" s="6">
        <f t="shared" si="4"/>
        <v>17340</v>
      </c>
      <c r="K69" s="6">
        <f t="shared" si="5"/>
        <v>5376</v>
      </c>
    </row>
    <row r="70" spans="1:11" ht="15.6" thickTop="1" thickBot="1" x14ac:dyDescent="0.35">
      <c r="A70" s="4">
        <v>45460</v>
      </c>
      <c r="B70" s="5" t="s">
        <v>11</v>
      </c>
      <c r="C70" s="5" t="s">
        <v>12</v>
      </c>
      <c r="D70" s="5" t="s">
        <v>20</v>
      </c>
      <c r="E70" s="5" t="s">
        <v>19</v>
      </c>
      <c r="F70" s="5">
        <v>20</v>
      </c>
      <c r="G70" s="5">
        <v>941</v>
      </c>
      <c r="H70" s="5">
        <v>1053</v>
      </c>
      <c r="I70" s="6">
        <f t="shared" si="3"/>
        <v>18820</v>
      </c>
      <c r="J70" s="6">
        <f t="shared" si="4"/>
        <v>21060</v>
      </c>
      <c r="K70" s="6">
        <f t="shared" si="5"/>
        <v>2240</v>
      </c>
    </row>
    <row r="71" spans="1:11" ht="15.6" thickTop="1" thickBot="1" x14ac:dyDescent="0.35">
      <c r="A71" s="4">
        <v>45472</v>
      </c>
      <c r="B71" s="5" t="s">
        <v>11</v>
      </c>
      <c r="C71" s="5" t="s">
        <v>24</v>
      </c>
      <c r="D71" s="5" t="s">
        <v>23</v>
      </c>
      <c r="E71" s="5" t="s">
        <v>14</v>
      </c>
      <c r="F71" s="5">
        <v>19</v>
      </c>
      <c r="G71" s="5">
        <v>952</v>
      </c>
      <c r="H71" s="5">
        <v>1486</v>
      </c>
      <c r="I71" s="6">
        <f t="shared" si="3"/>
        <v>18088</v>
      </c>
      <c r="J71" s="6">
        <f t="shared" si="4"/>
        <v>28234</v>
      </c>
      <c r="K71" s="6">
        <f t="shared" si="5"/>
        <v>10146</v>
      </c>
    </row>
    <row r="72" spans="1:11" ht="15.6" thickTop="1" thickBot="1" x14ac:dyDescent="0.35">
      <c r="A72" s="4">
        <v>45473</v>
      </c>
      <c r="B72" s="5" t="s">
        <v>11</v>
      </c>
      <c r="C72" s="5" t="s">
        <v>24</v>
      </c>
      <c r="D72" s="5" t="s">
        <v>25</v>
      </c>
      <c r="E72" s="5" t="s">
        <v>14</v>
      </c>
      <c r="F72" s="5">
        <v>11</v>
      </c>
      <c r="G72" s="5">
        <v>503</v>
      </c>
      <c r="H72" s="5">
        <v>762</v>
      </c>
      <c r="I72" s="6">
        <f t="shared" si="3"/>
        <v>5533</v>
      </c>
      <c r="J72" s="6">
        <f t="shared" si="4"/>
        <v>8382</v>
      </c>
      <c r="K72" s="6">
        <f t="shared" si="5"/>
        <v>2849</v>
      </c>
    </row>
    <row r="73" spans="1:11" ht="15.6" thickTop="1" thickBot="1" x14ac:dyDescent="0.35">
      <c r="A73" s="4">
        <v>45474</v>
      </c>
      <c r="B73" s="5" t="s">
        <v>11</v>
      </c>
      <c r="C73" s="5" t="s">
        <v>24</v>
      </c>
      <c r="D73" s="5" t="s">
        <v>25</v>
      </c>
      <c r="E73" s="5" t="s">
        <v>14</v>
      </c>
      <c r="F73" s="5">
        <v>10</v>
      </c>
      <c r="G73" s="5">
        <v>719</v>
      </c>
      <c r="H73" s="5">
        <v>862</v>
      </c>
      <c r="I73" s="6">
        <f t="shared" si="3"/>
        <v>7190</v>
      </c>
      <c r="J73" s="6">
        <f t="shared" si="4"/>
        <v>8620</v>
      </c>
      <c r="K73" s="6">
        <f t="shared" si="5"/>
        <v>1430</v>
      </c>
    </row>
    <row r="74" spans="1:11" ht="15.6" thickTop="1" thickBot="1" x14ac:dyDescent="0.35">
      <c r="A74" s="4">
        <v>45476</v>
      </c>
      <c r="B74" s="5" t="s">
        <v>11</v>
      </c>
      <c r="C74" s="5" t="s">
        <v>24</v>
      </c>
      <c r="D74" s="5" t="s">
        <v>18</v>
      </c>
      <c r="E74" s="5" t="s">
        <v>14</v>
      </c>
      <c r="F74" s="5">
        <v>15</v>
      </c>
      <c r="G74" s="5">
        <v>941</v>
      </c>
      <c r="H74" s="5">
        <v>913</v>
      </c>
      <c r="I74" s="6">
        <f t="shared" si="3"/>
        <v>14115</v>
      </c>
      <c r="J74" s="6">
        <f t="shared" si="4"/>
        <v>13695</v>
      </c>
      <c r="K74" s="6">
        <f t="shared" si="5"/>
        <v>-420</v>
      </c>
    </row>
    <row r="75" spans="1:11" ht="15.6" thickTop="1" thickBot="1" x14ac:dyDescent="0.35">
      <c r="A75" s="4">
        <v>45477</v>
      </c>
      <c r="B75" s="5" t="s">
        <v>11</v>
      </c>
      <c r="C75" s="5" t="s">
        <v>24</v>
      </c>
      <c r="D75" s="5" t="s">
        <v>26</v>
      </c>
      <c r="E75" s="5" t="s">
        <v>14</v>
      </c>
      <c r="F75" s="5">
        <v>15</v>
      </c>
      <c r="G75" s="5">
        <v>937</v>
      </c>
      <c r="H75" s="5">
        <v>1427</v>
      </c>
      <c r="I75" s="6">
        <f t="shared" si="3"/>
        <v>14055</v>
      </c>
      <c r="J75" s="6">
        <f t="shared" si="4"/>
        <v>21405</v>
      </c>
      <c r="K75" s="6">
        <f t="shared" si="5"/>
        <v>7350</v>
      </c>
    </row>
    <row r="76" spans="1:11" ht="15.6" thickTop="1" thickBot="1" x14ac:dyDescent="0.35">
      <c r="A76" s="4">
        <v>45478</v>
      </c>
      <c r="B76" s="5" t="s">
        <v>11</v>
      </c>
      <c r="C76" s="5" t="s">
        <v>24</v>
      </c>
      <c r="D76" s="5" t="s">
        <v>29</v>
      </c>
      <c r="E76" s="5" t="s">
        <v>14</v>
      </c>
      <c r="F76" s="5">
        <v>11</v>
      </c>
      <c r="G76" s="5">
        <v>674</v>
      </c>
      <c r="H76" s="5">
        <v>1415</v>
      </c>
      <c r="I76" s="6">
        <f t="shared" si="3"/>
        <v>7414</v>
      </c>
      <c r="J76" s="6">
        <f t="shared" si="4"/>
        <v>15565</v>
      </c>
      <c r="K76" s="6">
        <f t="shared" si="5"/>
        <v>8151</v>
      </c>
    </row>
    <row r="77" spans="1:11" ht="15.6" thickTop="1" thickBot="1" x14ac:dyDescent="0.35">
      <c r="A77" s="4">
        <v>45458</v>
      </c>
      <c r="B77" s="5" t="s">
        <v>11</v>
      </c>
      <c r="C77" s="5" t="s">
        <v>12</v>
      </c>
      <c r="D77" s="5" t="s">
        <v>17</v>
      </c>
      <c r="E77" s="5" t="s">
        <v>14</v>
      </c>
      <c r="F77" s="5">
        <v>20</v>
      </c>
      <c r="G77" s="5">
        <v>827</v>
      </c>
      <c r="H77" s="5">
        <v>816</v>
      </c>
      <c r="I77" s="6">
        <f t="shared" si="3"/>
        <v>16540</v>
      </c>
      <c r="J77" s="6">
        <f t="shared" si="4"/>
        <v>16320</v>
      </c>
      <c r="K77" s="6">
        <f t="shared" si="5"/>
        <v>-220</v>
      </c>
    </row>
    <row r="78" spans="1:11" ht="15.6" thickTop="1" thickBot="1" x14ac:dyDescent="0.35">
      <c r="A78" s="4">
        <v>45479</v>
      </c>
      <c r="B78" s="5" t="s">
        <v>11</v>
      </c>
      <c r="C78" s="5" t="s">
        <v>24</v>
      </c>
      <c r="D78" s="5" t="s">
        <v>18</v>
      </c>
      <c r="E78" s="5" t="s">
        <v>19</v>
      </c>
      <c r="F78" s="5">
        <v>20</v>
      </c>
      <c r="G78" s="5">
        <v>596</v>
      </c>
      <c r="H78" s="5">
        <v>1255</v>
      </c>
      <c r="I78" s="6">
        <f t="shared" si="3"/>
        <v>11920</v>
      </c>
      <c r="J78" s="6">
        <f t="shared" si="4"/>
        <v>25100</v>
      </c>
      <c r="K78" s="6">
        <f t="shared" si="5"/>
        <v>13180</v>
      </c>
    </row>
    <row r="79" spans="1:11" ht="15.6" thickTop="1" thickBot="1" x14ac:dyDescent="0.35">
      <c r="A79" s="4">
        <v>45480</v>
      </c>
      <c r="B79" s="5" t="s">
        <v>11</v>
      </c>
      <c r="C79" s="5" t="s">
        <v>24</v>
      </c>
      <c r="D79" s="5" t="s">
        <v>30</v>
      </c>
      <c r="E79" s="5" t="s">
        <v>19</v>
      </c>
      <c r="F79" s="5">
        <v>20</v>
      </c>
      <c r="G79" s="5">
        <v>689</v>
      </c>
      <c r="H79" s="5">
        <v>939</v>
      </c>
      <c r="I79" s="6">
        <f t="shared" si="3"/>
        <v>13780</v>
      </c>
      <c r="J79" s="6">
        <f t="shared" si="4"/>
        <v>18780</v>
      </c>
      <c r="K79" s="6">
        <f t="shared" si="5"/>
        <v>5000</v>
      </c>
    </row>
    <row r="80" spans="1:11" ht="15.6" thickTop="1" thickBot="1" x14ac:dyDescent="0.35">
      <c r="A80" s="4">
        <v>45481</v>
      </c>
      <c r="B80" s="5" t="s">
        <v>11</v>
      </c>
      <c r="C80" s="5" t="s">
        <v>24</v>
      </c>
      <c r="D80" s="5" t="s">
        <v>31</v>
      </c>
      <c r="E80" s="5" t="s">
        <v>19</v>
      </c>
      <c r="F80" s="5">
        <v>17</v>
      </c>
      <c r="G80" s="5">
        <v>990</v>
      </c>
      <c r="H80" s="5">
        <v>1391</v>
      </c>
      <c r="I80" s="6">
        <f t="shared" si="3"/>
        <v>16830</v>
      </c>
      <c r="J80" s="6">
        <f t="shared" si="4"/>
        <v>23647</v>
      </c>
      <c r="K80" s="6">
        <f t="shared" si="5"/>
        <v>6817</v>
      </c>
    </row>
    <row r="81" spans="1:11" ht="15.6" thickTop="1" thickBot="1" x14ac:dyDescent="0.35">
      <c r="A81" s="4">
        <v>45482</v>
      </c>
      <c r="B81" s="5" t="s">
        <v>11</v>
      </c>
      <c r="C81" s="5" t="s">
        <v>24</v>
      </c>
      <c r="D81" s="5" t="s">
        <v>23</v>
      </c>
      <c r="E81" s="5" t="s">
        <v>19</v>
      </c>
      <c r="F81" s="5">
        <v>20</v>
      </c>
      <c r="G81" s="5">
        <v>589</v>
      </c>
      <c r="H81" s="5">
        <v>773</v>
      </c>
      <c r="I81" s="6">
        <f t="shared" si="3"/>
        <v>11780</v>
      </c>
      <c r="J81" s="6">
        <f t="shared" si="4"/>
        <v>15460</v>
      </c>
      <c r="K81" s="6">
        <f t="shared" si="5"/>
        <v>3680</v>
      </c>
    </row>
    <row r="82" spans="1:11" ht="15.6" thickTop="1" thickBot="1" x14ac:dyDescent="0.35">
      <c r="A82" s="4">
        <v>45483</v>
      </c>
      <c r="B82" s="5" t="s">
        <v>11</v>
      </c>
      <c r="C82" s="5" t="s">
        <v>24</v>
      </c>
      <c r="D82" s="5" t="s">
        <v>25</v>
      </c>
      <c r="E82" s="5" t="s">
        <v>14</v>
      </c>
      <c r="F82" s="5">
        <v>17</v>
      </c>
      <c r="G82" s="5">
        <v>773</v>
      </c>
      <c r="H82" s="5">
        <v>1266</v>
      </c>
      <c r="I82" s="6">
        <f t="shared" si="3"/>
        <v>13141</v>
      </c>
      <c r="J82" s="6">
        <f t="shared" si="4"/>
        <v>21522</v>
      </c>
      <c r="K82" s="6">
        <f t="shared" si="5"/>
        <v>8381</v>
      </c>
    </row>
    <row r="83" spans="1:11" ht="15.6" thickTop="1" thickBot="1" x14ac:dyDescent="0.35">
      <c r="A83" s="4">
        <v>45464</v>
      </c>
      <c r="B83" s="5" t="s">
        <v>21</v>
      </c>
      <c r="C83" s="5" t="s">
        <v>38</v>
      </c>
      <c r="D83" s="5" t="s">
        <v>26</v>
      </c>
      <c r="E83" s="5" t="s">
        <v>14</v>
      </c>
      <c r="F83" s="5">
        <v>75</v>
      </c>
      <c r="G83" s="5">
        <v>859</v>
      </c>
      <c r="H83" s="5">
        <v>1486</v>
      </c>
      <c r="I83" s="6">
        <f t="shared" si="3"/>
        <v>64425</v>
      </c>
      <c r="J83" s="6">
        <f t="shared" si="4"/>
        <v>111450</v>
      </c>
      <c r="K83" s="6">
        <f t="shared" si="5"/>
        <v>47025</v>
      </c>
    </row>
    <row r="84" spans="1:11" ht="15.6" thickTop="1" thickBot="1" x14ac:dyDescent="0.35">
      <c r="A84" s="4">
        <v>45510</v>
      </c>
      <c r="B84" s="5" t="s">
        <v>11</v>
      </c>
      <c r="C84" s="5" t="s">
        <v>24</v>
      </c>
      <c r="D84" s="5" t="s">
        <v>26</v>
      </c>
      <c r="E84" s="5" t="s">
        <v>14</v>
      </c>
      <c r="F84" s="5">
        <v>11</v>
      </c>
      <c r="G84" s="5">
        <v>830</v>
      </c>
      <c r="H84" s="5">
        <v>1386</v>
      </c>
      <c r="I84" s="6">
        <f t="shared" si="3"/>
        <v>9130</v>
      </c>
      <c r="J84" s="6">
        <f t="shared" si="4"/>
        <v>15246</v>
      </c>
      <c r="K84" s="6">
        <f t="shared" si="5"/>
        <v>6116</v>
      </c>
    </row>
    <row r="85" spans="1:11" ht="15.6" thickTop="1" thickBot="1" x14ac:dyDescent="0.35">
      <c r="A85" s="4">
        <v>45511</v>
      </c>
      <c r="B85" s="5" t="s">
        <v>11</v>
      </c>
      <c r="C85" s="5" t="s">
        <v>24</v>
      </c>
      <c r="D85" s="5" t="s">
        <v>32</v>
      </c>
      <c r="E85" s="5" t="s">
        <v>14</v>
      </c>
      <c r="F85" s="5">
        <v>11</v>
      </c>
      <c r="G85" s="5">
        <v>930</v>
      </c>
      <c r="H85" s="5">
        <v>876</v>
      </c>
      <c r="I85" s="6">
        <f t="shared" si="3"/>
        <v>10230</v>
      </c>
      <c r="J85" s="6">
        <f t="shared" si="4"/>
        <v>9636</v>
      </c>
      <c r="K85" s="6">
        <f t="shared" si="5"/>
        <v>-594</v>
      </c>
    </row>
    <row r="86" spans="1:11" ht="15.6" thickTop="1" thickBot="1" x14ac:dyDescent="0.35">
      <c r="A86" s="4">
        <v>45513</v>
      </c>
      <c r="B86" s="5" t="s">
        <v>11</v>
      </c>
      <c r="C86" s="5" t="s">
        <v>24</v>
      </c>
      <c r="D86" s="5" t="s">
        <v>25</v>
      </c>
      <c r="E86" s="5" t="s">
        <v>14</v>
      </c>
      <c r="F86" s="5">
        <v>19</v>
      </c>
      <c r="G86" s="5">
        <v>654</v>
      </c>
      <c r="H86" s="5">
        <v>1295</v>
      </c>
      <c r="I86" s="6">
        <f t="shared" si="3"/>
        <v>12426</v>
      </c>
      <c r="J86" s="6">
        <f t="shared" si="4"/>
        <v>24605</v>
      </c>
      <c r="K86" s="6">
        <f t="shared" si="5"/>
        <v>12179</v>
      </c>
    </row>
    <row r="87" spans="1:11" ht="15.6" thickTop="1" thickBot="1" x14ac:dyDescent="0.35">
      <c r="A87" s="4">
        <v>45514</v>
      </c>
      <c r="B87" s="5" t="s">
        <v>11</v>
      </c>
      <c r="C87" s="5" t="s">
        <v>24</v>
      </c>
      <c r="D87" s="5" t="s">
        <v>25</v>
      </c>
      <c r="E87" s="5" t="s">
        <v>14</v>
      </c>
      <c r="F87" s="5">
        <v>18</v>
      </c>
      <c r="G87" s="5">
        <v>767</v>
      </c>
      <c r="H87" s="5">
        <v>988</v>
      </c>
      <c r="I87" s="6">
        <f t="shared" si="3"/>
        <v>13806</v>
      </c>
      <c r="J87" s="6">
        <f t="shared" si="4"/>
        <v>17784</v>
      </c>
      <c r="K87" s="6">
        <f t="shared" si="5"/>
        <v>3978</v>
      </c>
    </row>
    <row r="88" spans="1:11" ht="15.6" thickTop="1" thickBot="1" x14ac:dyDescent="0.35">
      <c r="A88" s="4">
        <v>45515</v>
      </c>
      <c r="B88" s="5" t="s">
        <v>11</v>
      </c>
      <c r="C88" s="5" t="s">
        <v>24</v>
      </c>
      <c r="D88" s="5" t="s">
        <v>26</v>
      </c>
      <c r="E88" s="5" t="s">
        <v>19</v>
      </c>
      <c r="F88" s="5">
        <v>12</v>
      </c>
      <c r="G88" s="5">
        <v>654</v>
      </c>
      <c r="H88" s="5">
        <v>788</v>
      </c>
      <c r="I88" s="6">
        <f t="shared" si="3"/>
        <v>7848</v>
      </c>
      <c r="J88" s="6">
        <f t="shared" si="4"/>
        <v>9456</v>
      </c>
      <c r="K88" s="6">
        <f t="shared" si="5"/>
        <v>1608</v>
      </c>
    </row>
    <row r="89" spans="1:11" ht="15.6" thickTop="1" thickBot="1" x14ac:dyDescent="0.35">
      <c r="A89" s="4">
        <v>45516</v>
      </c>
      <c r="B89" s="5" t="s">
        <v>11</v>
      </c>
      <c r="C89" s="5" t="s">
        <v>24</v>
      </c>
      <c r="D89" s="5" t="s">
        <v>18</v>
      </c>
      <c r="E89" s="5" t="s">
        <v>19</v>
      </c>
      <c r="F89" s="5">
        <v>11</v>
      </c>
      <c r="G89" s="5">
        <v>827</v>
      </c>
      <c r="H89" s="5">
        <v>765</v>
      </c>
      <c r="I89" s="6">
        <f t="shared" si="3"/>
        <v>9097</v>
      </c>
      <c r="J89" s="6">
        <f t="shared" si="4"/>
        <v>8415</v>
      </c>
      <c r="K89" s="6">
        <f t="shared" si="5"/>
        <v>-682</v>
      </c>
    </row>
    <row r="90" spans="1:11" ht="15.6" thickTop="1" thickBot="1" x14ac:dyDescent="0.35">
      <c r="A90" s="4">
        <v>45543</v>
      </c>
      <c r="B90" s="5" t="s">
        <v>11</v>
      </c>
      <c r="C90" s="5" t="s">
        <v>24</v>
      </c>
      <c r="D90" s="5" t="s">
        <v>35</v>
      </c>
      <c r="E90" s="5" t="s">
        <v>19</v>
      </c>
      <c r="F90" s="5">
        <v>12</v>
      </c>
      <c r="G90" s="5">
        <v>561</v>
      </c>
      <c r="H90" s="5">
        <v>1162</v>
      </c>
      <c r="I90" s="6">
        <f t="shared" si="3"/>
        <v>6732</v>
      </c>
      <c r="J90" s="6">
        <f t="shared" si="4"/>
        <v>13944</v>
      </c>
      <c r="K90" s="6">
        <f t="shared" si="5"/>
        <v>7212</v>
      </c>
    </row>
    <row r="91" spans="1:11" ht="15.6" thickTop="1" thickBot="1" x14ac:dyDescent="0.35">
      <c r="A91" s="4">
        <v>45544</v>
      </c>
      <c r="B91" s="5" t="s">
        <v>11</v>
      </c>
      <c r="C91" s="5" t="s">
        <v>24</v>
      </c>
      <c r="D91" s="5" t="s">
        <v>26</v>
      </c>
      <c r="E91" s="5" t="s">
        <v>19</v>
      </c>
      <c r="F91" s="5">
        <v>12</v>
      </c>
      <c r="G91" s="5">
        <v>879</v>
      </c>
      <c r="H91" s="5">
        <v>1428</v>
      </c>
      <c r="I91" s="6">
        <f t="shared" si="3"/>
        <v>10548</v>
      </c>
      <c r="J91" s="6">
        <f t="shared" si="4"/>
        <v>17136</v>
      </c>
      <c r="K91" s="6">
        <f t="shared" si="5"/>
        <v>6588</v>
      </c>
    </row>
    <row r="92" spans="1:11" ht="15.6" thickTop="1" thickBot="1" x14ac:dyDescent="0.35">
      <c r="A92" s="4">
        <v>45545</v>
      </c>
      <c r="B92" s="5" t="s">
        <v>11</v>
      </c>
      <c r="C92" s="5" t="s">
        <v>24</v>
      </c>
      <c r="D92" s="5" t="s">
        <v>17</v>
      </c>
      <c r="E92" s="5" t="s">
        <v>19</v>
      </c>
      <c r="F92" s="5">
        <v>13</v>
      </c>
      <c r="G92" s="5">
        <v>523</v>
      </c>
      <c r="H92" s="5">
        <v>1326</v>
      </c>
      <c r="I92" s="6">
        <f t="shared" si="3"/>
        <v>6799</v>
      </c>
      <c r="J92" s="6">
        <f t="shared" si="4"/>
        <v>17238</v>
      </c>
      <c r="K92" s="6">
        <f t="shared" si="5"/>
        <v>10439</v>
      </c>
    </row>
    <row r="93" spans="1:11" ht="15.6" thickTop="1" thickBot="1" x14ac:dyDescent="0.35">
      <c r="A93" s="4">
        <v>45546</v>
      </c>
      <c r="B93" s="5" t="s">
        <v>11</v>
      </c>
      <c r="C93" s="5" t="s">
        <v>24</v>
      </c>
      <c r="D93" s="5" t="s">
        <v>34</v>
      </c>
      <c r="E93" s="5" t="s">
        <v>19</v>
      </c>
      <c r="F93" s="5">
        <v>10</v>
      </c>
      <c r="G93" s="5">
        <v>990</v>
      </c>
      <c r="H93" s="5">
        <v>1030</v>
      </c>
      <c r="I93" s="6">
        <f t="shared" si="3"/>
        <v>9900</v>
      </c>
      <c r="J93" s="6">
        <f t="shared" si="4"/>
        <v>10300</v>
      </c>
      <c r="K93" s="6">
        <f t="shared" si="5"/>
        <v>400</v>
      </c>
    </row>
    <row r="94" spans="1:11" ht="15.6" thickTop="1" thickBot="1" x14ac:dyDescent="0.35">
      <c r="A94" s="4">
        <v>45475</v>
      </c>
      <c r="B94" s="5" t="s">
        <v>11</v>
      </c>
      <c r="C94" s="5" t="s">
        <v>24</v>
      </c>
      <c r="D94" s="5" t="s">
        <v>26</v>
      </c>
      <c r="E94" s="5" t="s">
        <v>14</v>
      </c>
      <c r="F94" s="5">
        <v>15</v>
      </c>
      <c r="G94" s="5">
        <v>910</v>
      </c>
      <c r="H94" s="5">
        <v>916</v>
      </c>
      <c r="I94" s="6">
        <f t="shared" si="3"/>
        <v>13650</v>
      </c>
      <c r="J94" s="6">
        <f t="shared" si="4"/>
        <v>13740</v>
      </c>
      <c r="K94" s="6">
        <f t="shared" si="5"/>
        <v>90</v>
      </c>
    </row>
    <row r="95" spans="1:11" ht="15.6" thickTop="1" thickBot="1" x14ac:dyDescent="0.35">
      <c r="A95" s="4">
        <v>45547</v>
      </c>
      <c r="B95" s="5" t="s">
        <v>11</v>
      </c>
      <c r="C95" s="5" t="s">
        <v>24</v>
      </c>
      <c r="D95" s="5" t="s">
        <v>36</v>
      </c>
      <c r="E95" s="5" t="s">
        <v>14</v>
      </c>
      <c r="F95" s="5">
        <v>12</v>
      </c>
      <c r="G95" s="5">
        <v>707</v>
      </c>
      <c r="H95" s="5">
        <v>1203</v>
      </c>
      <c r="I95" s="6">
        <f t="shared" si="3"/>
        <v>8484</v>
      </c>
      <c r="J95" s="6">
        <f t="shared" si="4"/>
        <v>14436</v>
      </c>
      <c r="K95" s="6">
        <f t="shared" si="5"/>
        <v>5952</v>
      </c>
    </row>
    <row r="96" spans="1:11" ht="15.6" thickTop="1" thickBot="1" x14ac:dyDescent="0.35">
      <c r="A96" s="4">
        <v>45548</v>
      </c>
      <c r="B96" s="5" t="s">
        <v>11</v>
      </c>
      <c r="C96" s="5" t="s">
        <v>24</v>
      </c>
      <c r="D96" s="5" t="s">
        <v>37</v>
      </c>
      <c r="E96" s="5" t="s">
        <v>14</v>
      </c>
      <c r="F96" s="5">
        <v>13</v>
      </c>
      <c r="G96" s="5">
        <v>515</v>
      </c>
      <c r="H96" s="5">
        <v>1095</v>
      </c>
      <c r="I96" s="6">
        <f t="shared" si="3"/>
        <v>6695</v>
      </c>
      <c r="J96" s="6">
        <f t="shared" si="4"/>
        <v>14235</v>
      </c>
      <c r="K96" s="6">
        <f t="shared" si="5"/>
        <v>7540</v>
      </c>
    </row>
    <row r="97" spans="1:11" ht="15.6" thickTop="1" thickBot="1" x14ac:dyDescent="0.35">
      <c r="A97" s="4">
        <v>45550</v>
      </c>
      <c r="B97" s="5" t="s">
        <v>11</v>
      </c>
      <c r="C97" s="5" t="s">
        <v>24</v>
      </c>
      <c r="D97" s="5" t="s">
        <v>26</v>
      </c>
      <c r="E97" s="5" t="s">
        <v>14</v>
      </c>
      <c r="F97" s="5">
        <v>12</v>
      </c>
      <c r="G97" s="5">
        <v>671</v>
      </c>
      <c r="H97" s="5">
        <v>850</v>
      </c>
      <c r="I97" s="6">
        <f t="shared" si="3"/>
        <v>8052</v>
      </c>
      <c r="J97" s="6">
        <f t="shared" si="4"/>
        <v>10200</v>
      </c>
      <c r="K97" s="6">
        <f t="shared" si="5"/>
        <v>2148</v>
      </c>
    </row>
    <row r="98" spans="1:11" ht="15.6" thickTop="1" thickBot="1" x14ac:dyDescent="0.35">
      <c r="A98" s="4">
        <v>45551</v>
      </c>
      <c r="B98" s="5" t="s">
        <v>11</v>
      </c>
      <c r="C98" s="5" t="s">
        <v>24</v>
      </c>
      <c r="D98" s="5" t="s">
        <v>32</v>
      </c>
      <c r="E98" s="5" t="s">
        <v>14</v>
      </c>
      <c r="F98" s="5">
        <v>12</v>
      </c>
      <c r="G98" s="5">
        <v>500</v>
      </c>
      <c r="H98" s="5">
        <v>1276</v>
      </c>
      <c r="I98" s="6">
        <f t="shared" si="3"/>
        <v>6000</v>
      </c>
      <c r="J98" s="6">
        <f t="shared" si="4"/>
        <v>15312</v>
      </c>
      <c r="K98" s="6">
        <f t="shared" si="5"/>
        <v>9312</v>
      </c>
    </row>
    <row r="99" spans="1:11" ht="15.6" thickTop="1" thickBot="1" x14ac:dyDescent="0.35">
      <c r="A99" s="4">
        <v>45552</v>
      </c>
      <c r="B99" s="5" t="s">
        <v>11</v>
      </c>
      <c r="C99" s="5" t="s">
        <v>24</v>
      </c>
      <c r="D99" s="5" t="s">
        <v>23</v>
      </c>
      <c r="E99" s="5" t="s">
        <v>14</v>
      </c>
      <c r="F99" s="5">
        <v>18</v>
      </c>
      <c r="G99" s="5">
        <v>602</v>
      </c>
      <c r="H99" s="5">
        <v>1401</v>
      </c>
      <c r="I99" s="6">
        <f t="shared" si="3"/>
        <v>10836</v>
      </c>
      <c r="J99" s="6">
        <f t="shared" si="4"/>
        <v>25218</v>
      </c>
      <c r="K99" s="6">
        <f t="shared" si="5"/>
        <v>14382</v>
      </c>
    </row>
    <row r="100" spans="1:11" ht="15.6" thickTop="1" thickBot="1" x14ac:dyDescent="0.35">
      <c r="A100" s="4">
        <v>45553</v>
      </c>
      <c r="B100" s="5" t="s">
        <v>11</v>
      </c>
      <c r="C100" s="5" t="s">
        <v>24</v>
      </c>
      <c r="D100" s="5" t="s">
        <v>25</v>
      </c>
      <c r="E100" s="5" t="s">
        <v>14</v>
      </c>
      <c r="F100" s="5">
        <v>18</v>
      </c>
      <c r="G100" s="5">
        <v>629</v>
      </c>
      <c r="H100" s="5">
        <v>945</v>
      </c>
      <c r="I100" s="6">
        <f t="shared" si="3"/>
        <v>11322</v>
      </c>
      <c r="J100" s="6">
        <f t="shared" si="4"/>
        <v>17010</v>
      </c>
      <c r="K100" s="6">
        <f t="shared" si="5"/>
        <v>5688</v>
      </c>
    </row>
    <row r="101" spans="1:11" ht="15.6" thickTop="1" thickBot="1" x14ac:dyDescent="0.35">
      <c r="A101" s="4">
        <v>45562</v>
      </c>
      <c r="B101" s="5" t="s">
        <v>11</v>
      </c>
      <c r="C101" s="5" t="s">
        <v>12</v>
      </c>
      <c r="D101" s="5" t="s">
        <v>23</v>
      </c>
      <c r="E101" s="5" t="s">
        <v>19</v>
      </c>
      <c r="F101" s="5">
        <v>17</v>
      </c>
      <c r="G101" s="5">
        <v>565</v>
      </c>
      <c r="H101" s="5">
        <v>1281</v>
      </c>
      <c r="I101" s="6">
        <f t="shared" si="3"/>
        <v>9605</v>
      </c>
      <c r="J101" s="6">
        <f t="shared" si="4"/>
        <v>21777</v>
      </c>
      <c r="K101" s="6">
        <f t="shared" si="5"/>
        <v>12172</v>
      </c>
    </row>
    <row r="102" spans="1:11" ht="15.6" thickTop="1" thickBot="1" x14ac:dyDescent="0.35">
      <c r="A102" s="4">
        <v>45564</v>
      </c>
      <c r="B102" s="5" t="s">
        <v>11</v>
      </c>
      <c r="C102" s="5" t="s">
        <v>12</v>
      </c>
      <c r="D102" s="5" t="s">
        <v>25</v>
      </c>
      <c r="E102" s="5" t="s">
        <v>14</v>
      </c>
      <c r="F102" s="5">
        <v>10</v>
      </c>
      <c r="G102" s="5">
        <v>917</v>
      </c>
      <c r="H102" s="5">
        <v>1107</v>
      </c>
      <c r="I102" s="6">
        <f t="shared" si="3"/>
        <v>9170</v>
      </c>
      <c r="J102" s="6">
        <f t="shared" si="4"/>
        <v>11070</v>
      </c>
      <c r="K102" s="6">
        <f t="shared" si="5"/>
        <v>1900</v>
      </c>
    </row>
    <row r="103" spans="1:11" ht="15.6" thickTop="1" thickBot="1" x14ac:dyDescent="0.35">
      <c r="A103" s="4">
        <v>45566</v>
      </c>
      <c r="B103" s="5" t="s">
        <v>11</v>
      </c>
      <c r="C103" s="5" t="s">
        <v>12</v>
      </c>
      <c r="D103" s="5" t="s">
        <v>34</v>
      </c>
      <c r="E103" s="5" t="s">
        <v>14</v>
      </c>
      <c r="F103" s="5">
        <v>18</v>
      </c>
      <c r="G103" s="5">
        <v>867</v>
      </c>
      <c r="H103" s="5">
        <v>875</v>
      </c>
      <c r="I103" s="6">
        <f t="shared" si="3"/>
        <v>15606</v>
      </c>
      <c r="J103" s="6">
        <f t="shared" si="4"/>
        <v>15750</v>
      </c>
      <c r="K103" s="6">
        <f t="shared" si="5"/>
        <v>144</v>
      </c>
    </row>
    <row r="104" spans="1:11" ht="15.6" thickTop="1" thickBot="1" x14ac:dyDescent="0.35">
      <c r="A104" s="4">
        <v>45567</v>
      </c>
      <c r="B104" s="5" t="s">
        <v>11</v>
      </c>
      <c r="C104" s="5" t="s">
        <v>12</v>
      </c>
      <c r="D104" s="5" t="s">
        <v>32</v>
      </c>
      <c r="E104" s="5" t="s">
        <v>14</v>
      </c>
      <c r="F104" s="5">
        <v>10</v>
      </c>
      <c r="G104" s="5">
        <v>757</v>
      </c>
      <c r="H104" s="5">
        <v>885</v>
      </c>
      <c r="I104" s="6">
        <f t="shared" si="3"/>
        <v>7570</v>
      </c>
      <c r="J104" s="6">
        <f t="shared" si="4"/>
        <v>8850</v>
      </c>
      <c r="K104" s="6">
        <f t="shared" si="5"/>
        <v>1280</v>
      </c>
    </row>
    <row r="105" spans="1:11" ht="15.6" thickTop="1" thickBot="1" x14ac:dyDescent="0.35">
      <c r="A105" s="4">
        <v>45568</v>
      </c>
      <c r="B105" s="5" t="s">
        <v>11</v>
      </c>
      <c r="C105" s="5" t="s">
        <v>12</v>
      </c>
      <c r="D105" s="5" t="s">
        <v>25</v>
      </c>
      <c r="E105" s="5" t="s">
        <v>14</v>
      </c>
      <c r="F105" s="5">
        <v>18</v>
      </c>
      <c r="G105" s="5">
        <v>668</v>
      </c>
      <c r="H105" s="5">
        <v>1366</v>
      </c>
      <c r="I105" s="6">
        <f t="shared" si="3"/>
        <v>12024</v>
      </c>
      <c r="J105" s="6">
        <f t="shared" si="4"/>
        <v>24588</v>
      </c>
      <c r="K105" s="6">
        <f t="shared" si="5"/>
        <v>12564</v>
      </c>
    </row>
    <row r="106" spans="1:11" ht="15.6" thickTop="1" thickBot="1" x14ac:dyDescent="0.35">
      <c r="A106" s="4">
        <v>45580</v>
      </c>
      <c r="B106" s="5" t="s">
        <v>11</v>
      </c>
      <c r="C106" s="5" t="s">
        <v>24</v>
      </c>
      <c r="D106" s="5" t="s">
        <v>20</v>
      </c>
      <c r="E106" s="5" t="s">
        <v>19</v>
      </c>
      <c r="F106" s="5">
        <v>20</v>
      </c>
      <c r="G106" s="5">
        <v>882</v>
      </c>
      <c r="H106" s="5">
        <v>1193</v>
      </c>
      <c r="I106" s="6">
        <f t="shared" si="3"/>
        <v>17640</v>
      </c>
      <c r="J106" s="6">
        <f t="shared" si="4"/>
        <v>23860</v>
      </c>
      <c r="K106" s="6">
        <f t="shared" si="5"/>
        <v>6220</v>
      </c>
    </row>
    <row r="107" spans="1:11" ht="15.6" thickTop="1" thickBot="1" x14ac:dyDescent="0.35">
      <c r="A107" s="4">
        <v>45488</v>
      </c>
      <c r="B107" s="5" t="s">
        <v>27</v>
      </c>
      <c r="C107" s="5" t="s">
        <v>40</v>
      </c>
      <c r="D107" s="5" t="s">
        <v>25</v>
      </c>
      <c r="E107" s="5" t="s">
        <v>14</v>
      </c>
      <c r="F107" s="5">
        <v>26</v>
      </c>
      <c r="G107" s="5">
        <v>627</v>
      </c>
      <c r="H107" s="5">
        <v>1416</v>
      </c>
      <c r="I107" s="6">
        <f t="shared" si="3"/>
        <v>16302</v>
      </c>
      <c r="J107" s="6">
        <f t="shared" si="4"/>
        <v>36816</v>
      </c>
      <c r="K107" s="6">
        <f t="shared" si="5"/>
        <v>20514</v>
      </c>
    </row>
    <row r="108" spans="1:11" ht="15.6" thickTop="1" thickBot="1" x14ac:dyDescent="0.35">
      <c r="A108" s="4">
        <v>45581</v>
      </c>
      <c r="B108" s="5" t="s">
        <v>11</v>
      </c>
      <c r="C108" s="5" t="s">
        <v>24</v>
      </c>
      <c r="D108" s="5" t="s">
        <v>17</v>
      </c>
      <c r="E108" s="5" t="s">
        <v>19</v>
      </c>
      <c r="F108" s="5">
        <v>17</v>
      </c>
      <c r="G108" s="5">
        <v>739</v>
      </c>
      <c r="H108" s="5">
        <v>826</v>
      </c>
      <c r="I108" s="6">
        <f t="shared" si="3"/>
        <v>12563</v>
      </c>
      <c r="J108" s="6">
        <f t="shared" si="4"/>
        <v>14042</v>
      </c>
      <c r="K108" s="6">
        <f t="shared" si="5"/>
        <v>1479</v>
      </c>
    </row>
    <row r="109" spans="1:11" ht="15.6" thickTop="1" thickBot="1" x14ac:dyDescent="0.35">
      <c r="A109" s="4">
        <v>45582</v>
      </c>
      <c r="B109" s="5" t="s">
        <v>11</v>
      </c>
      <c r="C109" s="5" t="s">
        <v>24</v>
      </c>
      <c r="D109" s="5" t="s">
        <v>36</v>
      </c>
      <c r="E109" s="5" t="s">
        <v>19</v>
      </c>
      <c r="F109" s="5">
        <v>15</v>
      </c>
      <c r="G109" s="5">
        <v>563</v>
      </c>
      <c r="H109" s="5">
        <v>1069</v>
      </c>
      <c r="I109" s="6">
        <f t="shared" si="3"/>
        <v>8445</v>
      </c>
      <c r="J109" s="6">
        <f t="shared" si="4"/>
        <v>16035</v>
      </c>
      <c r="K109" s="6">
        <f t="shared" si="5"/>
        <v>7590</v>
      </c>
    </row>
    <row r="110" spans="1:11" ht="15.6" thickTop="1" thickBot="1" x14ac:dyDescent="0.35">
      <c r="A110" s="4">
        <v>45584</v>
      </c>
      <c r="B110" s="5" t="s">
        <v>11</v>
      </c>
      <c r="C110" s="5" t="s">
        <v>24</v>
      </c>
      <c r="D110" s="5" t="s">
        <v>23</v>
      </c>
      <c r="E110" s="5" t="s">
        <v>14</v>
      </c>
      <c r="F110" s="5">
        <v>15</v>
      </c>
      <c r="G110" s="5">
        <v>662</v>
      </c>
      <c r="H110" s="5">
        <v>1183</v>
      </c>
      <c r="I110" s="6">
        <f t="shared" si="3"/>
        <v>9930</v>
      </c>
      <c r="J110" s="6">
        <f t="shared" si="4"/>
        <v>17745</v>
      </c>
      <c r="K110" s="6">
        <f t="shared" si="5"/>
        <v>7815</v>
      </c>
    </row>
    <row r="111" spans="1:11" ht="15.6" thickTop="1" thickBot="1" x14ac:dyDescent="0.35">
      <c r="A111" s="4">
        <v>45585</v>
      </c>
      <c r="B111" s="5" t="s">
        <v>11</v>
      </c>
      <c r="C111" s="5" t="s">
        <v>24</v>
      </c>
      <c r="D111" s="5" t="s">
        <v>25</v>
      </c>
      <c r="E111" s="5" t="s">
        <v>14</v>
      </c>
      <c r="F111" s="5">
        <v>16</v>
      </c>
      <c r="G111" s="5">
        <v>846</v>
      </c>
      <c r="H111" s="5">
        <v>1375</v>
      </c>
      <c r="I111" s="6">
        <f t="shared" si="3"/>
        <v>13536</v>
      </c>
      <c r="J111" s="6">
        <f t="shared" si="4"/>
        <v>22000</v>
      </c>
      <c r="K111" s="6">
        <f t="shared" si="5"/>
        <v>8464</v>
      </c>
    </row>
    <row r="112" spans="1:11" ht="15.6" thickTop="1" thickBot="1" x14ac:dyDescent="0.35">
      <c r="A112" s="4">
        <v>45587</v>
      </c>
      <c r="B112" s="5" t="s">
        <v>11</v>
      </c>
      <c r="C112" s="5" t="s">
        <v>24</v>
      </c>
      <c r="D112" s="5" t="s">
        <v>34</v>
      </c>
      <c r="E112" s="5" t="s">
        <v>14</v>
      </c>
      <c r="F112" s="5">
        <v>14</v>
      </c>
      <c r="G112" s="5">
        <v>777</v>
      </c>
      <c r="H112" s="5">
        <v>1192</v>
      </c>
      <c r="I112" s="6">
        <f t="shared" si="3"/>
        <v>10878</v>
      </c>
      <c r="J112" s="6">
        <f t="shared" si="4"/>
        <v>16688</v>
      </c>
      <c r="K112" s="6">
        <f t="shared" si="5"/>
        <v>5810</v>
      </c>
    </row>
    <row r="113" spans="1:11" ht="15.6" thickTop="1" thickBot="1" x14ac:dyDescent="0.35">
      <c r="A113" s="4">
        <v>45659</v>
      </c>
      <c r="B113" s="5" t="s">
        <v>11</v>
      </c>
      <c r="C113" s="5" t="s">
        <v>12</v>
      </c>
      <c r="D113" s="5" t="s">
        <v>17</v>
      </c>
      <c r="E113" s="5" t="s">
        <v>14</v>
      </c>
      <c r="F113" s="5">
        <v>16</v>
      </c>
      <c r="G113" s="5">
        <v>632</v>
      </c>
      <c r="H113" s="5">
        <v>835</v>
      </c>
      <c r="I113" s="6">
        <f t="shared" si="3"/>
        <v>10112</v>
      </c>
      <c r="J113" s="6">
        <f t="shared" si="4"/>
        <v>13360</v>
      </c>
      <c r="K113" s="6">
        <f t="shared" si="5"/>
        <v>3248</v>
      </c>
    </row>
    <row r="114" spans="1:11" ht="15.6" thickTop="1" thickBot="1" x14ac:dyDescent="0.35">
      <c r="A114" s="4">
        <v>45661</v>
      </c>
      <c r="B114" s="5" t="s">
        <v>11</v>
      </c>
      <c r="C114" s="5" t="s">
        <v>12</v>
      </c>
      <c r="D114" s="5" t="s">
        <v>35</v>
      </c>
      <c r="E114" s="5" t="s">
        <v>14</v>
      </c>
      <c r="F114" s="5">
        <v>11</v>
      </c>
      <c r="G114" s="5">
        <v>731</v>
      </c>
      <c r="H114" s="5">
        <v>1311</v>
      </c>
      <c r="I114" s="6">
        <f t="shared" si="3"/>
        <v>8041</v>
      </c>
      <c r="J114" s="6">
        <f t="shared" si="4"/>
        <v>14421</v>
      </c>
      <c r="K114" s="6">
        <f t="shared" si="5"/>
        <v>6380</v>
      </c>
    </row>
    <row r="115" spans="1:11" ht="15.6" thickTop="1" thickBot="1" x14ac:dyDescent="0.35">
      <c r="A115" s="4">
        <v>45663</v>
      </c>
      <c r="B115" s="5" t="s">
        <v>11</v>
      </c>
      <c r="C115" s="5" t="s">
        <v>12</v>
      </c>
      <c r="D115" s="5" t="s">
        <v>15</v>
      </c>
      <c r="E115" s="5" t="s">
        <v>14</v>
      </c>
      <c r="F115" s="5">
        <v>10</v>
      </c>
      <c r="G115" s="5">
        <v>774</v>
      </c>
      <c r="H115" s="5">
        <v>1472</v>
      </c>
      <c r="I115" s="6">
        <f t="shared" si="3"/>
        <v>7740</v>
      </c>
      <c r="J115" s="6">
        <f t="shared" si="4"/>
        <v>14720</v>
      </c>
      <c r="K115" s="6">
        <f t="shared" si="5"/>
        <v>6980</v>
      </c>
    </row>
    <row r="116" spans="1:11" ht="15.6" thickTop="1" thickBot="1" x14ac:dyDescent="0.35">
      <c r="A116" s="4">
        <v>45665</v>
      </c>
      <c r="B116" s="5" t="s">
        <v>11</v>
      </c>
      <c r="C116" s="5" t="s">
        <v>12</v>
      </c>
      <c r="D116" s="5" t="s">
        <v>17</v>
      </c>
      <c r="E116" s="5" t="s">
        <v>19</v>
      </c>
      <c r="F116" s="5">
        <v>11</v>
      </c>
      <c r="G116" s="5">
        <v>986</v>
      </c>
      <c r="H116" s="5">
        <v>1228</v>
      </c>
      <c r="I116" s="6">
        <f t="shared" si="3"/>
        <v>10846</v>
      </c>
      <c r="J116" s="6">
        <f t="shared" si="4"/>
        <v>13508</v>
      </c>
      <c r="K116" s="6">
        <f t="shared" si="5"/>
        <v>2662</v>
      </c>
    </row>
    <row r="117" spans="1:11" ht="15.6" thickTop="1" thickBot="1" x14ac:dyDescent="0.35">
      <c r="A117" s="4">
        <v>45678</v>
      </c>
      <c r="B117" s="5" t="s">
        <v>11</v>
      </c>
      <c r="C117" s="5" t="s">
        <v>24</v>
      </c>
      <c r="D117" s="5" t="s">
        <v>13</v>
      </c>
      <c r="E117" s="5" t="s">
        <v>14</v>
      </c>
      <c r="F117" s="5">
        <v>11</v>
      </c>
      <c r="G117" s="5">
        <v>519</v>
      </c>
      <c r="H117" s="5">
        <v>1143</v>
      </c>
      <c r="I117" s="6">
        <f t="shared" si="3"/>
        <v>5709</v>
      </c>
      <c r="J117" s="6">
        <f t="shared" si="4"/>
        <v>12573</v>
      </c>
      <c r="K117" s="6">
        <f t="shared" si="5"/>
        <v>6864</v>
      </c>
    </row>
    <row r="118" spans="1:11" ht="15.6" thickTop="1" thickBot="1" x14ac:dyDescent="0.35">
      <c r="A118" s="4">
        <v>45679</v>
      </c>
      <c r="B118" s="5" t="s">
        <v>11</v>
      </c>
      <c r="C118" s="5" t="s">
        <v>24</v>
      </c>
      <c r="D118" s="5" t="s">
        <v>15</v>
      </c>
      <c r="E118" s="5" t="s">
        <v>14</v>
      </c>
      <c r="F118" s="5">
        <v>20</v>
      </c>
      <c r="G118" s="5">
        <v>597</v>
      </c>
      <c r="H118" s="5">
        <v>1175</v>
      </c>
      <c r="I118" s="6">
        <f t="shared" si="3"/>
        <v>11940</v>
      </c>
      <c r="J118" s="6">
        <f t="shared" si="4"/>
        <v>23500</v>
      </c>
      <c r="K118" s="6">
        <f t="shared" si="5"/>
        <v>11560</v>
      </c>
    </row>
    <row r="119" spans="1:11" ht="15.6" thickTop="1" thickBot="1" x14ac:dyDescent="0.35">
      <c r="A119" s="4">
        <v>45680</v>
      </c>
      <c r="B119" s="5" t="s">
        <v>11</v>
      </c>
      <c r="C119" s="5" t="s">
        <v>24</v>
      </c>
      <c r="D119" s="5" t="s">
        <v>16</v>
      </c>
      <c r="E119" s="5" t="s">
        <v>14</v>
      </c>
      <c r="F119" s="5">
        <v>18</v>
      </c>
      <c r="G119" s="5">
        <v>632</v>
      </c>
      <c r="H119" s="5">
        <v>1384</v>
      </c>
      <c r="I119" s="6">
        <f t="shared" si="3"/>
        <v>11376</v>
      </c>
      <c r="J119" s="6">
        <f t="shared" si="4"/>
        <v>24912</v>
      </c>
      <c r="K119" s="6">
        <f t="shared" si="5"/>
        <v>13536</v>
      </c>
    </row>
    <row r="120" spans="1:11" ht="15.6" thickTop="1" thickBot="1" x14ac:dyDescent="0.35">
      <c r="A120" s="4">
        <v>45681</v>
      </c>
      <c r="B120" s="5" t="s">
        <v>11</v>
      </c>
      <c r="C120" s="5" t="s">
        <v>24</v>
      </c>
      <c r="D120" s="5" t="s">
        <v>17</v>
      </c>
      <c r="E120" s="5" t="s">
        <v>14</v>
      </c>
      <c r="F120" s="5">
        <v>17</v>
      </c>
      <c r="G120" s="5">
        <v>649</v>
      </c>
      <c r="H120" s="5">
        <v>1392</v>
      </c>
      <c r="I120" s="6">
        <f t="shared" si="3"/>
        <v>11033</v>
      </c>
      <c r="J120" s="6">
        <f t="shared" si="4"/>
        <v>23664</v>
      </c>
      <c r="K120" s="6">
        <f t="shared" si="5"/>
        <v>12631</v>
      </c>
    </row>
    <row r="121" spans="1:11" ht="15.6" thickTop="1" thickBot="1" x14ac:dyDescent="0.35">
      <c r="A121" s="4">
        <v>45682</v>
      </c>
      <c r="B121" s="5" t="s">
        <v>11</v>
      </c>
      <c r="C121" s="5" t="s">
        <v>24</v>
      </c>
      <c r="D121" s="5" t="s">
        <v>17</v>
      </c>
      <c r="E121" s="5" t="s">
        <v>14</v>
      </c>
      <c r="F121" s="5">
        <v>18</v>
      </c>
      <c r="G121" s="5">
        <v>587</v>
      </c>
      <c r="H121" s="5">
        <v>905</v>
      </c>
      <c r="I121" s="6">
        <f t="shared" si="3"/>
        <v>10566</v>
      </c>
      <c r="J121" s="6">
        <f t="shared" si="4"/>
        <v>16290</v>
      </c>
      <c r="K121" s="6">
        <f t="shared" si="5"/>
        <v>5724</v>
      </c>
    </row>
    <row r="122" spans="1:11" ht="15.6" thickTop="1" thickBot="1" x14ac:dyDescent="0.35">
      <c r="A122" s="4">
        <v>45684</v>
      </c>
      <c r="B122" s="5" t="s">
        <v>11</v>
      </c>
      <c r="C122" s="5" t="s">
        <v>24</v>
      </c>
      <c r="D122" s="5" t="s">
        <v>20</v>
      </c>
      <c r="E122" s="5" t="s">
        <v>19</v>
      </c>
      <c r="F122" s="5">
        <v>19</v>
      </c>
      <c r="G122" s="5">
        <v>701</v>
      </c>
      <c r="H122" s="5">
        <v>1136</v>
      </c>
      <c r="I122" s="6">
        <f t="shared" si="3"/>
        <v>13319</v>
      </c>
      <c r="J122" s="6">
        <f t="shared" si="4"/>
        <v>21584</v>
      </c>
      <c r="K122" s="6">
        <f t="shared" si="5"/>
        <v>8265</v>
      </c>
    </row>
    <row r="123" spans="1:11" ht="15.6" thickTop="1" thickBot="1" x14ac:dyDescent="0.35">
      <c r="A123" s="4">
        <v>45685</v>
      </c>
      <c r="B123" s="5" t="s">
        <v>11</v>
      </c>
      <c r="C123" s="5" t="s">
        <v>24</v>
      </c>
      <c r="D123" s="5" t="s">
        <v>17</v>
      </c>
      <c r="E123" s="5" t="s">
        <v>19</v>
      </c>
      <c r="F123" s="5">
        <v>19</v>
      </c>
      <c r="G123" s="5">
        <v>972</v>
      </c>
      <c r="H123" s="5">
        <v>1314</v>
      </c>
      <c r="I123" s="6">
        <f t="shared" si="3"/>
        <v>18468</v>
      </c>
      <c r="J123" s="6">
        <f t="shared" si="4"/>
        <v>24966</v>
      </c>
      <c r="K123" s="6">
        <f t="shared" si="5"/>
        <v>6498</v>
      </c>
    </row>
    <row r="124" spans="1:11" ht="15.6" thickTop="1" thickBot="1" x14ac:dyDescent="0.35">
      <c r="A124" s="4">
        <v>45686</v>
      </c>
      <c r="B124" s="5" t="s">
        <v>11</v>
      </c>
      <c r="C124" s="5" t="s">
        <v>24</v>
      </c>
      <c r="D124" s="5" t="s">
        <v>25</v>
      </c>
      <c r="E124" s="5" t="s">
        <v>19</v>
      </c>
      <c r="F124" s="5">
        <v>13</v>
      </c>
      <c r="G124" s="5">
        <v>615</v>
      </c>
      <c r="H124" s="5">
        <v>1010</v>
      </c>
      <c r="I124" s="6">
        <f t="shared" si="3"/>
        <v>7995</v>
      </c>
      <c r="J124" s="6">
        <f t="shared" si="4"/>
        <v>13130</v>
      </c>
      <c r="K124" s="6">
        <f t="shared" si="5"/>
        <v>5135</v>
      </c>
    </row>
    <row r="125" spans="1:11" ht="15.6" thickTop="1" thickBot="1" x14ac:dyDescent="0.35">
      <c r="A125" s="4">
        <v>45688</v>
      </c>
      <c r="B125" s="5" t="s">
        <v>11</v>
      </c>
      <c r="C125" s="5" t="s">
        <v>24</v>
      </c>
      <c r="D125" s="5" t="s">
        <v>39</v>
      </c>
      <c r="E125" s="5" t="s">
        <v>19</v>
      </c>
      <c r="F125" s="5">
        <v>19</v>
      </c>
      <c r="G125" s="5">
        <v>864</v>
      </c>
      <c r="H125" s="5">
        <v>1147</v>
      </c>
      <c r="I125" s="6">
        <f t="shared" si="3"/>
        <v>16416</v>
      </c>
      <c r="J125" s="6">
        <f t="shared" si="4"/>
        <v>21793</v>
      </c>
      <c r="K125" s="6">
        <f t="shared" si="5"/>
        <v>5377</v>
      </c>
    </row>
    <row r="126" spans="1:11" ht="15.6" thickTop="1" thickBot="1" x14ac:dyDescent="0.35">
      <c r="A126" s="4">
        <v>45507</v>
      </c>
      <c r="B126" s="5" t="s">
        <v>21</v>
      </c>
      <c r="C126" s="5" t="s">
        <v>41</v>
      </c>
      <c r="D126" s="5" t="s">
        <v>36</v>
      </c>
      <c r="E126" s="5" t="s">
        <v>19</v>
      </c>
      <c r="F126" s="5">
        <v>86</v>
      </c>
      <c r="G126" s="5">
        <v>540</v>
      </c>
      <c r="H126" s="5">
        <v>1460</v>
      </c>
      <c r="I126" s="6">
        <f t="shared" si="3"/>
        <v>46440</v>
      </c>
      <c r="J126" s="6">
        <f t="shared" si="4"/>
        <v>125560</v>
      </c>
      <c r="K126" s="6">
        <f t="shared" si="5"/>
        <v>79120</v>
      </c>
    </row>
    <row r="127" spans="1:11" ht="15.6" thickTop="1" thickBot="1" x14ac:dyDescent="0.35">
      <c r="A127" s="4">
        <v>45454</v>
      </c>
      <c r="B127" s="5" t="s">
        <v>11</v>
      </c>
      <c r="C127" s="5" t="s">
        <v>12</v>
      </c>
      <c r="D127" s="5" t="s">
        <v>13</v>
      </c>
      <c r="E127" s="5" t="s">
        <v>14</v>
      </c>
      <c r="F127" s="5">
        <v>13</v>
      </c>
      <c r="G127" s="5">
        <v>643</v>
      </c>
      <c r="H127" s="5">
        <v>1432</v>
      </c>
      <c r="I127" s="6">
        <f t="shared" si="3"/>
        <v>8359</v>
      </c>
      <c r="J127" s="6">
        <f t="shared" si="4"/>
        <v>18616</v>
      </c>
      <c r="K127" s="6">
        <f t="shared" si="5"/>
        <v>10257</v>
      </c>
    </row>
    <row r="128" spans="1:11" ht="15.6" thickTop="1" thickBot="1" x14ac:dyDescent="0.35">
      <c r="A128" s="4">
        <v>45455</v>
      </c>
      <c r="B128" s="5" t="s">
        <v>11</v>
      </c>
      <c r="C128" s="5" t="s">
        <v>12</v>
      </c>
      <c r="D128" s="5" t="s">
        <v>15</v>
      </c>
      <c r="E128" s="5" t="s">
        <v>14</v>
      </c>
      <c r="F128" s="5">
        <v>16</v>
      </c>
      <c r="G128" s="5">
        <v>848</v>
      </c>
      <c r="H128" s="5">
        <v>1211</v>
      </c>
      <c r="I128" s="6">
        <f t="shared" si="3"/>
        <v>13568</v>
      </c>
      <c r="J128" s="6">
        <f t="shared" si="4"/>
        <v>19376</v>
      </c>
      <c r="K128" s="6">
        <f t="shared" si="5"/>
        <v>5808</v>
      </c>
    </row>
    <row r="129" spans="1:11" ht="15.6" thickTop="1" thickBot="1" x14ac:dyDescent="0.35">
      <c r="A129" s="4">
        <v>45456</v>
      </c>
      <c r="B129" s="5" t="s">
        <v>11</v>
      </c>
      <c r="C129" s="5" t="s">
        <v>12</v>
      </c>
      <c r="D129" s="5" t="s">
        <v>16</v>
      </c>
      <c r="E129" s="5" t="s">
        <v>14</v>
      </c>
      <c r="F129" s="5">
        <v>19</v>
      </c>
      <c r="G129" s="5">
        <v>982</v>
      </c>
      <c r="H129" s="5">
        <v>1457</v>
      </c>
      <c r="I129" s="6">
        <f t="shared" si="3"/>
        <v>18658</v>
      </c>
      <c r="J129" s="6">
        <f t="shared" si="4"/>
        <v>27683</v>
      </c>
      <c r="K129" s="6">
        <f t="shared" si="5"/>
        <v>9025</v>
      </c>
    </row>
    <row r="130" spans="1:11" ht="15.6" thickTop="1" thickBot="1" x14ac:dyDescent="0.35">
      <c r="A130" s="4">
        <v>45457</v>
      </c>
      <c r="B130" s="5" t="s">
        <v>11</v>
      </c>
      <c r="C130" s="5" t="s">
        <v>12</v>
      </c>
      <c r="D130" s="5" t="s">
        <v>17</v>
      </c>
      <c r="E130" s="5" t="s">
        <v>14</v>
      </c>
      <c r="F130" s="5">
        <v>19</v>
      </c>
      <c r="G130" s="5">
        <v>918</v>
      </c>
      <c r="H130" s="5">
        <v>864</v>
      </c>
      <c r="I130" s="6">
        <f t="shared" ref="I130:I193" si="6">F130*G130</f>
        <v>17442</v>
      </c>
      <c r="J130" s="6">
        <f t="shared" ref="J130:J193" si="7">F130*H130</f>
        <v>16416</v>
      </c>
      <c r="K130" s="6">
        <f t="shared" ref="K130:K193" si="8">J130-I130</f>
        <v>-1026</v>
      </c>
    </row>
    <row r="131" spans="1:11" ht="15.6" thickTop="1" thickBot="1" x14ac:dyDescent="0.35">
      <c r="A131" s="4">
        <v>45512</v>
      </c>
      <c r="B131" s="5" t="s">
        <v>11</v>
      </c>
      <c r="C131" s="5" t="s">
        <v>24</v>
      </c>
      <c r="D131" s="5" t="s">
        <v>23</v>
      </c>
      <c r="E131" s="5" t="s">
        <v>14</v>
      </c>
      <c r="F131" s="5">
        <v>10</v>
      </c>
      <c r="G131" s="5">
        <v>863</v>
      </c>
      <c r="H131" s="5">
        <v>1386</v>
      </c>
      <c r="I131" s="6">
        <f t="shared" si="6"/>
        <v>8630</v>
      </c>
      <c r="J131" s="6">
        <f t="shared" si="7"/>
        <v>13860</v>
      </c>
      <c r="K131" s="6">
        <f t="shared" si="8"/>
        <v>5230</v>
      </c>
    </row>
    <row r="132" spans="1:11" ht="15.6" thickTop="1" thickBot="1" x14ac:dyDescent="0.35">
      <c r="A132" s="4">
        <v>45459</v>
      </c>
      <c r="B132" s="5" t="s">
        <v>11</v>
      </c>
      <c r="C132" s="5" t="s">
        <v>12</v>
      </c>
      <c r="D132" s="5" t="s">
        <v>18</v>
      </c>
      <c r="E132" s="5" t="s">
        <v>19</v>
      </c>
      <c r="F132" s="5">
        <v>17</v>
      </c>
      <c r="G132" s="5">
        <v>787</v>
      </c>
      <c r="H132" s="5">
        <v>1108</v>
      </c>
      <c r="I132" s="6">
        <f t="shared" si="6"/>
        <v>13379</v>
      </c>
      <c r="J132" s="6">
        <f t="shared" si="7"/>
        <v>18836</v>
      </c>
      <c r="K132" s="6">
        <f t="shared" si="8"/>
        <v>5457</v>
      </c>
    </row>
    <row r="133" spans="1:11" ht="15.6" thickTop="1" thickBot="1" x14ac:dyDescent="0.35">
      <c r="A133" s="4">
        <v>45460</v>
      </c>
      <c r="B133" s="5" t="s">
        <v>11</v>
      </c>
      <c r="C133" s="5" t="s">
        <v>12</v>
      </c>
      <c r="D133" s="5" t="s">
        <v>20</v>
      </c>
      <c r="E133" s="5" t="s">
        <v>19</v>
      </c>
      <c r="F133" s="5">
        <v>15</v>
      </c>
      <c r="G133" s="5">
        <v>545</v>
      </c>
      <c r="H133" s="5">
        <v>1182</v>
      </c>
      <c r="I133" s="6">
        <f t="shared" si="6"/>
        <v>8175</v>
      </c>
      <c r="J133" s="6">
        <f t="shared" si="7"/>
        <v>17730</v>
      </c>
      <c r="K133" s="6">
        <f t="shared" si="8"/>
        <v>9555</v>
      </c>
    </row>
    <row r="134" spans="1:11" ht="15.6" thickTop="1" thickBot="1" x14ac:dyDescent="0.35">
      <c r="A134" s="4">
        <v>45472</v>
      </c>
      <c r="B134" s="5" t="s">
        <v>11</v>
      </c>
      <c r="C134" s="5" t="s">
        <v>24</v>
      </c>
      <c r="D134" s="5" t="s">
        <v>23</v>
      </c>
      <c r="E134" s="5" t="s">
        <v>14</v>
      </c>
      <c r="F134" s="5">
        <v>11</v>
      </c>
      <c r="G134" s="5">
        <v>616</v>
      </c>
      <c r="H134" s="5">
        <v>1015</v>
      </c>
      <c r="I134" s="6">
        <f t="shared" si="6"/>
        <v>6776</v>
      </c>
      <c r="J134" s="6">
        <f t="shared" si="7"/>
        <v>11165</v>
      </c>
      <c r="K134" s="6">
        <f t="shared" si="8"/>
        <v>4389</v>
      </c>
    </row>
    <row r="135" spans="1:11" ht="15.6" thickTop="1" thickBot="1" x14ac:dyDescent="0.35">
      <c r="A135" s="4">
        <v>45473</v>
      </c>
      <c r="B135" s="5" t="s">
        <v>11</v>
      </c>
      <c r="C135" s="5" t="s">
        <v>24</v>
      </c>
      <c r="D135" s="5" t="s">
        <v>25</v>
      </c>
      <c r="E135" s="5" t="s">
        <v>14</v>
      </c>
      <c r="F135" s="5">
        <v>16</v>
      </c>
      <c r="G135" s="5">
        <v>911</v>
      </c>
      <c r="H135" s="5">
        <v>1299</v>
      </c>
      <c r="I135" s="6">
        <f t="shared" si="6"/>
        <v>14576</v>
      </c>
      <c r="J135" s="6">
        <f t="shared" si="7"/>
        <v>20784</v>
      </c>
      <c r="K135" s="6">
        <f t="shared" si="8"/>
        <v>6208</v>
      </c>
    </row>
    <row r="136" spans="1:11" ht="15.6" thickTop="1" thickBot="1" x14ac:dyDescent="0.35">
      <c r="A136" s="4">
        <v>45474</v>
      </c>
      <c r="B136" s="5" t="s">
        <v>11</v>
      </c>
      <c r="C136" s="5" t="s">
        <v>24</v>
      </c>
      <c r="D136" s="5" t="s">
        <v>25</v>
      </c>
      <c r="E136" s="5" t="s">
        <v>14</v>
      </c>
      <c r="F136" s="5">
        <v>19</v>
      </c>
      <c r="G136" s="5">
        <v>816</v>
      </c>
      <c r="H136" s="5">
        <v>1285</v>
      </c>
      <c r="I136" s="6">
        <f t="shared" si="6"/>
        <v>15504</v>
      </c>
      <c r="J136" s="6">
        <f t="shared" si="7"/>
        <v>24415</v>
      </c>
      <c r="K136" s="6">
        <f t="shared" si="8"/>
        <v>8911</v>
      </c>
    </row>
    <row r="137" spans="1:11" ht="15.6" thickTop="1" thickBot="1" x14ac:dyDescent="0.35">
      <c r="A137" s="4">
        <v>45476</v>
      </c>
      <c r="B137" s="5" t="s">
        <v>11</v>
      </c>
      <c r="C137" s="5" t="s">
        <v>24</v>
      </c>
      <c r="D137" s="5" t="s">
        <v>18</v>
      </c>
      <c r="E137" s="5" t="s">
        <v>14</v>
      </c>
      <c r="F137" s="5">
        <v>16</v>
      </c>
      <c r="G137" s="5">
        <v>693</v>
      </c>
      <c r="H137" s="5">
        <v>1042</v>
      </c>
      <c r="I137" s="6">
        <f t="shared" si="6"/>
        <v>11088</v>
      </c>
      <c r="J137" s="6">
        <f t="shared" si="7"/>
        <v>16672</v>
      </c>
      <c r="K137" s="6">
        <f t="shared" si="8"/>
        <v>5584</v>
      </c>
    </row>
    <row r="138" spans="1:11" ht="15.6" thickTop="1" thickBot="1" x14ac:dyDescent="0.35">
      <c r="A138" s="4">
        <v>45477</v>
      </c>
      <c r="B138" s="5" t="s">
        <v>11</v>
      </c>
      <c r="C138" s="5" t="s">
        <v>24</v>
      </c>
      <c r="D138" s="5" t="s">
        <v>26</v>
      </c>
      <c r="E138" s="5" t="s">
        <v>14</v>
      </c>
      <c r="F138" s="5">
        <v>14</v>
      </c>
      <c r="G138" s="5">
        <v>965</v>
      </c>
      <c r="H138" s="5">
        <v>1212</v>
      </c>
      <c r="I138" s="6">
        <f t="shared" si="6"/>
        <v>13510</v>
      </c>
      <c r="J138" s="6">
        <f t="shared" si="7"/>
        <v>16968</v>
      </c>
      <c r="K138" s="6">
        <f t="shared" si="8"/>
        <v>3458</v>
      </c>
    </row>
    <row r="139" spans="1:11" ht="15.6" thickTop="1" thickBot="1" x14ac:dyDescent="0.35">
      <c r="A139" s="4">
        <v>45520</v>
      </c>
      <c r="B139" s="5" t="s">
        <v>27</v>
      </c>
      <c r="C139" s="5" t="s">
        <v>40</v>
      </c>
      <c r="D139" s="5" t="s">
        <v>30</v>
      </c>
      <c r="E139" s="5" t="s">
        <v>19</v>
      </c>
      <c r="F139" s="5">
        <v>26</v>
      </c>
      <c r="G139" s="5">
        <v>715</v>
      </c>
      <c r="H139" s="5">
        <v>840</v>
      </c>
      <c r="I139" s="6">
        <f t="shared" si="6"/>
        <v>18590</v>
      </c>
      <c r="J139" s="6">
        <f t="shared" si="7"/>
        <v>21840</v>
      </c>
      <c r="K139" s="6">
        <f t="shared" si="8"/>
        <v>3250</v>
      </c>
    </row>
    <row r="140" spans="1:11" ht="15.6" thickTop="1" thickBot="1" x14ac:dyDescent="0.35">
      <c r="A140" s="4">
        <v>45478</v>
      </c>
      <c r="B140" s="5" t="s">
        <v>11</v>
      </c>
      <c r="C140" s="5" t="s">
        <v>24</v>
      </c>
      <c r="D140" s="5" t="s">
        <v>29</v>
      </c>
      <c r="E140" s="5" t="s">
        <v>14</v>
      </c>
      <c r="F140" s="5">
        <v>20</v>
      </c>
      <c r="G140" s="5">
        <v>960</v>
      </c>
      <c r="H140" s="5">
        <v>1170</v>
      </c>
      <c r="I140" s="6">
        <f t="shared" si="6"/>
        <v>19200</v>
      </c>
      <c r="J140" s="6">
        <f t="shared" si="7"/>
        <v>23400</v>
      </c>
      <c r="K140" s="6">
        <f t="shared" si="8"/>
        <v>4200</v>
      </c>
    </row>
    <row r="141" spans="1:11" ht="15.6" thickTop="1" thickBot="1" x14ac:dyDescent="0.35">
      <c r="A141" s="4">
        <v>45479</v>
      </c>
      <c r="B141" s="5" t="s">
        <v>11</v>
      </c>
      <c r="C141" s="5" t="s">
        <v>24</v>
      </c>
      <c r="D141" s="5" t="s">
        <v>18</v>
      </c>
      <c r="E141" s="5" t="s">
        <v>19</v>
      </c>
      <c r="F141" s="5">
        <v>16</v>
      </c>
      <c r="G141" s="5">
        <v>734</v>
      </c>
      <c r="H141" s="5">
        <v>1330</v>
      </c>
      <c r="I141" s="6">
        <f t="shared" si="6"/>
        <v>11744</v>
      </c>
      <c r="J141" s="6">
        <f t="shared" si="7"/>
        <v>21280</v>
      </c>
      <c r="K141" s="6">
        <f t="shared" si="8"/>
        <v>9536</v>
      </c>
    </row>
    <row r="142" spans="1:11" ht="15.6" thickTop="1" thickBot="1" x14ac:dyDescent="0.35">
      <c r="A142" s="4">
        <v>45480</v>
      </c>
      <c r="B142" s="5" t="s">
        <v>11</v>
      </c>
      <c r="C142" s="5" t="s">
        <v>24</v>
      </c>
      <c r="D142" s="5" t="s">
        <v>30</v>
      </c>
      <c r="E142" s="5" t="s">
        <v>19</v>
      </c>
      <c r="F142" s="5">
        <v>16</v>
      </c>
      <c r="G142" s="5">
        <v>673</v>
      </c>
      <c r="H142" s="5">
        <v>1233</v>
      </c>
      <c r="I142" s="6">
        <f t="shared" si="6"/>
        <v>10768</v>
      </c>
      <c r="J142" s="6">
        <f t="shared" si="7"/>
        <v>19728</v>
      </c>
      <c r="K142" s="6">
        <f t="shared" si="8"/>
        <v>8960</v>
      </c>
    </row>
    <row r="143" spans="1:11" ht="15.6" thickTop="1" thickBot="1" x14ac:dyDescent="0.35">
      <c r="A143" s="4">
        <v>45481</v>
      </c>
      <c r="B143" s="5" t="s">
        <v>11</v>
      </c>
      <c r="C143" s="5" t="s">
        <v>24</v>
      </c>
      <c r="D143" s="5" t="s">
        <v>31</v>
      </c>
      <c r="E143" s="5" t="s">
        <v>19</v>
      </c>
      <c r="F143" s="5">
        <v>14</v>
      </c>
      <c r="G143" s="5">
        <v>782</v>
      </c>
      <c r="H143" s="5">
        <v>835</v>
      </c>
      <c r="I143" s="6">
        <f t="shared" si="6"/>
        <v>10948</v>
      </c>
      <c r="J143" s="6">
        <f t="shared" si="7"/>
        <v>11690</v>
      </c>
      <c r="K143" s="6">
        <f t="shared" si="8"/>
        <v>742</v>
      </c>
    </row>
    <row r="144" spans="1:11" ht="15.6" thickTop="1" thickBot="1" x14ac:dyDescent="0.35">
      <c r="A144" s="4">
        <v>45482</v>
      </c>
      <c r="B144" s="5" t="s">
        <v>11</v>
      </c>
      <c r="C144" s="5" t="s">
        <v>24</v>
      </c>
      <c r="D144" s="5" t="s">
        <v>23</v>
      </c>
      <c r="E144" s="5" t="s">
        <v>19</v>
      </c>
      <c r="F144" s="5">
        <v>19</v>
      </c>
      <c r="G144" s="5">
        <v>536</v>
      </c>
      <c r="H144" s="5">
        <v>927</v>
      </c>
      <c r="I144" s="6">
        <f t="shared" si="6"/>
        <v>10184</v>
      </c>
      <c r="J144" s="6">
        <f t="shared" si="7"/>
        <v>17613</v>
      </c>
      <c r="K144" s="6">
        <f t="shared" si="8"/>
        <v>7429</v>
      </c>
    </row>
    <row r="145" spans="1:11" ht="15.6" thickTop="1" thickBot="1" x14ac:dyDescent="0.35">
      <c r="A145" s="4">
        <v>45526</v>
      </c>
      <c r="B145" s="5" t="s">
        <v>27</v>
      </c>
      <c r="C145" s="5" t="s">
        <v>40</v>
      </c>
      <c r="D145" s="5" t="s">
        <v>34</v>
      </c>
      <c r="E145" s="5" t="s">
        <v>14</v>
      </c>
      <c r="F145" s="5">
        <v>23</v>
      </c>
      <c r="G145" s="5">
        <v>923</v>
      </c>
      <c r="H145" s="5">
        <v>897</v>
      </c>
      <c r="I145" s="6">
        <f t="shared" si="6"/>
        <v>21229</v>
      </c>
      <c r="J145" s="6">
        <f t="shared" si="7"/>
        <v>20631</v>
      </c>
      <c r="K145" s="6">
        <f t="shared" si="8"/>
        <v>-598</v>
      </c>
    </row>
    <row r="146" spans="1:11" ht="15.6" thickTop="1" thickBot="1" x14ac:dyDescent="0.35">
      <c r="A146" s="4">
        <v>45483</v>
      </c>
      <c r="B146" s="5" t="s">
        <v>11</v>
      </c>
      <c r="C146" s="5" t="s">
        <v>24</v>
      </c>
      <c r="D146" s="5" t="s">
        <v>25</v>
      </c>
      <c r="E146" s="5" t="s">
        <v>14</v>
      </c>
      <c r="F146" s="5">
        <v>11</v>
      </c>
      <c r="G146" s="5">
        <v>991</v>
      </c>
      <c r="H146" s="5">
        <v>803</v>
      </c>
      <c r="I146" s="6">
        <f t="shared" si="6"/>
        <v>10901</v>
      </c>
      <c r="J146" s="6">
        <f t="shared" si="7"/>
        <v>8833</v>
      </c>
      <c r="K146" s="6">
        <f t="shared" si="8"/>
        <v>-2068</v>
      </c>
    </row>
    <row r="147" spans="1:11" ht="15.6" thickTop="1" thickBot="1" x14ac:dyDescent="0.35">
      <c r="A147" s="4">
        <v>45510</v>
      </c>
      <c r="B147" s="5" t="s">
        <v>11</v>
      </c>
      <c r="C147" s="5" t="s">
        <v>24</v>
      </c>
      <c r="D147" s="5" t="s">
        <v>26</v>
      </c>
      <c r="E147" s="5" t="s">
        <v>14</v>
      </c>
      <c r="F147" s="5">
        <v>10</v>
      </c>
      <c r="G147" s="5">
        <v>844</v>
      </c>
      <c r="H147" s="5">
        <v>865</v>
      </c>
      <c r="I147" s="6">
        <f t="shared" si="6"/>
        <v>8440</v>
      </c>
      <c r="J147" s="6">
        <f t="shared" si="7"/>
        <v>8650</v>
      </c>
      <c r="K147" s="6">
        <f t="shared" si="8"/>
        <v>210</v>
      </c>
    </row>
    <row r="148" spans="1:11" ht="15.6" thickTop="1" thickBot="1" x14ac:dyDescent="0.35">
      <c r="A148" s="4">
        <v>45511</v>
      </c>
      <c r="B148" s="5" t="s">
        <v>11</v>
      </c>
      <c r="C148" s="5" t="s">
        <v>24</v>
      </c>
      <c r="D148" s="5" t="s">
        <v>32</v>
      </c>
      <c r="E148" s="5" t="s">
        <v>14</v>
      </c>
      <c r="F148" s="5">
        <v>20</v>
      </c>
      <c r="G148" s="5">
        <v>803</v>
      </c>
      <c r="H148" s="5">
        <v>1377</v>
      </c>
      <c r="I148" s="6">
        <f t="shared" si="6"/>
        <v>16060</v>
      </c>
      <c r="J148" s="6">
        <f t="shared" si="7"/>
        <v>27540</v>
      </c>
      <c r="K148" s="6">
        <f t="shared" si="8"/>
        <v>11480</v>
      </c>
    </row>
    <row r="149" spans="1:11" ht="15.6" thickTop="1" thickBot="1" x14ac:dyDescent="0.35">
      <c r="A149" s="4">
        <v>45513</v>
      </c>
      <c r="B149" s="5" t="s">
        <v>11</v>
      </c>
      <c r="C149" s="5" t="s">
        <v>24</v>
      </c>
      <c r="D149" s="5" t="s">
        <v>25</v>
      </c>
      <c r="E149" s="5" t="s">
        <v>14</v>
      </c>
      <c r="F149" s="5">
        <v>12</v>
      </c>
      <c r="G149" s="5">
        <v>606</v>
      </c>
      <c r="H149" s="5">
        <v>1154</v>
      </c>
      <c r="I149" s="6">
        <f t="shared" si="6"/>
        <v>7272</v>
      </c>
      <c r="J149" s="6">
        <f t="shared" si="7"/>
        <v>13848</v>
      </c>
      <c r="K149" s="6">
        <f t="shared" si="8"/>
        <v>6576</v>
      </c>
    </row>
    <row r="150" spans="1:11" ht="15.6" thickTop="1" thickBot="1" x14ac:dyDescent="0.35">
      <c r="A150" s="4">
        <v>45514</v>
      </c>
      <c r="B150" s="5" t="s">
        <v>11</v>
      </c>
      <c r="C150" s="5" t="s">
        <v>24</v>
      </c>
      <c r="D150" s="5" t="s">
        <v>25</v>
      </c>
      <c r="E150" s="5" t="s">
        <v>14</v>
      </c>
      <c r="F150" s="5">
        <v>11</v>
      </c>
      <c r="G150" s="5">
        <v>622</v>
      </c>
      <c r="H150" s="5">
        <v>767</v>
      </c>
      <c r="I150" s="6">
        <f t="shared" si="6"/>
        <v>6842</v>
      </c>
      <c r="J150" s="6">
        <f t="shared" si="7"/>
        <v>8437</v>
      </c>
      <c r="K150" s="6">
        <f t="shared" si="8"/>
        <v>1595</v>
      </c>
    </row>
    <row r="151" spans="1:11" ht="15.6" thickTop="1" thickBot="1" x14ac:dyDescent="0.35">
      <c r="A151" s="4">
        <v>45515</v>
      </c>
      <c r="B151" s="5" t="s">
        <v>11</v>
      </c>
      <c r="C151" s="5" t="s">
        <v>24</v>
      </c>
      <c r="D151" s="5" t="s">
        <v>26</v>
      </c>
      <c r="E151" s="5" t="s">
        <v>19</v>
      </c>
      <c r="F151" s="5">
        <v>17</v>
      </c>
      <c r="G151" s="5">
        <v>671</v>
      </c>
      <c r="H151" s="5">
        <v>906</v>
      </c>
      <c r="I151" s="6">
        <f t="shared" si="6"/>
        <v>11407</v>
      </c>
      <c r="J151" s="6">
        <f t="shared" si="7"/>
        <v>15402</v>
      </c>
      <c r="K151" s="6">
        <f t="shared" si="8"/>
        <v>3995</v>
      </c>
    </row>
    <row r="152" spans="1:11" ht="15.6" thickTop="1" thickBot="1" x14ac:dyDescent="0.35">
      <c r="A152" s="4">
        <v>45516</v>
      </c>
      <c r="B152" s="5" t="s">
        <v>11</v>
      </c>
      <c r="C152" s="5" t="s">
        <v>24</v>
      </c>
      <c r="D152" s="5" t="s">
        <v>18</v>
      </c>
      <c r="E152" s="5" t="s">
        <v>19</v>
      </c>
      <c r="F152" s="5">
        <v>12</v>
      </c>
      <c r="G152" s="5">
        <v>814</v>
      </c>
      <c r="H152" s="5">
        <v>1392</v>
      </c>
      <c r="I152" s="6">
        <f t="shared" si="6"/>
        <v>9768</v>
      </c>
      <c r="J152" s="6">
        <f t="shared" si="7"/>
        <v>16704</v>
      </c>
      <c r="K152" s="6">
        <f t="shared" si="8"/>
        <v>6936</v>
      </c>
    </row>
    <row r="153" spans="1:11" ht="15.6" thickTop="1" thickBot="1" x14ac:dyDescent="0.35">
      <c r="A153" s="4">
        <v>45543</v>
      </c>
      <c r="B153" s="5" t="s">
        <v>11</v>
      </c>
      <c r="C153" s="5" t="s">
        <v>24</v>
      </c>
      <c r="D153" s="5" t="s">
        <v>35</v>
      </c>
      <c r="E153" s="5" t="s">
        <v>19</v>
      </c>
      <c r="F153" s="5">
        <v>11</v>
      </c>
      <c r="G153" s="5">
        <v>960</v>
      </c>
      <c r="H153" s="5">
        <v>939</v>
      </c>
      <c r="I153" s="6">
        <f t="shared" si="6"/>
        <v>10560</v>
      </c>
      <c r="J153" s="6">
        <f t="shared" si="7"/>
        <v>10329</v>
      </c>
      <c r="K153" s="6">
        <f t="shared" si="8"/>
        <v>-231</v>
      </c>
    </row>
    <row r="154" spans="1:11" ht="15.6" thickTop="1" thickBot="1" x14ac:dyDescent="0.35">
      <c r="A154" s="4">
        <v>45535</v>
      </c>
      <c r="B154" s="5" t="s">
        <v>21</v>
      </c>
      <c r="C154" s="5" t="s">
        <v>38</v>
      </c>
      <c r="D154" s="5" t="s">
        <v>15</v>
      </c>
      <c r="E154" s="5" t="s">
        <v>19</v>
      </c>
      <c r="F154" s="5">
        <v>89</v>
      </c>
      <c r="G154" s="5">
        <v>910</v>
      </c>
      <c r="H154" s="5">
        <v>1261</v>
      </c>
      <c r="I154" s="6">
        <f t="shared" si="6"/>
        <v>80990</v>
      </c>
      <c r="J154" s="6">
        <f t="shared" si="7"/>
        <v>112229</v>
      </c>
      <c r="K154" s="6">
        <f t="shared" si="8"/>
        <v>31239</v>
      </c>
    </row>
    <row r="155" spans="1:11" ht="15.6" thickTop="1" thickBot="1" x14ac:dyDescent="0.35">
      <c r="A155" s="4">
        <v>45544</v>
      </c>
      <c r="B155" s="5" t="s">
        <v>11</v>
      </c>
      <c r="C155" s="5" t="s">
        <v>24</v>
      </c>
      <c r="D155" s="5" t="s">
        <v>26</v>
      </c>
      <c r="E155" s="5" t="s">
        <v>19</v>
      </c>
      <c r="F155" s="5">
        <v>10</v>
      </c>
      <c r="G155" s="5">
        <v>654</v>
      </c>
      <c r="H155" s="5">
        <v>1029</v>
      </c>
      <c r="I155" s="6">
        <f t="shared" si="6"/>
        <v>6540</v>
      </c>
      <c r="J155" s="6">
        <f t="shared" si="7"/>
        <v>10290</v>
      </c>
      <c r="K155" s="6">
        <f t="shared" si="8"/>
        <v>3750</v>
      </c>
    </row>
    <row r="156" spans="1:11" ht="15.6" thickTop="1" thickBot="1" x14ac:dyDescent="0.35">
      <c r="A156" s="4">
        <v>45545</v>
      </c>
      <c r="B156" s="5" t="s">
        <v>11</v>
      </c>
      <c r="C156" s="5" t="s">
        <v>24</v>
      </c>
      <c r="D156" s="5" t="s">
        <v>17</v>
      </c>
      <c r="E156" s="5" t="s">
        <v>19</v>
      </c>
      <c r="F156" s="5">
        <v>14</v>
      </c>
      <c r="G156" s="5">
        <v>504</v>
      </c>
      <c r="H156" s="5">
        <v>1130</v>
      </c>
      <c r="I156" s="6">
        <f t="shared" si="6"/>
        <v>7056</v>
      </c>
      <c r="J156" s="6">
        <f t="shared" si="7"/>
        <v>15820</v>
      </c>
      <c r="K156" s="6">
        <f t="shared" si="8"/>
        <v>8764</v>
      </c>
    </row>
    <row r="157" spans="1:11" ht="15.6" thickTop="1" thickBot="1" x14ac:dyDescent="0.35">
      <c r="A157" s="4">
        <v>45546</v>
      </c>
      <c r="B157" s="5" t="s">
        <v>11</v>
      </c>
      <c r="C157" s="5" t="s">
        <v>24</v>
      </c>
      <c r="D157" s="5" t="s">
        <v>34</v>
      </c>
      <c r="E157" s="5" t="s">
        <v>19</v>
      </c>
      <c r="F157" s="5">
        <v>12</v>
      </c>
      <c r="G157" s="5">
        <v>886</v>
      </c>
      <c r="H157" s="5">
        <v>1233</v>
      </c>
      <c r="I157" s="6">
        <f t="shared" si="6"/>
        <v>10632</v>
      </c>
      <c r="J157" s="6">
        <f t="shared" si="7"/>
        <v>14796</v>
      </c>
      <c r="K157" s="6">
        <f t="shared" si="8"/>
        <v>4164</v>
      </c>
    </row>
    <row r="158" spans="1:11" ht="15.6" thickTop="1" thickBot="1" x14ac:dyDescent="0.35">
      <c r="A158" s="4">
        <v>45547</v>
      </c>
      <c r="B158" s="5" t="s">
        <v>11</v>
      </c>
      <c r="C158" s="5" t="s">
        <v>24</v>
      </c>
      <c r="D158" s="5" t="s">
        <v>36</v>
      </c>
      <c r="E158" s="5" t="s">
        <v>14</v>
      </c>
      <c r="F158" s="5">
        <v>10</v>
      </c>
      <c r="G158" s="5">
        <v>554</v>
      </c>
      <c r="H158" s="5">
        <v>1210</v>
      </c>
      <c r="I158" s="6">
        <f t="shared" si="6"/>
        <v>5540</v>
      </c>
      <c r="J158" s="6">
        <f t="shared" si="7"/>
        <v>12100</v>
      </c>
      <c r="K158" s="6">
        <f t="shared" si="8"/>
        <v>6560</v>
      </c>
    </row>
    <row r="159" spans="1:11" ht="15.6" thickTop="1" thickBot="1" x14ac:dyDescent="0.35">
      <c r="A159" s="4">
        <v>45540</v>
      </c>
      <c r="B159" s="5" t="s">
        <v>21</v>
      </c>
      <c r="C159" s="5" t="s">
        <v>41</v>
      </c>
      <c r="D159" s="5" t="s">
        <v>20</v>
      </c>
      <c r="E159" s="5" t="s">
        <v>14</v>
      </c>
      <c r="F159" s="5">
        <v>59</v>
      </c>
      <c r="G159" s="5">
        <v>764</v>
      </c>
      <c r="H159" s="5">
        <v>1365</v>
      </c>
      <c r="I159" s="6">
        <f t="shared" si="6"/>
        <v>45076</v>
      </c>
      <c r="J159" s="6">
        <f t="shared" si="7"/>
        <v>80535</v>
      </c>
      <c r="K159" s="6">
        <f t="shared" si="8"/>
        <v>35459</v>
      </c>
    </row>
    <row r="160" spans="1:11" ht="15.6" thickTop="1" thickBot="1" x14ac:dyDescent="0.35">
      <c r="A160" s="4">
        <v>45548</v>
      </c>
      <c r="B160" s="5" t="s">
        <v>11</v>
      </c>
      <c r="C160" s="5" t="s">
        <v>24</v>
      </c>
      <c r="D160" s="5" t="s">
        <v>37</v>
      </c>
      <c r="E160" s="5" t="s">
        <v>14</v>
      </c>
      <c r="F160" s="5">
        <v>14</v>
      </c>
      <c r="G160" s="5">
        <v>933</v>
      </c>
      <c r="H160" s="5">
        <v>1064</v>
      </c>
      <c r="I160" s="6">
        <f t="shared" si="6"/>
        <v>13062</v>
      </c>
      <c r="J160" s="6">
        <f t="shared" si="7"/>
        <v>14896</v>
      </c>
      <c r="K160" s="6">
        <f t="shared" si="8"/>
        <v>1834</v>
      </c>
    </row>
    <row r="161" spans="1:11" ht="15.6" thickTop="1" thickBot="1" x14ac:dyDescent="0.35">
      <c r="A161" s="4">
        <v>45550</v>
      </c>
      <c r="B161" s="5" t="s">
        <v>11</v>
      </c>
      <c r="C161" s="5" t="s">
        <v>24</v>
      </c>
      <c r="D161" s="5" t="s">
        <v>26</v>
      </c>
      <c r="E161" s="5" t="s">
        <v>14</v>
      </c>
      <c r="F161" s="5">
        <v>15</v>
      </c>
      <c r="G161" s="5">
        <v>674</v>
      </c>
      <c r="H161" s="5">
        <v>1125</v>
      </c>
      <c r="I161" s="6">
        <f t="shared" si="6"/>
        <v>10110</v>
      </c>
      <c r="J161" s="6">
        <f t="shared" si="7"/>
        <v>16875</v>
      </c>
      <c r="K161" s="6">
        <f t="shared" si="8"/>
        <v>6765</v>
      </c>
    </row>
    <row r="162" spans="1:11" ht="15.6" thickTop="1" thickBot="1" x14ac:dyDescent="0.35">
      <c r="A162" s="4">
        <v>45551</v>
      </c>
      <c r="B162" s="5" t="s">
        <v>11</v>
      </c>
      <c r="C162" s="5" t="s">
        <v>24</v>
      </c>
      <c r="D162" s="5" t="s">
        <v>32</v>
      </c>
      <c r="E162" s="5" t="s">
        <v>14</v>
      </c>
      <c r="F162" s="5">
        <v>20</v>
      </c>
      <c r="G162" s="5">
        <v>529</v>
      </c>
      <c r="H162" s="5">
        <v>1455</v>
      </c>
      <c r="I162" s="6">
        <f t="shared" si="6"/>
        <v>10580</v>
      </c>
      <c r="J162" s="6">
        <f t="shared" si="7"/>
        <v>29100</v>
      </c>
      <c r="K162" s="6">
        <f t="shared" si="8"/>
        <v>18520</v>
      </c>
    </row>
    <row r="163" spans="1:11" ht="15.6" thickTop="1" thickBot="1" x14ac:dyDescent="0.35">
      <c r="A163" s="4">
        <v>45552</v>
      </c>
      <c r="B163" s="5" t="s">
        <v>11</v>
      </c>
      <c r="C163" s="5" t="s">
        <v>24</v>
      </c>
      <c r="D163" s="5" t="s">
        <v>23</v>
      </c>
      <c r="E163" s="5" t="s">
        <v>14</v>
      </c>
      <c r="F163" s="5">
        <v>18</v>
      </c>
      <c r="G163" s="5">
        <v>717</v>
      </c>
      <c r="H163" s="5">
        <v>833</v>
      </c>
      <c r="I163" s="6">
        <f t="shared" si="6"/>
        <v>12906</v>
      </c>
      <c r="J163" s="6">
        <f t="shared" si="7"/>
        <v>14994</v>
      </c>
      <c r="K163" s="6">
        <f t="shared" si="8"/>
        <v>2088</v>
      </c>
    </row>
    <row r="164" spans="1:11" ht="15.6" thickTop="1" thickBot="1" x14ac:dyDescent="0.35">
      <c r="A164" s="4">
        <v>45553</v>
      </c>
      <c r="B164" s="5" t="s">
        <v>11</v>
      </c>
      <c r="C164" s="5" t="s">
        <v>24</v>
      </c>
      <c r="D164" s="5" t="s">
        <v>25</v>
      </c>
      <c r="E164" s="5" t="s">
        <v>14</v>
      </c>
      <c r="F164" s="5">
        <v>17</v>
      </c>
      <c r="G164" s="5">
        <v>966</v>
      </c>
      <c r="H164" s="5">
        <v>1044</v>
      </c>
      <c r="I164" s="6">
        <f t="shared" si="6"/>
        <v>16422</v>
      </c>
      <c r="J164" s="6">
        <f t="shared" si="7"/>
        <v>17748</v>
      </c>
      <c r="K164" s="6">
        <f t="shared" si="8"/>
        <v>1326</v>
      </c>
    </row>
    <row r="165" spans="1:11" ht="15.6" thickTop="1" thickBot="1" x14ac:dyDescent="0.35">
      <c r="A165" s="4">
        <v>45562</v>
      </c>
      <c r="B165" s="5" t="s">
        <v>11</v>
      </c>
      <c r="C165" s="5" t="s">
        <v>12</v>
      </c>
      <c r="D165" s="5" t="s">
        <v>23</v>
      </c>
      <c r="E165" s="5" t="s">
        <v>19</v>
      </c>
      <c r="F165" s="5">
        <v>16</v>
      </c>
      <c r="G165" s="5">
        <v>599</v>
      </c>
      <c r="H165" s="5">
        <v>1490</v>
      </c>
      <c r="I165" s="6">
        <f t="shared" si="6"/>
        <v>9584</v>
      </c>
      <c r="J165" s="6">
        <f t="shared" si="7"/>
        <v>23840</v>
      </c>
      <c r="K165" s="6">
        <f t="shared" si="8"/>
        <v>14256</v>
      </c>
    </row>
    <row r="166" spans="1:11" ht="15.6" thickTop="1" thickBot="1" x14ac:dyDescent="0.35">
      <c r="A166" s="4">
        <v>45564</v>
      </c>
      <c r="B166" s="5" t="s">
        <v>11</v>
      </c>
      <c r="C166" s="5" t="s">
        <v>12</v>
      </c>
      <c r="D166" s="5" t="s">
        <v>25</v>
      </c>
      <c r="E166" s="5" t="s">
        <v>14</v>
      </c>
      <c r="F166" s="5">
        <v>12</v>
      </c>
      <c r="G166" s="5">
        <v>827</v>
      </c>
      <c r="H166" s="5">
        <v>955</v>
      </c>
      <c r="I166" s="6">
        <f t="shared" si="6"/>
        <v>9924</v>
      </c>
      <c r="J166" s="6">
        <f t="shared" si="7"/>
        <v>11460</v>
      </c>
      <c r="K166" s="6">
        <f t="shared" si="8"/>
        <v>1536</v>
      </c>
    </row>
    <row r="167" spans="1:11" ht="15.6" thickTop="1" thickBot="1" x14ac:dyDescent="0.35">
      <c r="A167" s="4">
        <v>45566</v>
      </c>
      <c r="B167" s="5" t="s">
        <v>11</v>
      </c>
      <c r="C167" s="5" t="s">
        <v>12</v>
      </c>
      <c r="D167" s="5" t="s">
        <v>34</v>
      </c>
      <c r="E167" s="5" t="s">
        <v>14</v>
      </c>
      <c r="F167" s="5">
        <v>17</v>
      </c>
      <c r="G167" s="5">
        <v>932</v>
      </c>
      <c r="H167" s="5">
        <v>808</v>
      </c>
      <c r="I167" s="6">
        <f t="shared" si="6"/>
        <v>15844</v>
      </c>
      <c r="J167" s="6">
        <f t="shared" si="7"/>
        <v>13736</v>
      </c>
      <c r="K167" s="6">
        <f t="shared" si="8"/>
        <v>-2108</v>
      </c>
    </row>
    <row r="168" spans="1:11" ht="15.6" thickTop="1" thickBot="1" x14ac:dyDescent="0.35">
      <c r="A168" s="4">
        <v>45549</v>
      </c>
      <c r="B168" s="5" t="s">
        <v>11</v>
      </c>
      <c r="C168" s="5" t="s">
        <v>24</v>
      </c>
      <c r="D168" s="5" t="s">
        <v>23</v>
      </c>
      <c r="E168" s="5" t="s">
        <v>14</v>
      </c>
      <c r="F168" s="5">
        <v>14</v>
      </c>
      <c r="G168" s="5">
        <v>857</v>
      </c>
      <c r="H168" s="5">
        <v>767</v>
      </c>
      <c r="I168" s="6">
        <f t="shared" si="6"/>
        <v>11998</v>
      </c>
      <c r="J168" s="6">
        <f t="shared" si="7"/>
        <v>10738</v>
      </c>
      <c r="K168" s="6">
        <f t="shared" si="8"/>
        <v>-1260</v>
      </c>
    </row>
    <row r="169" spans="1:11" ht="15.6" thickTop="1" thickBot="1" x14ac:dyDescent="0.35">
      <c r="A169" s="4">
        <v>45567</v>
      </c>
      <c r="B169" s="5" t="s">
        <v>11</v>
      </c>
      <c r="C169" s="5" t="s">
        <v>12</v>
      </c>
      <c r="D169" s="5" t="s">
        <v>32</v>
      </c>
      <c r="E169" s="5" t="s">
        <v>14</v>
      </c>
      <c r="F169" s="5">
        <v>11</v>
      </c>
      <c r="G169" s="5">
        <v>654</v>
      </c>
      <c r="H169" s="5">
        <v>767</v>
      </c>
      <c r="I169" s="6">
        <f t="shared" si="6"/>
        <v>7194</v>
      </c>
      <c r="J169" s="6">
        <f t="shared" si="7"/>
        <v>8437</v>
      </c>
      <c r="K169" s="6">
        <f t="shared" si="8"/>
        <v>1243</v>
      </c>
    </row>
    <row r="170" spans="1:11" ht="15.6" thickTop="1" thickBot="1" x14ac:dyDescent="0.35">
      <c r="A170" s="4">
        <v>45568</v>
      </c>
      <c r="B170" s="5" t="s">
        <v>11</v>
      </c>
      <c r="C170" s="5" t="s">
        <v>12</v>
      </c>
      <c r="D170" s="5" t="s">
        <v>25</v>
      </c>
      <c r="E170" s="5" t="s">
        <v>14</v>
      </c>
      <c r="F170" s="5">
        <v>19</v>
      </c>
      <c r="G170" s="5">
        <v>764</v>
      </c>
      <c r="H170" s="5">
        <v>1069</v>
      </c>
      <c r="I170" s="6">
        <f t="shared" si="6"/>
        <v>14516</v>
      </c>
      <c r="J170" s="6">
        <f t="shared" si="7"/>
        <v>20311</v>
      </c>
      <c r="K170" s="6">
        <f t="shared" si="8"/>
        <v>5795</v>
      </c>
    </row>
    <row r="171" spans="1:11" ht="15.6" thickTop="1" thickBot="1" x14ac:dyDescent="0.35">
      <c r="A171" s="4">
        <v>45580</v>
      </c>
      <c r="B171" s="5" t="s">
        <v>11</v>
      </c>
      <c r="C171" s="5" t="s">
        <v>24</v>
      </c>
      <c r="D171" s="5" t="s">
        <v>20</v>
      </c>
      <c r="E171" s="5" t="s">
        <v>19</v>
      </c>
      <c r="F171" s="5">
        <v>15</v>
      </c>
      <c r="G171" s="5">
        <v>906</v>
      </c>
      <c r="H171" s="5">
        <v>1485</v>
      </c>
      <c r="I171" s="6">
        <f t="shared" si="6"/>
        <v>13590</v>
      </c>
      <c r="J171" s="6">
        <f t="shared" si="7"/>
        <v>22275</v>
      </c>
      <c r="K171" s="6">
        <f t="shared" si="8"/>
        <v>8685</v>
      </c>
    </row>
    <row r="172" spans="1:11" ht="15.6" thickTop="1" thickBot="1" x14ac:dyDescent="0.35">
      <c r="A172" s="4">
        <v>45581</v>
      </c>
      <c r="B172" s="5" t="s">
        <v>11</v>
      </c>
      <c r="C172" s="5" t="s">
        <v>24</v>
      </c>
      <c r="D172" s="5" t="s">
        <v>17</v>
      </c>
      <c r="E172" s="5" t="s">
        <v>19</v>
      </c>
      <c r="F172" s="5">
        <v>20</v>
      </c>
      <c r="G172" s="5">
        <v>780</v>
      </c>
      <c r="H172" s="5">
        <v>783</v>
      </c>
      <c r="I172" s="6">
        <f t="shared" si="6"/>
        <v>15600</v>
      </c>
      <c r="J172" s="6">
        <f t="shared" si="7"/>
        <v>15660</v>
      </c>
      <c r="K172" s="6">
        <f t="shared" si="8"/>
        <v>60</v>
      </c>
    </row>
    <row r="173" spans="1:11" ht="15.6" thickTop="1" thickBot="1" x14ac:dyDescent="0.35">
      <c r="A173" s="4">
        <v>45554</v>
      </c>
      <c r="B173" s="5" t="s">
        <v>11</v>
      </c>
      <c r="C173" s="5" t="s">
        <v>24</v>
      </c>
      <c r="D173" s="5" t="s">
        <v>25</v>
      </c>
      <c r="E173" s="5" t="s">
        <v>19</v>
      </c>
      <c r="F173" s="5">
        <v>14</v>
      </c>
      <c r="G173" s="5">
        <v>515</v>
      </c>
      <c r="H173" s="5">
        <v>1230</v>
      </c>
      <c r="I173" s="6">
        <f t="shared" si="6"/>
        <v>7210</v>
      </c>
      <c r="J173" s="6">
        <f t="shared" si="7"/>
        <v>17220</v>
      </c>
      <c r="K173" s="6">
        <f t="shared" si="8"/>
        <v>10010</v>
      </c>
    </row>
    <row r="174" spans="1:11" ht="15.6" thickTop="1" thickBot="1" x14ac:dyDescent="0.35">
      <c r="A174" s="4">
        <v>45582</v>
      </c>
      <c r="B174" s="5" t="s">
        <v>11</v>
      </c>
      <c r="C174" s="5" t="s">
        <v>24</v>
      </c>
      <c r="D174" s="5" t="s">
        <v>36</v>
      </c>
      <c r="E174" s="5" t="s">
        <v>19</v>
      </c>
      <c r="F174" s="5">
        <v>17</v>
      </c>
      <c r="G174" s="5">
        <v>747</v>
      </c>
      <c r="H174" s="5">
        <v>1190</v>
      </c>
      <c r="I174" s="6">
        <f t="shared" si="6"/>
        <v>12699</v>
      </c>
      <c r="J174" s="6">
        <f t="shared" si="7"/>
        <v>20230</v>
      </c>
      <c r="K174" s="6">
        <f t="shared" si="8"/>
        <v>7531</v>
      </c>
    </row>
    <row r="175" spans="1:11" ht="15.6" thickTop="1" thickBot="1" x14ac:dyDescent="0.35">
      <c r="A175" s="4">
        <v>45584</v>
      </c>
      <c r="B175" s="5" t="s">
        <v>11</v>
      </c>
      <c r="C175" s="5" t="s">
        <v>24</v>
      </c>
      <c r="D175" s="5" t="s">
        <v>23</v>
      </c>
      <c r="E175" s="5" t="s">
        <v>14</v>
      </c>
      <c r="F175" s="5">
        <v>15</v>
      </c>
      <c r="G175" s="5">
        <v>747</v>
      </c>
      <c r="H175" s="5">
        <v>966</v>
      </c>
      <c r="I175" s="6">
        <f t="shared" si="6"/>
        <v>11205</v>
      </c>
      <c r="J175" s="6">
        <f t="shared" si="7"/>
        <v>14490</v>
      </c>
      <c r="K175" s="6">
        <f t="shared" si="8"/>
        <v>3285</v>
      </c>
    </row>
    <row r="176" spans="1:11" ht="15.6" thickTop="1" thickBot="1" x14ac:dyDescent="0.35">
      <c r="A176" s="4">
        <v>45585</v>
      </c>
      <c r="B176" s="5" t="s">
        <v>11</v>
      </c>
      <c r="C176" s="5" t="s">
        <v>24</v>
      </c>
      <c r="D176" s="5" t="s">
        <v>25</v>
      </c>
      <c r="E176" s="5" t="s">
        <v>14</v>
      </c>
      <c r="F176" s="5">
        <v>20</v>
      </c>
      <c r="G176" s="5">
        <v>844</v>
      </c>
      <c r="H176" s="5">
        <v>1010</v>
      </c>
      <c r="I176" s="6">
        <f t="shared" si="6"/>
        <v>16880</v>
      </c>
      <c r="J176" s="6">
        <f t="shared" si="7"/>
        <v>20200</v>
      </c>
      <c r="K176" s="6">
        <f t="shared" si="8"/>
        <v>3320</v>
      </c>
    </row>
    <row r="177" spans="1:11" ht="15.6" thickTop="1" thickBot="1" x14ac:dyDescent="0.35">
      <c r="A177" s="4">
        <v>45587</v>
      </c>
      <c r="B177" s="5" t="s">
        <v>11</v>
      </c>
      <c r="C177" s="5" t="s">
        <v>24</v>
      </c>
      <c r="D177" s="5" t="s">
        <v>34</v>
      </c>
      <c r="E177" s="5" t="s">
        <v>14</v>
      </c>
      <c r="F177" s="5">
        <v>14</v>
      </c>
      <c r="G177" s="5">
        <v>799</v>
      </c>
      <c r="H177" s="5">
        <v>1154</v>
      </c>
      <c r="I177" s="6">
        <f t="shared" si="6"/>
        <v>11186</v>
      </c>
      <c r="J177" s="6">
        <f t="shared" si="7"/>
        <v>16156</v>
      </c>
      <c r="K177" s="6">
        <f t="shared" si="8"/>
        <v>4970</v>
      </c>
    </row>
    <row r="178" spans="1:11" ht="15.6" thickTop="1" thickBot="1" x14ac:dyDescent="0.35">
      <c r="A178" s="4">
        <v>45659</v>
      </c>
      <c r="B178" s="5" t="s">
        <v>11</v>
      </c>
      <c r="C178" s="5" t="s">
        <v>12</v>
      </c>
      <c r="D178" s="5" t="s">
        <v>17</v>
      </c>
      <c r="E178" s="5" t="s">
        <v>14</v>
      </c>
      <c r="F178" s="5">
        <v>19</v>
      </c>
      <c r="G178" s="5">
        <v>608</v>
      </c>
      <c r="H178" s="5">
        <v>1032</v>
      </c>
      <c r="I178" s="6">
        <f t="shared" si="6"/>
        <v>11552</v>
      </c>
      <c r="J178" s="6">
        <f t="shared" si="7"/>
        <v>19608</v>
      </c>
      <c r="K178" s="6">
        <f t="shared" si="8"/>
        <v>8056</v>
      </c>
    </row>
    <row r="179" spans="1:11" ht="15.6" thickTop="1" thickBot="1" x14ac:dyDescent="0.35">
      <c r="A179" s="4">
        <v>45661</v>
      </c>
      <c r="B179" s="5" t="s">
        <v>11</v>
      </c>
      <c r="C179" s="5" t="s">
        <v>12</v>
      </c>
      <c r="D179" s="5" t="s">
        <v>35</v>
      </c>
      <c r="E179" s="5" t="s">
        <v>14</v>
      </c>
      <c r="F179" s="5">
        <v>14</v>
      </c>
      <c r="G179" s="5">
        <v>579</v>
      </c>
      <c r="H179" s="5">
        <v>907</v>
      </c>
      <c r="I179" s="6">
        <f t="shared" si="6"/>
        <v>8106</v>
      </c>
      <c r="J179" s="6">
        <f t="shared" si="7"/>
        <v>12698</v>
      </c>
      <c r="K179" s="6">
        <f t="shared" si="8"/>
        <v>4592</v>
      </c>
    </row>
    <row r="180" spans="1:11" ht="15.6" thickTop="1" thickBot="1" x14ac:dyDescent="0.35">
      <c r="A180" s="4">
        <v>45663</v>
      </c>
      <c r="B180" s="5" t="s">
        <v>11</v>
      </c>
      <c r="C180" s="5" t="s">
        <v>12</v>
      </c>
      <c r="D180" s="5" t="s">
        <v>15</v>
      </c>
      <c r="E180" s="5" t="s">
        <v>14</v>
      </c>
      <c r="F180" s="5">
        <v>17</v>
      </c>
      <c r="G180" s="5">
        <v>825</v>
      </c>
      <c r="H180" s="5">
        <v>1080</v>
      </c>
      <c r="I180" s="6">
        <f t="shared" si="6"/>
        <v>14025</v>
      </c>
      <c r="J180" s="6">
        <f t="shared" si="7"/>
        <v>18360</v>
      </c>
      <c r="K180" s="6">
        <f t="shared" si="8"/>
        <v>4335</v>
      </c>
    </row>
    <row r="181" spans="1:11" ht="15.6" thickTop="1" thickBot="1" x14ac:dyDescent="0.35">
      <c r="A181" s="4">
        <v>45665</v>
      </c>
      <c r="B181" s="5" t="s">
        <v>11</v>
      </c>
      <c r="C181" s="5" t="s">
        <v>12</v>
      </c>
      <c r="D181" s="5" t="s">
        <v>17</v>
      </c>
      <c r="E181" s="5" t="s">
        <v>19</v>
      </c>
      <c r="F181" s="5">
        <v>15</v>
      </c>
      <c r="G181" s="5">
        <v>827</v>
      </c>
      <c r="H181" s="5">
        <v>931</v>
      </c>
      <c r="I181" s="6">
        <f t="shared" si="6"/>
        <v>12405</v>
      </c>
      <c r="J181" s="6">
        <f t="shared" si="7"/>
        <v>13965</v>
      </c>
      <c r="K181" s="6">
        <f t="shared" si="8"/>
        <v>1560</v>
      </c>
    </row>
    <row r="182" spans="1:11" ht="15.6" thickTop="1" thickBot="1" x14ac:dyDescent="0.35">
      <c r="A182" s="4">
        <v>45563</v>
      </c>
      <c r="B182" s="5" t="s">
        <v>11</v>
      </c>
      <c r="C182" s="5" t="s">
        <v>12</v>
      </c>
      <c r="D182" s="5" t="s">
        <v>25</v>
      </c>
      <c r="E182" s="5" t="s">
        <v>14</v>
      </c>
      <c r="F182" s="5">
        <v>15</v>
      </c>
      <c r="G182" s="5">
        <v>650</v>
      </c>
      <c r="H182" s="5">
        <v>1347</v>
      </c>
      <c r="I182" s="6">
        <f t="shared" si="6"/>
        <v>9750</v>
      </c>
      <c r="J182" s="6">
        <f t="shared" si="7"/>
        <v>20205</v>
      </c>
      <c r="K182" s="6">
        <f t="shared" si="8"/>
        <v>10455</v>
      </c>
    </row>
    <row r="183" spans="1:11" ht="15.6" thickTop="1" thickBot="1" x14ac:dyDescent="0.35">
      <c r="A183" s="4">
        <v>45678</v>
      </c>
      <c r="B183" s="5" t="s">
        <v>11</v>
      </c>
      <c r="C183" s="5" t="s">
        <v>24</v>
      </c>
      <c r="D183" s="5" t="s">
        <v>13</v>
      </c>
      <c r="E183" s="5" t="s">
        <v>14</v>
      </c>
      <c r="F183" s="5">
        <v>20</v>
      </c>
      <c r="G183" s="5">
        <v>900</v>
      </c>
      <c r="H183" s="5">
        <v>1431</v>
      </c>
      <c r="I183" s="6">
        <f t="shared" si="6"/>
        <v>18000</v>
      </c>
      <c r="J183" s="6">
        <f t="shared" si="7"/>
        <v>28620</v>
      </c>
      <c r="K183" s="6">
        <f t="shared" si="8"/>
        <v>10620</v>
      </c>
    </row>
    <row r="184" spans="1:11" ht="15.6" thickTop="1" thickBot="1" x14ac:dyDescent="0.35">
      <c r="A184" s="4">
        <v>45565</v>
      </c>
      <c r="B184" s="5" t="s">
        <v>11</v>
      </c>
      <c r="C184" s="5" t="s">
        <v>12</v>
      </c>
      <c r="D184" s="5" t="s">
        <v>34</v>
      </c>
      <c r="E184" s="5" t="s">
        <v>14</v>
      </c>
      <c r="F184" s="5">
        <v>15</v>
      </c>
      <c r="G184" s="5">
        <v>825</v>
      </c>
      <c r="H184" s="5">
        <v>947</v>
      </c>
      <c r="I184" s="6">
        <f t="shared" si="6"/>
        <v>12375</v>
      </c>
      <c r="J184" s="6">
        <f t="shared" si="7"/>
        <v>14205</v>
      </c>
      <c r="K184" s="6">
        <f t="shared" si="8"/>
        <v>1830</v>
      </c>
    </row>
    <row r="185" spans="1:11" ht="15.6" thickTop="1" thickBot="1" x14ac:dyDescent="0.35">
      <c r="A185" s="4">
        <v>45679</v>
      </c>
      <c r="B185" s="5" t="s">
        <v>11</v>
      </c>
      <c r="C185" s="5" t="s">
        <v>24</v>
      </c>
      <c r="D185" s="5" t="s">
        <v>15</v>
      </c>
      <c r="E185" s="5" t="s">
        <v>14</v>
      </c>
      <c r="F185" s="5">
        <v>19</v>
      </c>
      <c r="G185" s="5">
        <v>791</v>
      </c>
      <c r="H185" s="5">
        <v>965</v>
      </c>
      <c r="I185" s="6">
        <f t="shared" si="6"/>
        <v>15029</v>
      </c>
      <c r="J185" s="6">
        <f t="shared" si="7"/>
        <v>18335</v>
      </c>
      <c r="K185" s="6">
        <f t="shared" si="8"/>
        <v>3306</v>
      </c>
    </row>
    <row r="186" spans="1:11" ht="15.6" thickTop="1" thickBot="1" x14ac:dyDescent="0.35">
      <c r="A186" s="4">
        <v>45680</v>
      </c>
      <c r="B186" s="5" t="s">
        <v>11</v>
      </c>
      <c r="C186" s="5" t="s">
        <v>24</v>
      </c>
      <c r="D186" s="5" t="s">
        <v>16</v>
      </c>
      <c r="E186" s="5" t="s">
        <v>14</v>
      </c>
      <c r="F186" s="5">
        <v>18</v>
      </c>
      <c r="G186" s="5">
        <v>963</v>
      </c>
      <c r="H186" s="5">
        <v>1178</v>
      </c>
      <c r="I186" s="6">
        <f t="shared" si="6"/>
        <v>17334</v>
      </c>
      <c r="J186" s="6">
        <f t="shared" si="7"/>
        <v>21204</v>
      </c>
      <c r="K186" s="6">
        <f t="shared" si="8"/>
        <v>3870</v>
      </c>
    </row>
    <row r="187" spans="1:11" ht="15.6" thickTop="1" thickBot="1" x14ac:dyDescent="0.35">
      <c r="A187" s="4">
        <v>45681</v>
      </c>
      <c r="B187" s="5" t="s">
        <v>11</v>
      </c>
      <c r="C187" s="5" t="s">
        <v>24</v>
      </c>
      <c r="D187" s="5" t="s">
        <v>17</v>
      </c>
      <c r="E187" s="5" t="s">
        <v>14</v>
      </c>
      <c r="F187" s="5">
        <v>19</v>
      </c>
      <c r="G187" s="5">
        <v>763</v>
      </c>
      <c r="H187" s="5">
        <v>1036</v>
      </c>
      <c r="I187" s="6">
        <f t="shared" si="6"/>
        <v>14497</v>
      </c>
      <c r="J187" s="6">
        <f t="shared" si="7"/>
        <v>19684</v>
      </c>
      <c r="K187" s="6">
        <f t="shared" si="8"/>
        <v>5187</v>
      </c>
    </row>
    <row r="188" spans="1:11" ht="15.6" thickTop="1" thickBot="1" x14ac:dyDescent="0.35">
      <c r="A188" s="4">
        <v>45682</v>
      </c>
      <c r="B188" s="5" t="s">
        <v>11</v>
      </c>
      <c r="C188" s="5" t="s">
        <v>24</v>
      </c>
      <c r="D188" s="5" t="s">
        <v>17</v>
      </c>
      <c r="E188" s="5" t="s">
        <v>14</v>
      </c>
      <c r="F188" s="5">
        <v>19</v>
      </c>
      <c r="G188" s="5">
        <v>795</v>
      </c>
      <c r="H188" s="5">
        <v>1471</v>
      </c>
      <c r="I188" s="6">
        <f t="shared" si="6"/>
        <v>15105</v>
      </c>
      <c r="J188" s="6">
        <f t="shared" si="7"/>
        <v>27949</v>
      </c>
      <c r="K188" s="6">
        <f t="shared" si="8"/>
        <v>12844</v>
      </c>
    </row>
    <row r="189" spans="1:11" ht="15.6" thickTop="1" thickBot="1" x14ac:dyDescent="0.35">
      <c r="A189" s="4">
        <v>45684</v>
      </c>
      <c r="B189" s="5" t="s">
        <v>11</v>
      </c>
      <c r="C189" s="5" t="s">
        <v>24</v>
      </c>
      <c r="D189" s="5" t="s">
        <v>20</v>
      </c>
      <c r="E189" s="5" t="s">
        <v>19</v>
      </c>
      <c r="F189" s="5">
        <v>16</v>
      </c>
      <c r="G189" s="5">
        <v>731</v>
      </c>
      <c r="H189" s="5">
        <v>1296</v>
      </c>
      <c r="I189" s="6">
        <f t="shared" si="6"/>
        <v>11696</v>
      </c>
      <c r="J189" s="6">
        <f t="shared" si="7"/>
        <v>20736</v>
      </c>
      <c r="K189" s="6">
        <f t="shared" si="8"/>
        <v>9040</v>
      </c>
    </row>
    <row r="190" spans="1:11" ht="15.6" thickTop="1" thickBot="1" x14ac:dyDescent="0.35">
      <c r="A190" s="4">
        <v>45571</v>
      </c>
      <c r="B190" s="5" t="s">
        <v>21</v>
      </c>
      <c r="C190" s="5" t="s">
        <v>38</v>
      </c>
      <c r="D190" s="5" t="s">
        <v>26</v>
      </c>
      <c r="E190" s="5" t="s">
        <v>14</v>
      </c>
      <c r="F190" s="5">
        <v>92</v>
      </c>
      <c r="G190" s="5">
        <v>923</v>
      </c>
      <c r="H190" s="5">
        <v>1151</v>
      </c>
      <c r="I190" s="6">
        <f t="shared" si="6"/>
        <v>84916</v>
      </c>
      <c r="J190" s="6">
        <f t="shared" si="7"/>
        <v>105892</v>
      </c>
      <c r="K190" s="6">
        <f t="shared" si="8"/>
        <v>20976</v>
      </c>
    </row>
    <row r="191" spans="1:11" ht="15.6" thickTop="1" thickBot="1" x14ac:dyDescent="0.35">
      <c r="A191" s="4">
        <v>45685</v>
      </c>
      <c r="B191" s="5" t="s">
        <v>11</v>
      </c>
      <c r="C191" s="5" t="s">
        <v>24</v>
      </c>
      <c r="D191" s="5" t="s">
        <v>17</v>
      </c>
      <c r="E191" s="5" t="s">
        <v>19</v>
      </c>
      <c r="F191" s="5">
        <v>12</v>
      </c>
      <c r="G191" s="5">
        <v>927</v>
      </c>
      <c r="H191" s="5">
        <v>1162</v>
      </c>
      <c r="I191" s="6">
        <f t="shared" si="6"/>
        <v>11124</v>
      </c>
      <c r="J191" s="6">
        <f t="shared" si="7"/>
        <v>13944</v>
      </c>
      <c r="K191" s="6">
        <f t="shared" si="8"/>
        <v>2820</v>
      </c>
    </row>
    <row r="192" spans="1:11" ht="15.6" thickTop="1" thickBot="1" x14ac:dyDescent="0.35">
      <c r="A192" s="4">
        <v>45686</v>
      </c>
      <c r="B192" s="5" t="s">
        <v>11</v>
      </c>
      <c r="C192" s="5" t="s">
        <v>24</v>
      </c>
      <c r="D192" s="5" t="s">
        <v>25</v>
      </c>
      <c r="E192" s="5" t="s">
        <v>19</v>
      </c>
      <c r="F192" s="5">
        <v>13</v>
      </c>
      <c r="G192" s="5">
        <v>528</v>
      </c>
      <c r="H192" s="5">
        <v>1175</v>
      </c>
      <c r="I192" s="6">
        <f t="shared" si="6"/>
        <v>6864</v>
      </c>
      <c r="J192" s="6">
        <f t="shared" si="7"/>
        <v>15275</v>
      </c>
      <c r="K192" s="6">
        <f t="shared" si="8"/>
        <v>8411</v>
      </c>
    </row>
    <row r="193" spans="1:11" ht="15.6" thickTop="1" thickBot="1" x14ac:dyDescent="0.35">
      <c r="A193" s="4">
        <v>45688</v>
      </c>
      <c r="B193" s="5" t="s">
        <v>11</v>
      </c>
      <c r="C193" s="5" t="s">
        <v>24</v>
      </c>
      <c r="D193" s="5" t="s">
        <v>39</v>
      </c>
      <c r="E193" s="5" t="s">
        <v>19</v>
      </c>
      <c r="F193" s="5">
        <v>16</v>
      </c>
      <c r="G193" s="5">
        <v>998</v>
      </c>
      <c r="H193" s="5">
        <v>835</v>
      </c>
      <c r="I193" s="6">
        <f t="shared" si="6"/>
        <v>15968</v>
      </c>
      <c r="J193" s="6">
        <f t="shared" si="7"/>
        <v>13360</v>
      </c>
      <c r="K193" s="6">
        <f t="shared" si="8"/>
        <v>-2608</v>
      </c>
    </row>
    <row r="194" spans="1:11" ht="15.6" thickTop="1" thickBot="1" x14ac:dyDescent="0.35">
      <c r="A194" s="4">
        <v>45383</v>
      </c>
      <c r="B194" s="5" t="s">
        <v>27</v>
      </c>
      <c r="C194" s="5" t="s">
        <v>28</v>
      </c>
      <c r="D194" s="5" t="s">
        <v>35</v>
      </c>
      <c r="E194" s="5" t="s">
        <v>19</v>
      </c>
      <c r="F194" s="5">
        <v>29</v>
      </c>
      <c r="G194" s="5">
        <v>924</v>
      </c>
      <c r="H194" s="5">
        <v>1101</v>
      </c>
      <c r="I194" s="6">
        <f t="shared" ref="I194:I257" si="9">F194*G194</f>
        <v>26796</v>
      </c>
      <c r="J194" s="6">
        <f t="shared" ref="J194:J257" si="10">F194*H194</f>
        <v>31929</v>
      </c>
      <c r="K194" s="6">
        <f t="shared" ref="K194:K257" si="11">J194-I194</f>
        <v>5133</v>
      </c>
    </row>
    <row r="195" spans="1:11" ht="15.6" thickTop="1" thickBot="1" x14ac:dyDescent="0.35">
      <c r="A195" s="4">
        <v>45384</v>
      </c>
      <c r="B195" s="5" t="s">
        <v>27</v>
      </c>
      <c r="C195" s="5" t="s">
        <v>42</v>
      </c>
      <c r="D195" s="5" t="s">
        <v>26</v>
      </c>
      <c r="E195" s="5" t="s">
        <v>19</v>
      </c>
      <c r="F195" s="5">
        <v>30</v>
      </c>
      <c r="G195" s="5">
        <v>817</v>
      </c>
      <c r="H195" s="5">
        <v>1334</v>
      </c>
      <c r="I195" s="6">
        <f t="shared" si="9"/>
        <v>24510</v>
      </c>
      <c r="J195" s="6">
        <f t="shared" si="10"/>
        <v>40020</v>
      </c>
      <c r="K195" s="6">
        <f t="shared" si="11"/>
        <v>15510</v>
      </c>
    </row>
    <row r="196" spans="1:11" ht="15.6" thickTop="1" thickBot="1" x14ac:dyDescent="0.35">
      <c r="A196" s="4">
        <v>45385</v>
      </c>
      <c r="B196" s="5" t="s">
        <v>27</v>
      </c>
      <c r="C196" s="5" t="s">
        <v>42</v>
      </c>
      <c r="D196" s="5" t="s">
        <v>17</v>
      </c>
      <c r="E196" s="5" t="s">
        <v>19</v>
      </c>
      <c r="F196" s="5">
        <v>23</v>
      </c>
      <c r="G196" s="5">
        <v>753</v>
      </c>
      <c r="H196" s="5">
        <v>987</v>
      </c>
      <c r="I196" s="6">
        <f t="shared" si="9"/>
        <v>17319</v>
      </c>
      <c r="J196" s="6">
        <f t="shared" si="10"/>
        <v>22701</v>
      </c>
      <c r="K196" s="6">
        <f t="shared" si="11"/>
        <v>5382</v>
      </c>
    </row>
    <row r="197" spans="1:11" ht="15.6" thickTop="1" thickBot="1" x14ac:dyDescent="0.35">
      <c r="A197" s="4">
        <v>45578</v>
      </c>
      <c r="B197" s="5" t="s">
        <v>21</v>
      </c>
      <c r="C197" s="5" t="s">
        <v>41</v>
      </c>
      <c r="D197" s="5" t="s">
        <v>17</v>
      </c>
      <c r="E197" s="5" t="s">
        <v>19</v>
      </c>
      <c r="F197" s="5">
        <v>57</v>
      </c>
      <c r="G197" s="5">
        <v>927</v>
      </c>
      <c r="H197" s="5">
        <v>1477</v>
      </c>
      <c r="I197" s="6">
        <f t="shared" si="9"/>
        <v>52839</v>
      </c>
      <c r="J197" s="6">
        <f t="shared" si="10"/>
        <v>84189</v>
      </c>
      <c r="K197" s="6">
        <f t="shared" si="11"/>
        <v>31350</v>
      </c>
    </row>
    <row r="198" spans="1:11" ht="15.6" thickTop="1" thickBot="1" x14ac:dyDescent="0.35">
      <c r="A198" s="4">
        <v>45386</v>
      </c>
      <c r="B198" s="5" t="s">
        <v>27</v>
      </c>
      <c r="C198" s="5" t="s">
        <v>42</v>
      </c>
      <c r="D198" s="5" t="s">
        <v>34</v>
      </c>
      <c r="E198" s="5" t="s">
        <v>19</v>
      </c>
      <c r="F198" s="5">
        <v>26</v>
      </c>
      <c r="G198" s="5">
        <v>809</v>
      </c>
      <c r="H198" s="5">
        <v>800</v>
      </c>
      <c r="I198" s="6">
        <f t="shared" si="9"/>
        <v>21034</v>
      </c>
      <c r="J198" s="6">
        <f t="shared" si="10"/>
        <v>20800</v>
      </c>
      <c r="K198" s="6">
        <f t="shared" si="11"/>
        <v>-234</v>
      </c>
    </row>
    <row r="199" spans="1:11" ht="15.6" thickTop="1" thickBot="1" x14ac:dyDescent="0.35">
      <c r="A199" s="4">
        <v>45391</v>
      </c>
      <c r="B199" s="5" t="s">
        <v>27</v>
      </c>
      <c r="C199" s="5" t="s">
        <v>28</v>
      </c>
      <c r="D199" s="5" t="s">
        <v>32</v>
      </c>
      <c r="E199" s="5" t="s">
        <v>14</v>
      </c>
      <c r="F199" s="5">
        <v>23</v>
      </c>
      <c r="G199" s="5">
        <v>852</v>
      </c>
      <c r="H199" s="5">
        <v>1480</v>
      </c>
      <c r="I199" s="6">
        <f t="shared" si="9"/>
        <v>19596</v>
      </c>
      <c r="J199" s="6">
        <f t="shared" si="10"/>
        <v>34040</v>
      </c>
      <c r="K199" s="6">
        <f t="shared" si="11"/>
        <v>14444</v>
      </c>
    </row>
    <row r="200" spans="1:11" ht="15.6" thickTop="1" thickBot="1" x14ac:dyDescent="0.35">
      <c r="A200" s="4">
        <v>45392</v>
      </c>
      <c r="B200" s="5" t="s">
        <v>27</v>
      </c>
      <c r="C200" s="5" t="s">
        <v>28</v>
      </c>
      <c r="D200" s="5" t="s">
        <v>23</v>
      </c>
      <c r="E200" s="5" t="s">
        <v>14</v>
      </c>
      <c r="F200" s="5">
        <v>24</v>
      </c>
      <c r="G200" s="5">
        <v>903</v>
      </c>
      <c r="H200" s="5">
        <v>1338</v>
      </c>
      <c r="I200" s="6">
        <f t="shared" si="9"/>
        <v>21672</v>
      </c>
      <c r="J200" s="6">
        <f t="shared" si="10"/>
        <v>32112</v>
      </c>
      <c r="K200" s="6">
        <f t="shared" si="11"/>
        <v>10440</v>
      </c>
    </row>
    <row r="201" spans="1:11" ht="15.6" thickTop="1" thickBot="1" x14ac:dyDescent="0.35">
      <c r="A201" s="4">
        <v>45393</v>
      </c>
      <c r="B201" s="5" t="s">
        <v>27</v>
      </c>
      <c r="C201" s="5" t="s">
        <v>28</v>
      </c>
      <c r="D201" s="5" t="s">
        <v>25</v>
      </c>
      <c r="E201" s="5" t="s">
        <v>14</v>
      </c>
      <c r="F201" s="5">
        <v>21</v>
      </c>
      <c r="G201" s="5">
        <v>829</v>
      </c>
      <c r="H201" s="5">
        <v>950</v>
      </c>
      <c r="I201" s="6">
        <f t="shared" si="9"/>
        <v>17409</v>
      </c>
      <c r="J201" s="6">
        <f t="shared" si="10"/>
        <v>19950</v>
      </c>
      <c r="K201" s="6">
        <f t="shared" si="11"/>
        <v>2541</v>
      </c>
    </row>
    <row r="202" spans="1:11" ht="15.6" thickTop="1" thickBot="1" x14ac:dyDescent="0.35">
      <c r="A202" s="4">
        <v>45583</v>
      </c>
      <c r="B202" s="5" t="s">
        <v>11</v>
      </c>
      <c r="C202" s="5" t="s">
        <v>24</v>
      </c>
      <c r="D202" s="5" t="s">
        <v>31</v>
      </c>
      <c r="E202" s="5" t="s">
        <v>14</v>
      </c>
      <c r="F202" s="5">
        <v>16</v>
      </c>
      <c r="G202" s="5">
        <v>584</v>
      </c>
      <c r="H202" s="5">
        <v>1278</v>
      </c>
      <c r="I202" s="6">
        <f t="shared" si="9"/>
        <v>9344</v>
      </c>
      <c r="J202" s="6">
        <f t="shared" si="10"/>
        <v>20448</v>
      </c>
      <c r="K202" s="6">
        <f t="shared" si="11"/>
        <v>11104</v>
      </c>
    </row>
    <row r="203" spans="1:11" ht="15.6" thickTop="1" thickBot="1" x14ac:dyDescent="0.35">
      <c r="A203" s="4">
        <v>45394</v>
      </c>
      <c r="B203" s="5" t="s">
        <v>27</v>
      </c>
      <c r="C203" s="5" t="s">
        <v>28</v>
      </c>
      <c r="D203" s="5" t="s">
        <v>25</v>
      </c>
      <c r="E203" s="5" t="s">
        <v>14</v>
      </c>
      <c r="F203" s="5">
        <v>20</v>
      </c>
      <c r="G203" s="5">
        <v>557</v>
      </c>
      <c r="H203" s="5">
        <v>1002</v>
      </c>
      <c r="I203" s="6">
        <f t="shared" si="9"/>
        <v>11140</v>
      </c>
      <c r="J203" s="6">
        <f t="shared" si="10"/>
        <v>20040</v>
      </c>
      <c r="K203" s="6">
        <f t="shared" si="11"/>
        <v>8900</v>
      </c>
    </row>
    <row r="204" spans="1:11" ht="15.6" thickTop="1" thickBot="1" x14ac:dyDescent="0.35">
      <c r="A204" s="4">
        <v>45396</v>
      </c>
      <c r="B204" s="5" t="s">
        <v>27</v>
      </c>
      <c r="C204" s="5" t="s">
        <v>28</v>
      </c>
      <c r="D204" s="5" t="s">
        <v>18</v>
      </c>
      <c r="E204" s="5" t="s">
        <v>14</v>
      </c>
      <c r="F204" s="5">
        <v>20</v>
      </c>
      <c r="G204" s="5">
        <v>648</v>
      </c>
      <c r="H204" s="5">
        <v>1106</v>
      </c>
      <c r="I204" s="6">
        <f t="shared" si="9"/>
        <v>12960</v>
      </c>
      <c r="J204" s="6">
        <f t="shared" si="10"/>
        <v>22120</v>
      </c>
      <c r="K204" s="6">
        <f t="shared" si="11"/>
        <v>9160</v>
      </c>
    </row>
    <row r="205" spans="1:11" ht="15.6" thickTop="1" thickBot="1" x14ac:dyDescent="0.35">
      <c r="A205" s="4">
        <v>45586</v>
      </c>
      <c r="B205" s="5" t="s">
        <v>11</v>
      </c>
      <c r="C205" s="5" t="s">
        <v>24</v>
      </c>
      <c r="D205" s="5" t="s">
        <v>25</v>
      </c>
      <c r="E205" s="5" t="s">
        <v>14</v>
      </c>
      <c r="F205" s="5">
        <v>19</v>
      </c>
      <c r="G205" s="5">
        <v>589</v>
      </c>
      <c r="H205" s="5">
        <v>1100</v>
      </c>
      <c r="I205" s="6">
        <f t="shared" si="9"/>
        <v>11191</v>
      </c>
      <c r="J205" s="6">
        <f t="shared" si="10"/>
        <v>20900</v>
      </c>
      <c r="K205" s="6">
        <f t="shared" si="11"/>
        <v>9709</v>
      </c>
    </row>
    <row r="206" spans="1:11" ht="15.6" thickTop="1" thickBot="1" x14ac:dyDescent="0.35">
      <c r="A206" s="4">
        <v>45404</v>
      </c>
      <c r="B206" s="5" t="s">
        <v>27</v>
      </c>
      <c r="C206" s="5" t="s">
        <v>33</v>
      </c>
      <c r="D206" s="5" t="s">
        <v>25</v>
      </c>
      <c r="E206" s="5" t="s">
        <v>19</v>
      </c>
      <c r="F206" s="5">
        <v>26</v>
      </c>
      <c r="G206" s="5">
        <v>942</v>
      </c>
      <c r="H206" s="5">
        <v>1143</v>
      </c>
      <c r="I206" s="6">
        <f t="shared" si="9"/>
        <v>24492</v>
      </c>
      <c r="J206" s="6">
        <f t="shared" si="10"/>
        <v>29718</v>
      </c>
      <c r="K206" s="6">
        <f t="shared" si="11"/>
        <v>5226</v>
      </c>
    </row>
    <row r="207" spans="1:11" ht="15.6" thickTop="1" thickBot="1" x14ac:dyDescent="0.35">
      <c r="A207" s="4">
        <v>45588</v>
      </c>
      <c r="B207" s="5" t="s">
        <v>27</v>
      </c>
      <c r="C207" s="5" t="s">
        <v>28</v>
      </c>
      <c r="D207" s="5" t="s">
        <v>34</v>
      </c>
      <c r="E207" s="5" t="s">
        <v>14</v>
      </c>
      <c r="F207" s="5">
        <v>30</v>
      </c>
      <c r="G207" s="5">
        <v>869</v>
      </c>
      <c r="H207" s="5">
        <v>1033</v>
      </c>
      <c r="I207" s="6">
        <f t="shared" si="9"/>
        <v>26070</v>
      </c>
      <c r="J207" s="6">
        <f t="shared" si="10"/>
        <v>30990</v>
      </c>
      <c r="K207" s="6">
        <f t="shared" si="11"/>
        <v>4920</v>
      </c>
    </row>
    <row r="208" spans="1:11" ht="15.6" thickTop="1" thickBot="1" x14ac:dyDescent="0.35">
      <c r="A208" s="4">
        <v>45406</v>
      </c>
      <c r="B208" s="5" t="s">
        <v>27</v>
      </c>
      <c r="C208" s="5" t="s">
        <v>33</v>
      </c>
      <c r="D208" s="5" t="s">
        <v>34</v>
      </c>
      <c r="E208" s="5" t="s">
        <v>19</v>
      </c>
      <c r="F208" s="5">
        <v>20</v>
      </c>
      <c r="G208" s="5">
        <v>606</v>
      </c>
      <c r="H208" s="5">
        <v>806</v>
      </c>
      <c r="I208" s="6">
        <f t="shared" si="9"/>
        <v>12120</v>
      </c>
      <c r="J208" s="6">
        <f t="shared" si="10"/>
        <v>16120</v>
      </c>
      <c r="K208" s="6">
        <f t="shared" si="11"/>
        <v>4000</v>
      </c>
    </row>
    <row r="209" spans="1:11" ht="15.6" thickTop="1" thickBot="1" x14ac:dyDescent="0.35">
      <c r="A209" s="4">
        <v>45590</v>
      </c>
      <c r="B209" s="5" t="s">
        <v>27</v>
      </c>
      <c r="C209" s="5" t="s">
        <v>42</v>
      </c>
      <c r="D209" s="5" t="s">
        <v>25</v>
      </c>
      <c r="E209" s="5" t="s">
        <v>19</v>
      </c>
      <c r="F209" s="5">
        <v>20</v>
      </c>
      <c r="G209" s="5">
        <v>979</v>
      </c>
      <c r="H209" s="5">
        <v>1471</v>
      </c>
      <c r="I209" s="6">
        <f t="shared" si="9"/>
        <v>19580</v>
      </c>
      <c r="J209" s="6">
        <f t="shared" si="10"/>
        <v>29420</v>
      </c>
      <c r="K209" s="6">
        <f t="shared" si="11"/>
        <v>9840</v>
      </c>
    </row>
    <row r="210" spans="1:11" ht="15.6" thickTop="1" thickBot="1" x14ac:dyDescent="0.35">
      <c r="A210" s="4">
        <v>45408</v>
      </c>
      <c r="B210" s="5" t="s">
        <v>27</v>
      </c>
      <c r="C210" s="5" t="s">
        <v>33</v>
      </c>
      <c r="D210" s="5" t="s">
        <v>25</v>
      </c>
      <c r="E210" s="5" t="s">
        <v>14</v>
      </c>
      <c r="F210" s="5">
        <v>22</v>
      </c>
      <c r="G210" s="5">
        <v>822</v>
      </c>
      <c r="H210" s="5">
        <v>1153</v>
      </c>
      <c r="I210" s="6">
        <f t="shared" si="9"/>
        <v>18084</v>
      </c>
      <c r="J210" s="6">
        <f t="shared" si="10"/>
        <v>25366</v>
      </c>
      <c r="K210" s="6">
        <f t="shared" si="11"/>
        <v>7282</v>
      </c>
    </row>
    <row r="211" spans="1:11" ht="15.6" thickTop="1" thickBot="1" x14ac:dyDescent="0.35">
      <c r="A211" s="4">
        <v>45409</v>
      </c>
      <c r="B211" s="5" t="s">
        <v>27</v>
      </c>
      <c r="C211" s="5" t="s">
        <v>33</v>
      </c>
      <c r="D211" s="5" t="s">
        <v>20</v>
      </c>
      <c r="E211" s="5" t="s">
        <v>14</v>
      </c>
      <c r="F211" s="5">
        <v>26</v>
      </c>
      <c r="G211" s="5">
        <v>505</v>
      </c>
      <c r="H211" s="5">
        <v>1337</v>
      </c>
      <c r="I211" s="6">
        <f t="shared" si="9"/>
        <v>13130</v>
      </c>
      <c r="J211" s="6">
        <f t="shared" si="10"/>
        <v>34762</v>
      </c>
      <c r="K211" s="6">
        <f t="shared" si="11"/>
        <v>21632</v>
      </c>
    </row>
    <row r="212" spans="1:11" ht="15.6" thickTop="1" thickBot="1" x14ac:dyDescent="0.35">
      <c r="A212" s="4">
        <v>45410</v>
      </c>
      <c r="B212" s="5" t="s">
        <v>27</v>
      </c>
      <c r="C212" s="5" t="s">
        <v>33</v>
      </c>
      <c r="D212" s="5" t="s">
        <v>39</v>
      </c>
      <c r="E212" s="5" t="s">
        <v>14</v>
      </c>
      <c r="F212" s="5">
        <v>23</v>
      </c>
      <c r="G212" s="5">
        <v>649</v>
      </c>
      <c r="H212" s="5">
        <v>1210</v>
      </c>
      <c r="I212" s="6">
        <f t="shared" si="9"/>
        <v>14927</v>
      </c>
      <c r="J212" s="6">
        <f t="shared" si="10"/>
        <v>27830</v>
      </c>
      <c r="K212" s="6">
        <f t="shared" si="11"/>
        <v>12903</v>
      </c>
    </row>
    <row r="213" spans="1:11" ht="15.6" thickTop="1" thickBot="1" x14ac:dyDescent="0.35">
      <c r="A213" s="4">
        <v>45411</v>
      </c>
      <c r="B213" s="5" t="s">
        <v>27</v>
      </c>
      <c r="C213" s="5" t="s">
        <v>33</v>
      </c>
      <c r="D213" s="5" t="s">
        <v>26</v>
      </c>
      <c r="E213" s="5" t="s">
        <v>14</v>
      </c>
      <c r="F213" s="5">
        <v>26</v>
      </c>
      <c r="G213" s="5">
        <v>647</v>
      </c>
      <c r="H213" s="5">
        <v>1025</v>
      </c>
      <c r="I213" s="6">
        <f t="shared" si="9"/>
        <v>16822</v>
      </c>
      <c r="J213" s="6">
        <f t="shared" si="10"/>
        <v>26650</v>
      </c>
      <c r="K213" s="6">
        <f t="shared" si="11"/>
        <v>9828</v>
      </c>
    </row>
    <row r="214" spans="1:11" ht="15.6" thickTop="1" thickBot="1" x14ac:dyDescent="0.35">
      <c r="A214" s="4">
        <v>45412</v>
      </c>
      <c r="B214" s="5" t="s">
        <v>27</v>
      </c>
      <c r="C214" s="5" t="s">
        <v>33</v>
      </c>
      <c r="D214" s="5" t="s">
        <v>43</v>
      </c>
      <c r="E214" s="5" t="s">
        <v>14</v>
      </c>
      <c r="F214" s="5">
        <v>30</v>
      </c>
      <c r="G214" s="5">
        <v>843</v>
      </c>
      <c r="H214" s="5">
        <v>953</v>
      </c>
      <c r="I214" s="6">
        <f t="shared" si="9"/>
        <v>25290</v>
      </c>
      <c r="J214" s="6">
        <f t="shared" si="10"/>
        <v>28590</v>
      </c>
      <c r="K214" s="6">
        <f t="shared" si="11"/>
        <v>3300</v>
      </c>
    </row>
    <row r="215" spans="1:11" ht="15.6" thickTop="1" thickBot="1" x14ac:dyDescent="0.35">
      <c r="A215" s="4">
        <v>45413</v>
      </c>
      <c r="B215" s="5" t="s">
        <v>27</v>
      </c>
      <c r="C215" s="5" t="s">
        <v>33</v>
      </c>
      <c r="D215" s="5" t="s">
        <v>44</v>
      </c>
      <c r="E215" s="5" t="s">
        <v>14</v>
      </c>
      <c r="F215" s="5">
        <v>21</v>
      </c>
      <c r="G215" s="5">
        <v>571</v>
      </c>
      <c r="H215" s="5">
        <v>900</v>
      </c>
      <c r="I215" s="6">
        <f t="shared" si="9"/>
        <v>11991</v>
      </c>
      <c r="J215" s="6">
        <f t="shared" si="10"/>
        <v>18900</v>
      </c>
      <c r="K215" s="6">
        <f t="shared" si="11"/>
        <v>6909</v>
      </c>
    </row>
    <row r="216" spans="1:11" ht="15.6" thickTop="1" thickBot="1" x14ac:dyDescent="0.35">
      <c r="A216" s="4">
        <v>45414</v>
      </c>
      <c r="B216" s="5" t="s">
        <v>27</v>
      </c>
      <c r="C216" s="5" t="s">
        <v>33</v>
      </c>
      <c r="D216" s="5" t="s">
        <v>13</v>
      </c>
      <c r="E216" s="5" t="s">
        <v>19</v>
      </c>
      <c r="F216" s="5">
        <v>25</v>
      </c>
      <c r="G216" s="5">
        <v>909</v>
      </c>
      <c r="H216" s="5">
        <v>970</v>
      </c>
      <c r="I216" s="6">
        <f t="shared" si="9"/>
        <v>22725</v>
      </c>
      <c r="J216" s="6">
        <f t="shared" si="10"/>
        <v>24250</v>
      </c>
      <c r="K216" s="6">
        <f t="shared" si="11"/>
        <v>1525</v>
      </c>
    </row>
    <row r="217" spans="1:11" ht="15.6" thickTop="1" thickBot="1" x14ac:dyDescent="0.35">
      <c r="A217" s="4">
        <v>45415</v>
      </c>
      <c r="B217" s="5" t="s">
        <v>27</v>
      </c>
      <c r="C217" s="5" t="s">
        <v>33</v>
      </c>
      <c r="D217" s="5" t="s">
        <v>15</v>
      </c>
      <c r="E217" s="5" t="s">
        <v>19</v>
      </c>
      <c r="F217" s="5">
        <v>24</v>
      </c>
      <c r="G217" s="5">
        <v>584</v>
      </c>
      <c r="H217" s="5">
        <v>1158</v>
      </c>
      <c r="I217" s="6">
        <f t="shared" si="9"/>
        <v>14016</v>
      </c>
      <c r="J217" s="6">
        <f t="shared" si="10"/>
        <v>27792</v>
      </c>
      <c r="K217" s="6">
        <f t="shared" si="11"/>
        <v>13776</v>
      </c>
    </row>
    <row r="218" spans="1:11" ht="15.6" thickTop="1" thickBot="1" x14ac:dyDescent="0.35">
      <c r="A218" s="4">
        <v>45416</v>
      </c>
      <c r="B218" s="5" t="s">
        <v>27</v>
      </c>
      <c r="C218" s="5" t="s">
        <v>33</v>
      </c>
      <c r="D218" s="5" t="s">
        <v>16</v>
      </c>
      <c r="E218" s="5" t="s">
        <v>19</v>
      </c>
      <c r="F218" s="5">
        <v>28</v>
      </c>
      <c r="G218" s="5">
        <v>787</v>
      </c>
      <c r="H218" s="5">
        <v>1452</v>
      </c>
      <c r="I218" s="6">
        <f t="shared" si="9"/>
        <v>22036</v>
      </c>
      <c r="J218" s="6">
        <f t="shared" si="10"/>
        <v>40656</v>
      </c>
      <c r="K218" s="6">
        <f t="shared" si="11"/>
        <v>18620</v>
      </c>
    </row>
    <row r="219" spans="1:11" ht="15.6" thickTop="1" thickBot="1" x14ac:dyDescent="0.35">
      <c r="A219" s="4">
        <v>45417</v>
      </c>
      <c r="B219" s="5" t="s">
        <v>27</v>
      </c>
      <c r="C219" s="5" t="s">
        <v>33</v>
      </c>
      <c r="D219" s="5" t="s">
        <v>17</v>
      </c>
      <c r="E219" s="5" t="s">
        <v>19</v>
      </c>
      <c r="F219" s="5">
        <v>23</v>
      </c>
      <c r="G219" s="5">
        <v>768</v>
      </c>
      <c r="H219" s="5">
        <v>1102</v>
      </c>
      <c r="I219" s="6">
        <f t="shared" si="9"/>
        <v>17664</v>
      </c>
      <c r="J219" s="6">
        <f t="shared" si="10"/>
        <v>25346</v>
      </c>
      <c r="K219" s="6">
        <f t="shared" si="11"/>
        <v>7682</v>
      </c>
    </row>
    <row r="220" spans="1:11" ht="15.6" thickTop="1" thickBot="1" x14ac:dyDescent="0.35">
      <c r="A220" s="4">
        <v>45418</v>
      </c>
      <c r="B220" s="5" t="s">
        <v>27</v>
      </c>
      <c r="C220" s="5" t="s">
        <v>33</v>
      </c>
      <c r="D220" s="5" t="s">
        <v>17</v>
      </c>
      <c r="E220" s="5" t="s">
        <v>14</v>
      </c>
      <c r="F220" s="5">
        <v>23</v>
      </c>
      <c r="G220" s="5">
        <v>584</v>
      </c>
      <c r="H220" s="5">
        <v>1168</v>
      </c>
      <c r="I220" s="6">
        <f t="shared" si="9"/>
        <v>13432</v>
      </c>
      <c r="J220" s="6">
        <f t="shared" si="10"/>
        <v>26864</v>
      </c>
      <c r="K220" s="6">
        <f t="shared" si="11"/>
        <v>13432</v>
      </c>
    </row>
    <row r="221" spans="1:11" ht="15.6" thickTop="1" thickBot="1" x14ac:dyDescent="0.35">
      <c r="A221" s="4">
        <v>45602</v>
      </c>
      <c r="B221" s="5" t="s">
        <v>21</v>
      </c>
      <c r="C221" s="5" t="s">
        <v>45</v>
      </c>
      <c r="D221" s="5" t="s">
        <v>20</v>
      </c>
      <c r="E221" s="5" t="s">
        <v>14</v>
      </c>
      <c r="F221" s="5">
        <v>57</v>
      </c>
      <c r="G221" s="5">
        <v>541</v>
      </c>
      <c r="H221" s="5">
        <v>819</v>
      </c>
      <c r="I221" s="6">
        <f t="shared" si="9"/>
        <v>30837</v>
      </c>
      <c r="J221" s="6">
        <f t="shared" si="10"/>
        <v>46683</v>
      </c>
      <c r="K221" s="6">
        <f t="shared" si="11"/>
        <v>15846</v>
      </c>
    </row>
    <row r="222" spans="1:11" ht="15.6" thickTop="1" thickBot="1" x14ac:dyDescent="0.35">
      <c r="A222" s="4">
        <v>45419</v>
      </c>
      <c r="B222" s="5" t="s">
        <v>27</v>
      </c>
      <c r="C222" s="5" t="s">
        <v>40</v>
      </c>
      <c r="D222" s="5" t="s">
        <v>18</v>
      </c>
      <c r="E222" s="5" t="s">
        <v>14</v>
      </c>
      <c r="F222" s="5">
        <v>20</v>
      </c>
      <c r="G222" s="5">
        <v>778</v>
      </c>
      <c r="H222" s="5">
        <v>1096</v>
      </c>
      <c r="I222" s="6">
        <f t="shared" si="9"/>
        <v>15560</v>
      </c>
      <c r="J222" s="6">
        <f t="shared" si="10"/>
        <v>21920</v>
      </c>
      <c r="K222" s="6">
        <f t="shared" si="11"/>
        <v>6360</v>
      </c>
    </row>
    <row r="223" spans="1:11" ht="15.6" thickTop="1" thickBot="1" x14ac:dyDescent="0.35">
      <c r="A223" s="4">
        <v>45420</v>
      </c>
      <c r="B223" s="5" t="s">
        <v>27</v>
      </c>
      <c r="C223" s="5" t="s">
        <v>40</v>
      </c>
      <c r="D223" s="5" t="s">
        <v>20</v>
      </c>
      <c r="E223" s="5" t="s">
        <v>14</v>
      </c>
      <c r="F223" s="5">
        <v>26</v>
      </c>
      <c r="G223" s="5">
        <v>595</v>
      </c>
      <c r="H223" s="5">
        <v>914</v>
      </c>
      <c r="I223" s="6">
        <f t="shared" si="9"/>
        <v>15470</v>
      </c>
      <c r="J223" s="6">
        <f t="shared" si="10"/>
        <v>23764</v>
      </c>
      <c r="K223" s="6">
        <f t="shared" si="11"/>
        <v>8294</v>
      </c>
    </row>
    <row r="224" spans="1:11" ht="15.6" thickTop="1" thickBot="1" x14ac:dyDescent="0.35">
      <c r="A224" s="4">
        <v>45605</v>
      </c>
      <c r="B224" s="5" t="s">
        <v>21</v>
      </c>
      <c r="C224" s="5" t="s">
        <v>45</v>
      </c>
      <c r="D224" s="5" t="s">
        <v>35</v>
      </c>
      <c r="E224" s="5" t="s">
        <v>14</v>
      </c>
      <c r="F224" s="5">
        <v>70</v>
      </c>
      <c r="G224" s="5">
        <v>871</v>
      </c>
      <c r="H224" s="5">
        <v>862</v>
      </c>
      <c r="I224" s="6">
        <f t="shared" si="9"/>
        <v>60970</v>
      </c>
      <c r="J224" s="6">
        <f t="shared" si="10"/>
        <v>60340</v>
      </c>
      <c r="K224" s="6">
        <f t="shared" si="11"/>
        <v>-630</v>
      </c>
    </row>
    <row r="225" spans="1:11" ht="15.6" thickTop="1" thickBot="1" x14ac:dyDescent="0.35">
      <c r="A225" s="4">
        <v>45421</v>
      </c>
      <c r="B225" s="5" t="s">
        <v>27</v>
      </c>
      <c r="C225" s="5" t="s">
        <v>40</v>
      </c>
      <c r="D225" s="5" t="s">
        <v>17</v>
      </c>
      <c r="E225" s="5" t="s">
        <v>14</v>
      </c>
      <c r="F225" s="5">
        <v>27</v>
      </c>
      <c r="G225" s="5">
        <v>722</v>
      </c>
      <c r="H225" s="5">
        <v>1497</v>
      </c>
      <c r="I225" s="6">
        <f t="shared" si="9"/>
        <v>19494</v>
      </c>
      <c r="J225" s="6">
        <f t="shared" si="10"/>
        <v>40419</v>
      </c>
      <c r="K225" s="6">
        <f t="shared" si="11"/>
        <v>20925</v>
      </c>
    </row>
    <row r="226" spans="1:11" ht="15.6" thickTop="1" thickBot="1" x14ac:dyDescent="0.35">
      <c r="A226" s="4">
        <v>45422</v>
      </c>
      <c r="B226" s="5" t="s">
        <v>27</v>
      </c>
      <c r="C226" s="5" t="s">
        <v>40</v>
      </c>
      <c r="D226" s="5" t="s">
        <v>36</v>
      </c>
      <c r="E226" s="5" t="s">
        <v>14</v>
      </c>
      <c r="F226" s="5">
        <v>25</v>
      </c>
      <c r="G226" s="5">
        <v>982</v>
      </c>
      <c r="H226" s="5">
        <v>1395</v>
      </c>
      <c r="I226" s="6">
        <f t="shared" si="9"/>
        <v>24550</v>
      </c>
      <c r="J226" s="6">
        <f t="shared" si="10"/>
        <v>34875</v>
      </c>
      <c r="K226" s="6">
        <f t="shared" si="11"/>
        <v>10325</v>
      </c>
    </row>
    <row r="227" spans="1:11" ht="15.6" thickTop="1" thickBot="1" x14ac:dyDescent="0.35">
      <c r="A227" s="4">
        <v>45423</v>
      </c>
      <c r="B227" s="5" t="s">
        <v>27</v>
      </c>
      <c r="C227" s="5" t="s">
        <v>40</v>
      </c>
      <c r="D227" s="5" t="s">
        <v>35</v>
      </c>
      <c r="E227" s="5" t="s">
        <v>14</v>
      </c>
      <c r="F227" s="5">
        <v>25</v>
      </c>
      <c r="G227" s="5">
        <v>982</v>
      </c>
      <c r="H227" s="5">
        <v>1389</v>
      </c>
      <c r="I227" s="6">
        <f t="shared" si="9"/>
        <v>24550</v>
      </c>
      <c r="J227" s="6">
        <f t="shared" si="10"/>
        <v>34725</v>
      </c>
      <c r="K227" s="6">
        <f t="shared" si="11"/>
        <v>10175</v>
      </c>
    </row>
    <row r="228" spans="1:11" ht="15.6" thickTop="1" thickBot="1" x14ac:dyDescent="0.35">
      <c r="A228" s="4">
        <v>45424</v>
      </c>
      <c r="B228" s="5" t="s">
        <v>27</v>
      </c>
      <c r="C228" s="5" t="s">
        <v>40</v>
      </c>
      <c r="D228" s="5" t="s">
        <v>26</v>
      </c>
      <c r="E228" s="5" t="s">
        <v>14</v>
      </c>
      <c r="F228" s="5">
        <v>25</v>
      </c>
      <c r="G228" s="5">
        <v>810</v>
      </c>
      <c r="H228" s="5">
        <v>1086</v>
      </c>
      <c r="I228" s="6">
        <f t="shared" si="9"/>
        <v>20250</v>
      </c>
      <c r="J228" s="6">
        <f t="shared" si="10"/>
        <v>27150</v>
      </c>
      <c r="K228" s="6">
        <f t="shared" si="11"/>
        <v>6900</v>
      </c>
    </row>
    <row r="229" spans="1:11" ht="15.6" thickTop="1" thickBot="1" x14ac:dyDescent="0.35">
      <c r="A229" s="4">
        <v>45610</v>
      </c>
      <c r="B229" s="5" t="s">
        <v>27</v>
      </c>
      <c r="C229" s="5" t="s">
        <v>33</v>
      </c>
      <c r="D229" s="5" t="s">
        <v>37</v>
      </c>
      <c r="E229" s="5" t="s">
        <v>19</v>
      </c>
      <c r="F229" s="5">
        <v>20</v>
      </c>
      <c r="G229" s="5">
        <v>773</v>
      </c>
      <c r="H229" s="5">
        <v>823</v>
      </c>
      <c r="I229" s="6">
        <f t="shared" si="9"/>
        <v>15460</v>
      </c>
      <c r="J229" s="6">
        <f t="shared" si="10"/>
        <v>16460</v>
      </c>
      <c r="K229" s="6">
        <f t="shared" si="11"/>
        <v>1000</v>
      </c>
    </row>
    <row r="230" spans="1:11" ht="15.6" thickTop="1" thickBot="1" x14ac:dyDescent="0.35">
      <c r="A230" s="4">
        <v>45425</v>
      </c>
      <c r="B230" s="5" t="s">
        <v>27</v>
      </c>
      <c r="C230" s="5" t="s">
        <v>40</v>
      </c>
      <c r="D230" s="5" t="s">
        <v>17</v>
      </c>
      <c r="E230" s="5" t="s">
        <v>14</v>
      </c>
      <c r="F230" s="5">
        <v>26</v>
      </c>
      <c r="G230" s="5">
        <v>781</v>
      </c>
      <c r="H230" s="5">
        <v>1019</v>
      </c>
      <c r="I230" s="6">
        <f t="shared" si="9"/>
        <v>20306</v>
      </c>
      <c r="J230" s="6">
        <f t="shared" si="10"/>
        <v>26494</v>
      </c>
      <c r="K230" s="6">
        <f t="shared" si="11"/>
        <v>6188</v>
      </c>
    </row>
    <row r="231" spans="1:11" ht="15.6" thickTop="1" thickBot="1" x14ac:dyDescent="0.35">
      <c r="A231" s="4">
        <v>45426</v>
      </c>
      <c r="B231" s="5" t="s">
        <v>27</v>
      </c>
      <c r="C231" s="5" t="s">
        <v>40</v>
      </c>
      <c r="D231" s="5" t="s">
        <v>34</v>
      </c>
      <c r="E231" s="5" t="s">
        <v>14</v>
      </c>
      <c r="F231" s="5">
        <v>26</v>
      </c>
      <c r="G231" s="5">
        <v>630</v>
      </c>
      <c r="H231" s="5">
        <v>767</v>
      </c>
      <c r="I231" s="6">
        <f t="shared" si="9"/>
        <v>16380</v>
      </c>
      <c r="J231" s="6">
        <f t="shared" si="10"/>
        <v>19942</v>
      </c>
      <c r="K231" s="6">
        <f t="shared" si="11"/>
        <v>3562</v>
      </c>
    </row>
    <row r="232" spans="1:11" ht="15.6" thickTop="1" thickBot="1" x14ac:dyDescent="0.35">
      <c r="A232" s="4">
        <v>45427</v>
      </c>
      <c r="B232" s="5" t="s">
        <v>27</v>
      </c>
      <c r="C232" s="5" t="s">
        <v>40</v>
      </c>
      <c r="D232" s="5" t="s">
        <v>36</v>
      </c>
      <c r="E232" s="5" t="s">
        <v>14</v>
      </c>
      <c r="F232" s="5">
        <v>23</v>
      </c>
      <c r="G232" s="5">
        <v>972</v>
      </c>
      <c r="H232" s="5">
        <v>782</v>
      </c>
      <c r="I232" s="6">
        <f t="shared" si="9"/>
        <v>22356</v>
      </c>
      <c r="J232" s="6">
        <f t="shared" si="10"/>
        <v>17986</v>
      </c>
      <c r="K232" s="6">
        <f t="shared" si="11"/>
        <v>-4370</v>
      </c>
    </row>
    <row r="233" spans="1:11" ht="15.6" thickTop="1" thickBot="1" x14ac:dyDescent="0.35">
      <c r="A233" s="4">
        <v>45614</v>
      </c>
      <c r="B233" s="5" t="s">
        <v>27</v>
      </c>
      <c r="C233" s="5" t="s">
        <v>33</v>
      </c>
      <c r="D233" s="5" t="s">
        <v>23</v>
      </c>
      <c r="E233" s="5" t="s">
        <v>14</v>
      </c>
      <c r="F233" s="5">
        <v>23</v>
      </c>
      <c r="G233" s="5">
        <v>906</v>
      </c>
      <c r="H233" s="5">
        <v>1275</v>
      </c>
      <c r="I233" s="6">
        <f t="shared" si="9"/>
        <v>20838</v>
      </c>
      <c r="J233" s="6">
        <f t="shared" si="10"/>
        <v>29325</v>
      </c>
      <c r="K233" s="6">
        <f t="shared" si="11"/>
        <v>8487</v>
      </c>
    </row>
    <row r="234" spans="1:11" ht="15.6" thickTop="1" thickBot="1" x14ac:dyDescent="0.35">
      <c r="A234" s="4">
        <v>45428</v>
      </c>
      <c r="B234" s="5" t="s">
        <v>27</v>
      </c>
      <c r="C234" s="5" t="s">
        <v>40</v>
      </c>
      <c r="D234" s="5" t="s">
        <v>37</v>
      </c>
      <c r="E234" s="5" t="s">
        <v>19</v>
      </c>
      <c r="F234" s="5">
        <v>30</v>
      </c>
      <c r="G234" s="5">
        <v>987</v>
      </c>
      <c r="H234" s="5">
        <v>1366</v>
      </c>
      <c r="I234" s="6">
        <f t="shared" si="9"/>
        <v>29610</v>
      </c>
      <c r="J234" s="6">
        <f t="shared" si="10"/>
        <v>40980</v>
      </c>
      <c r="K234" s="6">
        <f t="shared" si="11"/>
        <v>11370</v>
      </c>
    </row>
    <row r="235" spans="1:11" ht="15.6" thickTop="1" thickBot="1" x14ac:dyDescent="0.35">
      <c r="A235" s="4">
        <v>45616</v>
      </c>
      <c r="B235" s="5" t="s">
        <v>27</v>
      </c>
      <c r="C235" s="5" t="s">
        <v>33</v>
      </c>
      <c r="D235" s="5" t="s">
        <v>25</v>
      </c>
      <c r="E235" s="5" t="s">
        <v>14</v>
      </c>
      <c r="F235" s="5">
        <v>24</v>
      </c>
      <c r="G235" s="5">
        <v>927</v>
      </c>
      <c r="H235" s="5">
        <v>1379</v>
      </c>
      <c r="I235" s="6">
        <f t="shared" si="9"/>
        <v>22248</v>
      </c>
      <c r="J235" s="6">
        <f t="shared" si="10"/>
        <v>33096</v>
      </c>
      <c r="K235" s="6">
        <f t="shared" si="11"/>
        <v>10848</v>
      </c>
    </row>
    <row r="236" spans="1:11" ht="15.6" thickTop="1" thickBot="1" x14ac:dyDescent="0.35">
      <c r="A236" s="4">
        <v>45429</v>
      </c>
      <c r="B236" s="5" t="s">
        <v>27</v>
      </c>
      <c r="C236" s="5" t="s">
        <v>40</v>
      </c>
      <c r="D236" s="5" t="s">
        <v>23</v>
      </c>
      <c r="E236" s="5" t="s">
        <v>19</v>
      </c>
      <c r="F236" s="5">
        <v>25</v>
      </c>
      <c r="G236" s="5">
        <v>877</v>
      </c>
      <c r="H236" s="5">
        <v>797</v>
      </c>
      <c r="I236" s="6">
        <f t="shared" si="9"/>
        <v>21925</v>
      </c>
      <c r="J236" s="6">
        <f t="shared" si="10"/>
        <v>19925</v>
      </c>
      <c r="K236" s="6">
        <f t="shared" si="11"/>
        <v>-2000</v>
      </c>
    </row>
    <row r="237" spans="1:11" ht="15.6" thickTop="1" thickBot="1" x14ac:dyDescent="0.35">
      <c r="A237" s="4">
        <v>45430</v>
      </c>
      <c r="B237" s="5" t="s">
        <v>27</v>
      </c>
      <c r="C237" s="5" t="s">
        <v>40</v>
      </c>
      <c r="D237" s="5" t="s">
        <v>26</v>
      </c>
      <c r="E237" s="5" t="s">
        <v>19</v>
      </c>
      <c r="F237" s="5">
        <v>26</v>
      </c>
      <c r="G237" s="5">
        <v>596</v>
      </c>
      <c r="H237" s="5">
        <v>1136</v>
      </c>
      <c r="I237" s="6">
        <f t="shared" si="9"/>
        <v>15496</v>
      </c>
      <c r="J237" s="6">
        <f t="shared" si="10"/>
        <v>29536</v>
      </c>
      <c r="K237" s="6">
        <f t="shared" si="11"/>
        <v>14040</v>
      </c>
    </row>
    <row r="238" spans="1:11" ht="15.6" thickTop="1" thickBot="1" x14ac:dyDescent="0.35">
      <c r="A238" s="4">
        <v>45484</v>
      </c>
      <c r="B238" s="5" t="s">
        <v>27</v>
      </c>
      <c r="C238" s="5" t="s">
        <v>40</v>
      </c>
      <c r="D238" s="5" t="s">
        <v>25</v>
      </c>
      <c r="E238" s="5" t="s">
        <v>19</v>
      </c>
      <c r="F238" s="5">
        <v>26</v>
      </c>
      <c r="G238" s="5">
        <v>771</v>
      </c>
      <c r="H238" s="5">
        <v>1172</v>
      </c>
      <c r="I238" s="6">
        <f t="shared" si="9"/>
        <v>20046</v>
      </c>
      <c r="J238" s="6">
        <f t="shared" si="10"/>
        <v>30472</v>
      </c>
      <c r="K238" s="6">
        <f t="shared" si="11"/>
        <v>10426</v>
      </c>
    </row>
    <row r="239" spans="1:11" ht="15.6" thickTop="1" thickBot="1" x14ac:dyDescent="0.35">
      <c r="A239" s="4">
        <v>45485</v>
      </c>
      <c r="B239" s="5" t="s">
        <v>27</v>
      </c>
      <c r="C239" s="5" t="s">
        <v>40</v>
      </c>
      <c r="D239" s="5" t="s">
        <v>34</v>
      </c>
      <c r="E239" s="5" t="s">
        <v>19</v>
      </c>
      <c r="F239" s="5">
        <v>30</v>
      </c>
      <c r="G239" s="5">
        <v>859</v>
      </c>
      <c r="H239" s="5">
        <v>1123</v>
      </c>
      <c r="I239" s="6">
        <f t="shared" si="9"/>
        <v>25770</v>
      </c>
      <c r="J239" s="6">
        <f t="shared" si="10"/>
        <v>33690</v>
      </c>
      <c r="K239" s="6">
        <f t="shared" si="11"/>
        <v>7920</v>
      </c>
    </row>
    <row r="240" spans="1:11" ht="15.6" thickTop="1" thickBot="1" x14ac:dyDescent="0.35">
      <c r="A240" s="4">
        <v>45486</v>
      </c>
      <c r="B240" s="5" t="s">
        <v>27</v>
      </c>
      <c r="C240" s="5" t="s">
        <v>40</v>
      </c>
      <c r="D240" s="5" t="s">
        <v>34</v>
      </c>
      <c r="E240" s="5" t="s">
        <v>19</v>
      </c>
      <c r="F240" s="5">
        <v>30</v>
      </c>
      <c r="G240" s="5">
        <v>726</v>
      </c>
      <c r="H240" s="5">
        <v>964</v>
      </c>
      <c r="I240" s="6">
        <f t="shared" si="9"/>
        <v>21780</v>
      </c>
      <c r="J240" s="6">
        <f t="shared" si="10"/>
        <v>28920</v>
      </c>
      <c r="K240" s="6">
        <f t="shared" si="11"/>
        <v>7140</v>
      </c>
    </row>
    <row r="241" spans="1:11" ht="15.6" thickTop="1" thickBot="1" x14ac:dyDescent="0.35">
      <c r="A241" s="4">
        <v>45487</v>
      </c>
      <c r="B241" s="5" t="s">
        <v>27</v>
      </c>
      <c r="C241" s="5" t="s">
        <v>40</v>
      </c>
      <c r="D241" s="5" t="s">
        <v>32</v>
      </c>
      <c r="E241" s="5" t="s">
        <v>19</v>
      </c>
      <c r="F241" s="5">
        <v>29</v>
      </c>
      <c r="G241" s="5">
        <v>861</v>
      </c>
      <c r="H241" s="5">
        <v>820</v>
      </c>
      <c r="I241" s="6">
        <f t="shared" si="9"/>
        <v>24969</v>
      </c>
      <c r="J241" s="6">
        <f t="shared" si="10"/>
        <v>23780</v>
      </c>
      <c r="K241" s="6">
        <f t="shared" si="11"/>
        <v>-1189</v>
      </c>
    </row>
    <row r="242" spans="1:11" ht="15.6" thickTop="1" thickBot="1" x14ac:dyDescent="0.35">
      <c r="A242" s="4">
        <v>45489</v>
      </c>
      <c r="B242" s="5" t="s">
        <v>27</v>
      </c>
      <c r="C242" s="5" t="s">
        <v>40</v>
      </c>
      <c r="D242" s="5" t="s">
        <v>20</v>
      </c>
      <c r="E242" s="5" t="s">
        <v>14</v>
      </c>
      <c r="F242" s="5">
        <v>24</v>
      </c>
      <c r="G242" s="5">
        <v>978</v>
      </c>
      <c r="H242" s="5">
        <v>773</v>
      </c>
      <c r="I242" s="6">
        <f t="shared" si="9"/>
        <v>23472</v>
      </c>
      <c r="J242" s="6">
        <f t="shared" si="10"/>
        <v>18552</v>
      </c>
      <c r="K242" s="6">
        <f t="shared" si="11"/>
        <v>-4920</v>
      </c>
    </row>
    <row r="243" spans="1:11" ht="15.6" thickTop="1" thickBot="1" x14ac:dyDescent="0.35">
      <c r="A243" s="4">
        <v>45490</v>
      </c>
      <c r="B243" s="5" t="s">
        <v>27</v>
      </c>
      <c r="C243" s="5" t="s">
        <v>40</v>
      </c>
      <c r="D243" s="5" t="s">
        <v>39</v>
      </c>
      <c r="E243" s="5" t="s">
        <v>14</v>
      </c>
      <c r="F243" s="5">
        <v>30</v>
      </c>
      <c r="G243" s="5">
        <v>514</v>
      </c>
      <c r="H243" s="5">
        <v>1333</v>
      </c>
      <c r="I243" s="6">
        <f t="shared" si="9"/>
        <v>15420</v>
      </c>
      <c r="J243" s="6">
        <f t="shared" si="10"/>
        <v>39990</v>
      </c>
      <c r="K243" s="6">
        <f t="shared" si="11"/>
        <v>24570</v>
      </c>
    </row>
    <row r="244" spans="1:11" ht="15.6" thickTop="1" thickBot="1" x14ac:dyDescent="0.35">
      <c r="A244" s="4">
        <v>45491</v>
      </c>
      <c r="B244" s="5" t="s">
        <v>27</v>
      </c>
      <c r="C244" s="5" t="s">
        <v>40</v>
      </c>
      <c r="D244" s="5" t="s">
        <v>26</v>
      </c>
      <c r="E244" s="5" t="s">
        <v>14</v>
      </c>
      <c r="F244" s="5">
        <v>26</v>
      </c>
      <c r="G244" s="5">
        <v>656</v>
      </c>
      <c r="H244" s="5">
        <v>908</v>
      </c>
      <c r="I244" s="6">
        <f t="shared" si="9"/>
        <v>17056</v>
      </c>
      <c r="J244" s="6">
        <f t="shared" si="10"/>
        <v>23608</v>
      </c>
      <c r="K244" s="6">
        <f t="shared" si="11"/>
        <v>6552</v>
      </c>
    </row>
    <row r="245" spans="1:11" ht="15.6" thickTop="1" thickBot="1" x14ac:dyDescent="0.35">
      <c r="A245" s="4">
        <v>45626</v>
      </c>
      <c r="B245" s="5" t="s">
        <v>27</v>
      </c>
      <c r="C245" s="5" t="s">
        <v>40</v>
      </c>
      <c r="D245" s="5" t="s">
        <v>25</v>
      </c>
      <c r="E245" s="5" t="s">
        <v>14</v>
      </c>
      <c r="F245" s="5">
        <v>28</v>
      </c>
      <c r="G245" s="5">
        <v>866</v>
      </c>
      <c r="H245" s="5">
        <v>1102</v>
      </c>
      <c r="I245" s="6">
        <f t="shared" si="9"/>
        <v>24248</v>
      </c>
      <c r="J245" s="6">
        <f t="shared" si="10"/>
        <v>30856</v>
      </c>
      <c r="K245" s="6">
        <f t="shared" si="11"/>
        <v>6608</v>
      </c>
    </row>
    <row r="246" spans="1:11" ht="15.6" thickTop="1" thickBot="1" x14ac:dyDescent="0.35">
      <c r="A246" s="4">
        <v>45492</v>
      </c>
      <c r="B246" s="5" t="s">
        <v>27</v>
      </c>
      <c r="C246" s="5" t="s">
        <v>40</v>
      </c>
      <c r="D246" s="5" t="s">
        <v>43</v>
      </c>
      <c r="E246" s="5" t="s">
        <v>14</v>
      </c>
      <c r="F246" s="5">
        <v>28</v>
      </c>
      <c r="G246" s="5">
        <v>866</v>
      </c>
      <c r="H246" s="5">
        <v>1080</v>
      </c>
      <c r="I246" s="6">
        <f t="shared" si="9"/>
        <v>24248</v>
      </c>
      <c r="J246" s="6">
        <f t="shared" si="10"/>
        <v>30240</v>
      </c>
      <c r="K246" s="6">
        <f t="shared" si="11"/>
        <v>5992</v>
      </c>
    </row>
    <row r="247" spans="1:11" ht="15.6" thickTop="1" thickBot="1" x14ac:dyDescent="0.35">
      <c r="A247" s="4">
        <v>45493</v>
      </c>
      <c r="B247" s="5" t="s">
        <v>27</v>
      </c>
      <c r="C247" s="5" t="s">
        <v>40</v>
      </c>
      <c r="D247" s="5" t="s">
        <v>44</v>
      </c>
      <c r="E247" s="5" t="s">
        <v>14</v>
      </c>
      <c r="F247" s="5">
        <v>23</v>
      </c>
      <c r="G247" s="5">
        <v>969</v>
      </c>
      <c r="H247" s="5">
        <v>1075</v>
      </c>
      <c r="I247" s="6">
        <f t="shared" si="9"/>
        <v>22287</v>
      </c>
      <c r="J247" s="6">
        <f t="shared" si="10"/>
        <v>24725</v>
      </c>
      <c r="K247" s="6">
        <f t="shared" si="11"/>
        <v>2438</v>
      </c>
    </row>
    <row r="248" spans="1:11" ht="15.6" thickTop="1" thickBot="1" x14ac:dyDescent="0.35">
      <c r="A248" s="4">
        <v>45629</v>
      </c>
      <c r="B248" s="5" t="s">
        <v>27</v>
      </c>
      <c r="C248" s="5" t="s">
        <v>40</v>
      </c>
      <c r="D248" s="5" t="s">
        <v>32</v>
      </c>
      <c r="E248" s="5" t="s">
        <v>19</v>
      </c>
      <c r="F248" s="5">
        <v>29</v>
      </c>
      <c r="G248" s="5">
        <v>639</v>
      </c>
      <c r="H248" s="5">
        <v>1257</v>
      </c>
      <c r="I248" s="6">
        <f t="shared" si="9"/>
        <v>18531</v>
      </c>
      <c r="J248" s="6">
        <f t="shared" si="10"/>
        <v>36453</v>
      </c>
      <c r="K248" s="6">
        <f t="shared" si="11"/>
        <v>17922</v>
      </c>
    </row>
    <row r="249" spans="1:11" ht="15.6" thickTop="1" thickBot="1" x14ac:dyDescent="0.35">
      <c r="A249" s="4">
        <v>45494</v>
      </c>
      <c r="B249" s="5" t="s">
        <v>27</v>
      </c>
      <c r="C249" s="5" t="s">
        <v>40</v>
      </c>
      <c r="D249" s="5" t="s">
        <v>13</v>
      </c>
      <c r="E249" s="5" t="s">
        <v>14</v>
      </c>
      <c r="F249" s="5">
        <v>21</v>
      </c>
      <c r="G249" s="5">
        <v>626</v>
      </c>
      <c r="H249" s="5">
        <v>772</v>
      </c>
      <c r="I249" s="6">
        <f t="shared" si="9"/>
        <v>13146</v>
      </c>
      <c r="J249" s="6">
        <f t="shared" si="10"/>
        <v>16212</v>
      </c>
      <c r="K249" s="6">
        <f t="shared" si="11"/>
        <v>3066</v>
      </c>
    </row>
    <row r="250" spans="1:11" ht="15.6" thickTop="1" thickBot="1" x14ac:dyDescent="0.35">
      <c r="A250" s="4">
        <v>45517</v>
      </c>
      <c r="B250" s="5" t="s">
        <v>27</v>
      </c>
      <c r="C250" s="5" t="s">
        <v>40</v>
      </c>
      <c r="D250" s="5" t="s">
        <v>26</v>
      </c>
      <c r="E250" s="5" t="s">
        <v>19</v>
      </c>
      <c r="F250" s="5">
        <v>26</v>
      </c>
      <c r="G250" s="5">
        <v>715</v>
      </c>
      <c r="H250" s="5">
        <v>1113</v>
      </c>
      <c r="I250" s="6">
        <f t="shared" si="9"/>
        <v>18590</v>
      </c>
      <c r="J250" s="6">
        <f t="shared" si="10"/>
        <v>28938</v>
      </c>
      <c r="K250" s="6">
        <f t="shared" si="11"/>
        <v>10348</v>
      </c>
    </row>
    <row r="251" spans="1:11" ht="15.6" thickTop="1" thickBot="1" x14ac:dyDescent="0.35">
      <c r="A251" s="4">
        <v>45518</v>
      </c>
      <c r="B251" s="5" t="s">
        <v>27</v>
      </c>
      <c r="C251" s="5" t="s">
        <v>40</v>
      </c>
      <c r="D251" s="5" t="s">
        <v>29</v>
      </c>
      <c r="E251" s="5" t="s">
        <v>19</v>
      </c>
      <c r="F251" s="5">
        <v>27</v>
      </c>
      <c r="G251" s="5">
        <v>611</v>
      </c>
      <c r="H251" s="5">
        <v>1309</v>
      </c>
      <c r="I251" s="6">
        <f t="shared" si="9"/>
        <v>16497</v>
      </c>
      <c r="J251" s="6">
        <f t="shared" si="10"/>
        <v>35343</v>
      </c>
      <c r="K251" s="6">
        <f t="shared" si="11"/>
        <v>18846</v>
      </c>
    </row>
    <row r="252" spans="1:11" ht="15.6" thickTop="1" thickBot="1" x14ac:dyDescent="0.35">
      <c r="A252" s="4">
        <v>45519</v>
      </c>
      <c r="B252" s="5" t="s">
        <v>27</v>
      </c>
      <c r="C252" s="5" t="s">
        <v>40</v>
      </c>
      <c r="D252" s="5" t="s">
        <v>18</v>
      </c>
      <c r="E252" s="5" t="s">
        <v>14</v>
      </c>
      <c r="F252" s="5">
        <v>29</v>
      </c>
      <c r="G252" s="5">
        <v>544</v>
      </c>
      <c r="H252" s="5">
        <v>1436</v>
      </c>
      <c r="I252" s="6">
        <f t="shared" si="9"/>
        <v>15776</v>
      </c>
      <c r="J252" s="6">
        <f t="shared" si="10"/>
        <v>41644</v>
      </c>
      <c r="K252" s="6">
        <f t="shared" si="11"/>
        <v>25868</v>
      </c>
    </row>
    <row r="253" spans="1:11" ht="15.6" thickTop="1" thickBot="1" x14ac:dyDescent="0.35">
      <c r="A253" s="4">
        <v>45634</v>
      </c>
      <c r="B253" s="5" t="s">
        <v>27</v>
      </c>
      <c r="C253" s="5" t="s">
        <v>40</v>
      </c>
      <c r="D253" s="5" t="s">
        <v>43</v>
      </c>
      <c r="E253" s="5" t="s">
        <v>19</v>
      </c>
      <c r="F253" s="5">
        <v>23</v>
      </c>
      <c r="G253" s="5">
        <v>771</v>
      </c>
      <c r="H253" s="5">
        <v>1430</v>
      </c>
      <c r="I253" s="6">
        <f t="shared" si="9"/>
        <v>17733</v>
      </c>
      <c r="J253" s="6">
        <f t="shared" si="10"/>
        <v>32890</v>
      </c>
      <c r="K253" s="6">
        <f t="shared" si="11"/>
        <v>15157</v>
      </c>
    </row>
    <row r="254" spans="1:11" ht="15.6" thickTop="1" thickBot="1" x14ac:dyDescent="0.35">
      <c r="A254" s="4">
        <v>45521</v>
      </c>
      <c r="B254" s="5" t="s">
        <v>27</v>
      </c>
      <c r="C254" s="5" t="s">
        <v>40</v>
      </c>
      <c r="D254" s="5" t="s">
        <v>31</v>
      </c>
      <c r="E254" s="5" t="s">
        <v>19</v>
      </c>
      <c r="F254" s="5">
        <v>30</v>
      </c>
      <c r="G254" s="5">
        <v>652</v>
      </c>
      <c r="H254" s="5">
        <v>1151</v>
      </c>
      <c r="I254" s="6">
        <f t="shared" si="9"/>
        <v>19560</v>
      </c>
      <c r="J254" s="6">
        <f t="shared" si="10"/>
        <v>34530</v>
      </c>
      <c r="K254" s="6">
        <f t="shared" si="11"/>
        <v>14970</v>
      </c>
    </row>
    <row r="255" spans="1:11" ht="15.6" thickTop="1" thickBot="1" x14ac:dyDescent="0.35">
      <c r="A255" s="4">
        <v>45522</v>
      </c>
      <c r="B255" s="5" t="s">
        <v>27</v>
      </c>
      <c r="C255" s="5" t="s">
        <v>40</v>
      </c>
      <c r="D255" s="5" t="s">
        <v>23</v>
      </c>
      <c r="E255" s="5" t="s">
        <v>19</v>
      </c>
      <c r="F255" s="5">
        <v>22</v>
      </c>
      <c r="G255" s="5">
        <v>681</v>
      </c>
      <c r="H255" s="5">
        <v>1087</v>
      </c>
      <c r="I255" s="6">
        <f t="shared" si="9"/>
        <v>14982</v>
      </c>
      <c r="J255" s="6">
        <f t="shared" si="10"/>
        <v>23914</v>
      </c>
      <c r="K255" s="6">
        <f t="shared" si="11"/>
        <v>8932</v>
      </c>
    </row>
    <row r="256" spans="1:11" ht="15.6" thickTop="1" thickBot="1" x14ac:dyDescent="0.35">
      <c r="A256" s="4">
        <v>45637</v>
      </c>
      <c r="B256" s="5" t="s">
        <v>21</v>
      </c>
      <c r="C256" s="5" t="s">
        <v>38</v>
      </c>
      <c r="D256" s="5" t="s">
        <v>15</v>
      </c>
      <c r="E256" s="5" t="s">
        <v>19</v>
      </c>
      <c r="F256" s="5">
        <v>66</v>
      </c>
      <c r="G256" s="5">
        <v>888</v>
      </c>
      <c r="H256" s="5">
        <v>809</v>
      </c>
      <c r="I256" s="6">
        <f t="shared" si="9"/>
        <v>58608</v>
      </c>
      <c r="J256" s="6">
        <f t="shared" si="10"/>
        <v>53394</v>
      </c>
      <c r="K256" s="6">
        <f t="shared" si="11"/>
        <v>-5214</v>
      </c>
    </row>
    <row r="257" spans="1:11" ht="15.6" thickTop="1" thickBot="1" x14ac:dyDescent="0.35">
      <c r="A257" s="4">
        <v>45523</v>
      </c>
      <c r="B257" s="5" t="s">
        <v>27</v>
      </c>
      <c r="C257" s="5" t="s">
        <v>40</v>
      </c>
      <c r="D257" s="5" t="s">
        <v>25</v>
      </c>
      <c r="E257" s="5" t="s">
        <v>19</v>
      </c>
      <c r="F257" s="5">
        <v>28</v>
      </c>
      <c r="G257" s="5">
        <v>923</v>
      </c>
      <c r="H257" s="5">
        <v>1395</v>
      </c>
      <c r="I257" s="6">
        <f t="shared" si="9"/>
        <v>25844</v>
      </c>
      <c r="J257" s="6">
        <f t="shared" si="10"/>
        <v>39060</v>
      </c>
      <c r="K257" s="6">
        <f t="shared" si="11"/>
        <v>13216</v>
      </c>
    </row>
    <row r="258" spans="1:11" ht="15.6" thickTop="1" thickBot="1" x14ac:dyDescent="0.35">
      <c r="A258" s="4">
        <v>45524</v>
      </c>
      <c r="B258" s="5" t="s">
        <v>27</v>
      </c>
      <c r="C258" s="5" t="s">
        <v>40</v>
      </c>
      <c r="D258" s="5" t="s">
        <v>25</v>
      </c>
      <c r="E258" s="5" t="s">
        <v>14</v>
      </c>
      <c r="F258" s="5">
        <v>26</v>
      </c>
      <c r="G258" s="5">
        <v>999</v>
      </c>
      <c r="H258" s="5">
        <v>1112</v>
      </c>
      <c r="I258" s="6">
        <f t="shared" ref="I258:I321" si="12">F258*G258</f>
        <v>25974</v>
      </c>
      <c r="J258" s="6">
        <f t="shared" ref="J258:J321" si="13">F258*H258</f>
        <v>28912</v>
      </c>
      <c r="K258" s="6">
        <f t="shared" ref="K258:K321" si="14">J258-I258</f>
        <v>2938</v>
      </c>
    </row>
    <row r="259" spans="1:11" ht="15.6" thickTop="1" thickBot="1" x14ac:dyDescent="0.35">
      <c r="A259" s="4">
        <v>45525</v>
      </c>
      <c r="B259" s="5" t="s">
        <v>27</v>
      </c>
      <c r="C259" s="5" t="s">
        <v>40</v>
      </c>
      <c r="D259" s="5" t="s">
        <v>34</v>
      </c>
      <c r="E259" s="5" t="s">
        <v>14</v>
      </c>
      <c r="F259" s="5">
        <v>30</v>
      </c>
      <c r="G259" s="5">
        <v>792</v>
      </c>
      <c r="H259" s="5">
        <v>1010</v>
      </c>
      <c r="I259" s="6">
        <f t="shared" si="12"/>
        <v>23760</v>
      </c>
      <c r="J259" s="6">
        <f t="shared" si="13"/>
        <v>30300</v>
      </c>
      <c r="K259" s="6">
        <f t="shared" si="14"/>
        <v>6540</v>
      </c>
    </row>
    <row r="260" spans="1:11" ht="15.6" thickTop="1" thickBot="1" x14ac:dyDescent="0.35">
      <c r="A260" s="4">
        <v>45527</v>
      </c>
      <c r="B260" s="5" t="s">
        <v>27</v>
      </c>
      <c r="C260" s="5" t="s">
        <v>40</v>
      </c>
      <c r="D260" s="5" t="s">
        <v>32</v>
      </c>
      <c r="E260" s="5" t="s">
        <v>14</v>
      </c>
      <c r="F260" s="5">
        <v>22</v>
      </c>
      <c r="G260" s="5">
        <v>774</v>
      </c>
      <c r="H260" s="5">
        <v>1387</v>
      </c>
      <c r="I260" s="6">
        <f t="shared" si="12"/>
        <v>17028</v>
      </c>
      <c r="J260" s="6">
        <f t="shared" si="13"/>
        <v>30514</v>
      </c>
      <c r="K260" s="6">
        <f t="shared" si="14"/>
        <v>13486</v>
      </c>
    </row>
    <row r="261" spans="1:11" ht="15.6" thickTop="1" thickBot="1" x14ac:dyDescent="0.35">
      <c r="A261" s="4">
        <v>45642</v>
      </c>
      <c r="B261" s="5" t="s">
        <v>21</v>
      </c>
      <c r="C261" s="5" t="s">
        <v>38</v>
      </c>
      <c r="D261" s="5" t="s">
        <v>25</v>
      </c>
      <c r="E261" s="5" t="s">
        <v>14</v>
      </c>
      <c r="F261" s="5">
        <v>56</v>
      </c>
      <c r="G261" s="5">
        <v>516</v>
      </c>
      <c r="H261" s="5">
        <v>1316</v>
      </c>
      <c r="I261" s="6">
        <f t="shared" si="12"/>
        <v>28896</v>
      </c>
      <c r="J261" s="6">
        <f t="shared" si="13"/>
        <v>73696</v>
      </c>
      <c r="K261" s="6">
        <f t="shared" si="14"/>
        <v>44800</v>
      </c>
    </row>
    <row r="262" spans="1:11" ht="15.6" thickTop="1" thickBot="1" x14ac:dyDescent="0.35">
      <c r="A262" s="4">
        <v>45589</v>
      </c>
      <c r="B262" s="5" t="s">
        <v>27</v>
      </c>
      <c r="C262" s="5" t="s">
        <v>42</v>
      </c>
      <c r="D262" s="5" t="s">
        <v>32</v>
      </c>
      <c r="E262" s="5" t="s">
        <v>14</v>
      </c>
      <c r="F262" s="5">
        <v>20</v>
      </c>
      <c r="G262" s="5">
        <v>999</v>
      </c>
      <c r="H262" s="5">
        <v>1191</v>
      </c>
      <c r="I262" s="6">
        <f t="shared" si="12"/>
        <v>19980</v>
      </c>
      <c r="J262" s="6">
        <f t="shared" si="13"/>
        <v>23820</v>
      </c>
      <c r="K262" s="6">
        <f t="shared" si="14"/>
        <v>3840</v>
      </c>
    </row>
    <row r="263" spans="1:11" ht="15.6" thickTop="1" thickBot="1" x14ac:dyDescent="0.35">
      <c r="A263" s="4">
        <v>45591</v>
      </c>
      <c r="B263" s="5" t="s">
        <v>27</v>
      </c>
      <c r="C263" s="5" t="s">
        <v>42</v>
      </c>
      <c r="D263" s="5" t="s">
        <v>20</v>
      </c>
      <c r="E263" s="5" t="s">
        <v>19</v>
      </c>
      <c r="F263" s="5">
        <v>29</v>
      </c>
      <c r="G263" s="5">
        <v>661</v>
      </c>
      <c r="H263" s="5">
        <v>1400</v>
      </c>
      <c r="I263" s="6">
        <f t="shared" si="12"/>
        <v>19169</v>
      </c>
      <c r="J263" s="6">
        <f t="shared" si="13"/>
        <v>40600</v>
      </c>
      <c r="K263" s="6">
        <f t="shared" si="14"/>
        <v>21431</v>
      </c>
    </row>
    <row r="264" spans="1:11" ht="15.6" thickTop="1" thickBot="1" x14ac:dyDescent="0.35">
      <c r="A264" s="4">
        <v>45596</v>
      </c>
      <c r="B264" s="5" t="s">
        <v>27</v>
      </c>
      <c r="C264" s="5" t="s">
        <v>28</v>
      </c>
      <c r="D264" s="5" t="s">
        <v>13</v>
      </c>
      <c r="E264" s="5" t="s">
        <v>19</v>
      </c>
      <c r="F264" s="5">
        <v>30</v>
      </c>
      <c r="G264" s="5">
        <v>539</v>
      </c>
      <c r="H264" s="5">
        <v>1364</v>
      </c>
      <c r="I264" s="6">
        <f t="shared" si="12"/>
        <v>16170</v>
      </c>
      <c r="J264" s="6">
        <f t="shared" si="13"/>
        <v>40920</v>
      </c>
      <c r="K264" s="6">
        <f t="shared" si="14"/>
        <v>24750</v>
      </c>
    </row>
    <row r="265" spans="1:11" ht="15.6" thickTop="1" thickBot="1" x14ac:dyDescent="0.35">
      <c r="A265" s="4">
        <v>45646</v>
      </c>
      <c r="B265" s="5" t="s">
        <v>21</v>
      </c>
      <c r="C265" s="5" t="s">
        <v>38</v>
      </c>
      <c r="D265" s="5" t="s">
        <v>25</v>
      </c>
      <c r="E265" s="5" t="s">
        <v>14</v>
      </c>
      <c r="F265" s="5">
        <v>60</v>
      </c>
      <c r="G265" s="5">
        <v>901</v>
      </c>
      <c r="H265" s="5">
        <v>1148</v>
      </c>
      <c r="I265" s="6">
        <f t="shared" si="12"/>
        <v>54060</v>
      </c>
      <c r="J265" s="6">
        <f t="shared" si="13"/>
        <v>68880</v>
      </c>
      <c r="K265" s="6">
        <f t="shared" si="14"/>
        <v>14820</v>
      </c>
    </row>
    <row r="266" spans="1:11" ht="15.6" thickTop="1" thickBot="1" x14ac:dyDescent="0.35">
      <c r="A266" s="4">
        <v>45597</v>
      </c>
      <c r="B266" s="5" t="s">
        <v>27</v>
      </c>
      <c r="C266" s="5" t="s">
        <v>28</v>
      </c>
      <c r="D266" s="5" t="s">
        <v>15</v>
      </c>
      <c r="E266" s="5" t="s">
        <v>19</v>
      </c>
      <c r="F266" s="5">
        <v>26</v>
      </c>
      <c r="G266" s="5">
        <v>726</v>
      </c>
      <c r="H266" s="5">
        <v>1335</v>
      </c>
      <c r="I266" s="6">
        <f t="shared" si="12"/>
        <v>18876</v>
      </c>
      <c r="J266" s="6">
        <f t="shared" si="13"/>
        <v>34710</v>
      </c>
      <c r="K266" s="6">
        <f t="shared" si="14"/>
        <v>15834</v>
      </c>
    </row>
    <row r="267" spans="1:11" ht="15.6" thickTop="1" thickBot="1" x14ac:dyDescent="0.35">
      <c r="A267" s="4">
        <v>45648</v>
      </c>
      <c r="B267" s="5" t="s">
        <v>21</v>
      </c>
      <c r="C267" s="5" t="s">
        <v>41</v>
      </c>
      <c r="D267" s="5" t="s">
        <v>39</v>
      </c>
      <c r="E267" s="5" t="s">
        <v>14</v>
      </c>
      <c r="F267" s="5">
        <v>50</v>
      </c>
      <c r="G267" s="5">
        <v>749</v>
      </c>
      <c r="H267" s="5">
        <v>1269</v>
      </c>
      <c r="I267" s="6">
        <f t="shared" si="12"/>
        <v>37450</v>
      </c>
      <c r="J267" s="6">
        <f t="shared" si="13"/>
        <v>63450</v>
      </c>
      <c r="K267" s="6">
        <f t="shared" si="14"/>
        <v>26000</v>
      </c>
    </row>
    <row r="268" spans="1:11" ht="15.6" thickTop="1" thickBot="1" x14ac:dyDescent="0.35">
      <c r="A268" s="4">
        <v>45598</v>
      </c>
      <c r="B268" s="5" t="s">
        <v>27</v>
      </c>
      <c r="C268" s="5" t="s">
        <v>28</v>
      </c>
      <c r="D268" s="5" t="s">
        <v>16</v>
      </c>
      <c r="E268" s="5" t="s">
        <v>19</v>
      </c>
      <c r="F268" s="5">
        <v>29</v>
      </c>
      <c r="G268" s="5">
        <v>510</v>
      </c>
      <c r="H268" s="5">
        <v>1131</v>
      </c>
      <c r="I268" s="6">
        <f t="shared" si="12"/>
        <v>14790</v>
      </c>
      <c r="J268" s="6">
        <f t="shared" si="13"/>
        <v>32799</v>
      </c>
      <c r="K268" s="6">
        <f t="shared" si="14"/>
        <v>18009</v>
      </c>
    </row>
    <row r="269" spans="1:11" ht="15.6" thickTop="1" thickBot="1" x14ac:dyDescent="0.35">
      <c r="A269" s="4">
        <v>45599</v>
      </c>
      <c r="B269" s="5" t="s">
        <v>27</v>
      </c>
      <c r="C269" s="5" t="s">
        <v>28</v>
      </c>
      <c r="D269" s="5" t="s">
        <v>17</v>
      </c>
      <c r="E269" s="5" t="s">
        <v>14</v>
      </c>
      <c r="F269" s="5">
        <v>27</v>
      </c>
      <c r="G269" s="5">
        <v>752</v>
      </c>
      <c r="H269" s="5">
        <v>1258</v>
      </c>
      <c r="I269" s="6">
        <f t="shared" si="12"/>
        <v>20304</v>
      </c>
      <c r="J269" s="6">
        <f t="shared" si="13"/>
        <v>33966</v>
      </c>
      <c r="K269" s="6">
        <f t="shared" si="14"/>
        <v>13662</v>
      </c>
    </row>
    <row r="270" spans="1:11" ht="15.6" thickTop="1" thickBot="1" x14ac:dyDescent="0.35">
      <c r="A270" s="4">
        <v>45600</v>
      </c>
      <c r="B270" s="5" t="s">
        <v>27</v>
      </c>
      <c r="C270" s="5" t="s">
        <v>28</v>
      </c>
      <c r="D270" s="5" t="s">
        <v>17</v>
      </c>
      <c r="E270" s="5" t="s">
        <v>14</v>
      </c>
      <c r="F270" s="5">
        <v>28</v>
      </c>
      <c r="G270" s="5">
        <v>924</v>
      </c>
      <c r="H270" s="5">
        <v>847</v>
      </c>
      <c r="I270" s="6">
        <f t="shared" si="12"/>
        <v>25872</v>
      </c>
      <c r="J270" s="6">
        <f t="shared" si="13"/>
        <v>23716</v>
      </c>
      <c r="K270" s="6">
        <f t="shared" si="14"/>
        <v>-2156</v>
      </c>
    </row>
    <row r="271" spans="1:11" ht="15.6" thickTop="1" thickBot="1" x14ac:dyDescent="0.35">
      <c r="A271" s="4">
        <v>45601</v>
      </c>
      <c r="B271" s="5" t="s">
        <v>27</v>
      </c>
      <c r="C271" s="5" t="s">
        <v>28</v>
      </c>
      <c r="D271" s="5" t="s">
        <v>18</v>
      </c>
      <c r="E271" s="5" t="s">
        <v>14</v>
      </c>
      <c r="F271" s="5">
        <v>26</v>
      </c>
      <c r="G271" s="5">
        <v>643</v>
      </c>
      <c r="H271" s="5">
        <v>1341</v>
      </c>
      <c r="I271" s="6">
        <f t="shared" si="12"/>
        <v>16718</v>
      </c>
      <c r="J271" s="6">
        <f t="shared" si="13"/>
        <v>34866</v>
      </c>
      <c r="K271" s="6">
        <f t="shared" si="14"/>
        <v>18148</v>
      </c>
    </row>
    <row r="272" spans="1:11" ht="15.6" thickTop="1" thickBot="1" x14ac:dyDescent="0.35">
      <c r="A272" s="4">
        <v>45653</v>
      </c>
      <c r="B272" s="5" t="s">
        <v>21</v>
      </c>
      <c r="C272" s="5" t="s">
        <v>41</v>
      </c>
      <c r="D272" s="5" t="s">
        <v>15</v>
      </c>
      <c r="E272" s="5" t="s">
        <v>19</v>
      </c>
      <c r="F272" s="5">
        <v>59</v>
      </c>
      <c r="G272" s="5">
        <v>774</v>
      </c>
      <c r="H272" s="5">
        <v>1374</v>
      </c>
      <c r="I272" s="6">
        <f t="shared" si="12"/>
        <v>45666</v>
      </c>
      <c r="J272" s="6">
        <f t="shared" si="13"/>
        <v>81066</v>
      </c>
      <c r="K272" s="6">
        <f t="shared" si="14"/>
        <v>35400</v>
      </c>
    </row>
    <row r="273" spans="1:11" ht="15.6" thickTop="1" thickBot="1" x14ac:dyDescent="0.35">
      <c r="A273" s="4">
        <v>45609</v>
      </c>
      <c r="B273" s="5" t="s">
        <v>27</v>
      </c>
      <c r="C273" s="5" t="s">
        <v>33</v>
      </c>
      <c r="D273" s="5" t="s">
        <v>36</v>
      </c>
      <c r="E273" s="5" t="s">
        <v>19</v>
      </c>
      <c r="F273" s="5">
        <v>23</v>
      </c>
      <c r="G273" s="5">
        <v>584</v>
      </c>
      <c r="H273" s="5">
        <v>1140</v>
      </c>
      <c r="I273" s="6">
        <f t="shared" si="12"/>
        <v>13432</v>
      </c>
      <c r="J273" s="6">
        <f t="shared" si="13"/>
        <v>26220</v>
      </c>
      <c r="K273" s="6">
        <f t="shared" si="14"/>
        <v>12788</v>
      </c>
    </row>
    <row r="274" spans="1:11" ht="15.6" thickTop="1" thickBot="1" x14ac:dyDescent="0.35">
      <c r="A274" s="4">
        <v>45611</v>
      </c>
      <c r="B274" s="5" t="s">
        <v>27</v>
      </c>
      <c r="C274" s="5" t="s">
        <v>33</v>
      </c>
      <c r="D274" s="5" t="s">
        <v>23</v>
      </c>
      <c r="E274" s="5" t="s">
        <v>19</v>
      </c>
      <c r="F274" s="5">
        <v>21</v>
      </c>
      <c r="G274" s="5">
        <v>608</v>
      </c>
      <c r="H274" s="5">
        <v>983</v>
      </c>
      <c r="I274" s="6">
        <f t="shared" si="12"/>
        <v>12768</v>
      </c>
      <c r="J274" s="6">
        <f t="shared" si="13"/>
        <v>20643</v>
      </c>
      <c r="K274" s="6">
        <f t="shared" si="14"/>
        <v>7875</v>
      </c>
    </row>
    <row r="275" spans="1:11" ht="15.6" thickTop="1" thickBot="1" x14ac:dyDescent="0.35">
      <c r="A275" s="4">
        <v>45612</v>
      </c>
      <c r="B275" s="5" t="s">
        <v>27</v>
      </c>
      <c r="C275" s="5" t="s">
        <v>33</v>
      </c>
      <c r="D275" s="5" t="s">
        <v>26</v>
      </c>
      <c r="E275" s="5" t="s">
        <v>19</v>
      </c>
      <c r="F275" s="5">
        <v>30</v>
      </c>
      <c r="G275" s="5">
        <v>712</v>
      </c>
      <c r="H275" s="5">
        <v>1311</v>
      </c>
      <c r="I275" s="6">
        <f t="shared" si="12"/>
        <v>21360</v>
      </c>
      <c r="J275" s="6">
        <f t="shared" si="13"/>
        <v>39330</v>
      </c>
      <c r="K275" s="6">
        <f t="shared" si="14"/>
        <v>17970</v>
      </c>
    </row>
    <row r="276" spans="1:11" ht="15.6" thickTop="1" thickBot="1" x14ac:dyDescent="0.35">
      <c r="A276" s="4">
        <v>45613</v>
      </c>
      <c r="B276" s="5" t="s">
        <v>27</v>
      </c>
      <c r="C276" s="5" t="s">
        <v>33</v>
      </c>
      <c r="D276" s="5" t="s">
        <v>32</v>
      </c>
      <c r="E276" s="5" t="s">
        <v>19</v>
      </c>
      <c r="F276" s="5">
        <v>24</v>
      </c>
      <c r="G276" s="5">
        <v>672</v>
      </c>
      <c r="H276" s="5">
        <v>878</v>
      </c>
      <c r="I276" s="6">
        <f t="shared" si="12"/>
        <v>16128</v>
      </c>
      <c r="J276" s="6">
        <f t="shared" si="13"/>
        <v>21072</v>
      </c>
      <c r="K276" s="6">
        <f t="shared" si="14"/>
        <v>4944</v>
      </c>
    </row>
    <row r="277" spans="1:11" ht="15.6" thickTop="1" thickBot="1" x14ac:dyDescent="0.35">
      <c r="A277" s="4">
        <v>45615</v>
      </c>
      <c r="B277" s="5" t="s">
        <v>27</v>
      </c>
      <c r="C277" s="5" t="s">
        <v>33</v>
      </c>
      <c r="D277" s="5" t="s">
        <v>25</v>
      </c>
      <c r="E277" s="5" t="s">
        <v>14</v>
      </c>
      <c r="F277" s="5">
        <v>29</v>
      </c>
      <c r="G277" s="5">
        <v>520</v>
      </c>
      <c r="H277" s="5">
        <v>770</v>
      </c>
      <c r="I277" s="6">
        <f t="shared" si="12"/>
        <v>15080</v>
      </c>
      <c r="J277" s="6">
        <f t="shared" si="13"/>
        <v>22330</v>
      </c>
      <c r="K277" s="6">
        <f t="shared" si="14"/>
        <v>7250</v>
      </c>
    </row>
    <row r="278" spans="1:11" ht="15.6" thickTop="1" thickBot="1" x14ac:dyDescent="0.35">
      <c r="A278" s="4">
        <v>45617</v>
      </c>
      <c r="B278" s="5" t="s">
        <v>27</v>
      </c>
      <c r="C278" s="5" t="s">
        <v>33</v>
      </c>
      <c r="D278" s="5" t="s">
        <v>26</v>
      </c>
      <c r="E278" s="5" t="s">
        <v>19</v>
      </c>
      <c r="F278" s="5">
        <v>28</v>
      </c>
      <c r="G278" s="5">
        <v>884</v>
      </c>
      <c r="H278" s="5">
        <v>1165</v>
      </c>
      <c r="I278" s="6">
        <f t="shared" si="12"/>
        <v>24752</v>
      </c>
      <c r="J278" s="6">
        <f t="shared" si="13"/>
        <v>32620</v>
      </c>
      <c r="K278" s="6">
        <f t="shared" si="14"/>
        <v>7868</v>
      </c>
    </row>
    <row r="279" spans="1:11" ht="15.6" thickTop="1" thickBot="1" x14ac:dyDescent="0.35">
      <c r="A279" s="4">
        <v>45660</v>
      </c>
      <c r="B279" s="5" t="s">
        <v>11</v>
      </c>
      <c r="C279" s="5" t="s">
        <v>12</v>
      </c>
      <c r="D279" s="5" t="s">
        <v>36</v>
      </c>
      <c r="E279" s="5" t="s">
        <v>14</v>
      </c>
      <c r="F279" s="5">
        <v>11</v>
      </c>
      <c r="G279" s="5">
        <v>562</v>
      </c>
      <c r="H279" s="5">
        <v>800</v>
      </c>
      <c r="I279" s="6">
        <f t="shared" si="12"/>
        <v>6182</v>
      </c>
      <c r="J279" s="6">
        <f t="shared" si="13"/>
        <v>8800</v>
      </c>
      <c r="K279" s="6">
        <f t="shared" si="14"/>
        <v>2618</v>
      </c>
    </row>
    <row r="280" spans="1:11" ht="15.6" thickTop="1" thickBot="1" x14ac:dyDescent="0.35">
      <c r="A280" s="4">
        <v>45618</v>
      </c>
      <c r="B280" s="5" t="s">
        <v>27</v>
      </c>
      <c r="C280" s="5" t="s">
        <v>33</v>
      </c>
      <c r="D280" s="5" t="s">
        <v>18</v>
      </c>
      <c r="E280" s="5" t="s">
        <v>19</v>
      </c>
      <c r="F280" s="5">
        <v>25</v>
      </c>
      <c r="G280" s="5">
        <v>990</v>
      </c>
      <c r="H280" s="5">
        <v>868</v>
      </c>
      <c r="I280" s="6">
        <f t="shared" si="12"/>
        <v>24750</v>
      </c>
      <c r="J280" s="6">
        <f t="shared" si="13"/>
        <v>21700</v>
      </c>
      <c r="K280" s="6">
        <f t="shared" si="14"/>
        <v>-3050</v>
      </c>
    </row>
    <row r="281" spans="1:11" ht="15.6" thickTop="1" thickBot="1" x14ac:dyDescent="0.35">
      <c r="A281" s="4">
        <v>45662</v>
      </c>
      <c r="B281" s="5" t="s">
        <v>11</v>
      </c>
      <c r="C281" s="5" t="s">
        <v>12</v>
      </c>
      <c r="D281" s="5" t="s">
        <v>26</v>
      </c>
      <c r="E281" s="5" t="s">
        <v>14</v>
      </c>
      <c r="F281" s="5">
        <v>15</v>
      </c>
      <c r="G281" s="5">
        <v>992</v>
      </c>
      <c r="H281" s="5">
        <v>1404</v>
      </c>
      <c r="I281" s="6">
        <f t="shared" si="12"/>
        <v>14880</v>
      </c>
      <c r="J281" s="6">
        <f t="shared" si="13"/>
        <v>21060</v>
      </c>
      <c r="K281" s="6">
        <f t="shared" si="14"/>
        <v>6180</v>
      </c>
    </row>
    <row r="282" spans="1:11" ht="15.6" thickTop="1" thickBot="1" x14ac:dyDescent="0.35">
      <c r="A282" s="4">
        <v>45619</v>
      </c>
      <c r="B282" s="5" t="s">
        <v>27</v>
      </c>
      <c r="C282" s="5" t="s">
        <v>33</v>
      </c>
      <c r="D282" s="5" t="s">
        <v>26</v>
      </c>
      <c r="E282" s="5" t="s">
        <v>19</v>
      </c>
      <c r="F282" s="5">
        <v>22</v>
      </c>
      <c r="G282" s="5">
        <v>524</v>
      </c>
      <c r="H282" s="5">
        <v>1156</v>
      </c>
      <c r="I282" s="6">
        <f t="shared" si="12"/>
        <v>11528</v>
      </c>
      <c r="J282" s="6">
        <f t="shared" si="13"/>
        <v>25432</v>
      </c>
      <c r="K282" s="6">
        <f t="shared" si="14"/>
        <v>13904</v>
      </c>
    </row>
    <row r="283" spans="1:11" ht="15.6" thickTop="1" thickBot="1" x14ac:dyDescent="0.35">
      <c r="A283" s="4">
        <v>45664</v>
      </c>
      <c r="B283" s="5" t="s">
        <v>11</v>
      </c>
      <c r="C283" s="5" t="s">
        <v>12</v>
      </c>
      <c r="D283" s="5" t="s">
        <v>16</v>
      </c>
      <c r="E283" s="5" t="s">
        <v>14</v>
      </c>
      <c r="F283" s="5">
        <v>11</v>
      </c>
      <c r="G283" s="5">
        <v>668</v>
      </c>
      <c r="H283" s="5">
        <v>1096</v>
      </c>
      <c r="I283" s="6">
        <f t="shared" si="12"/>
        <v>7348</v>
      </c>
      <c r="J283" s="6">
        <f t="shared" si="13"/>
        <v>12056</v>
      </c>
      <c r="K283" s="6">
        <f t="shared" si="14"/>
        <v>4708</v>
      </c>
    </row>
    <row r="284" spans="1:11" ht="15.6" thickTop="1" thickBot="1" x14ac:dyDescent="0.35">
      <c r="A284" s="4">
        <v>45620</v>
      </c>
      <c r="B284" s="5" t="s">
        <v>27</v>
      </c>
      <c r="C284" s="5" t="s">
        <v>33</v>
      </c>
      <c r="D284" s="5" t="s">
        <v>29</v>
      </c>
      <c r="E284" s="5" t="s">
        <v>19</v>
      </c>
      <c r="F284" s="5">
        <v>26</v>
      </c>
      <c r="G284" s="5">
        <v>997</v>
      </c>
      <c r="H284" s="5">
        <v>982</v>
      </c>
      <c r="I284" s="6">
        <f t="shared" si="12"/>
        <v>25922</v>
      </c>
      <c r="J284" s="6">
        <f t="shared" si="13"/>
        <v>25532</v>
      </c>
      <c r="K284" s="6">
        <f t="shared" si="14"/>
        <v>-390</v>
      </c>
    </row>
    <row r="285" spans="1:11" ht="15.6" thickTop="1" thickBot="1" x14ac:dyDescent="0.35">
      <c r="A285" s="4">
        <v>45621</v>
      </c>
      <c r="B285" s="5" t="s">
        <v>27</v>
      </c>
      <c r="C285" s="5" t="s">
        <v>33</v>
      </c>
      <c r="D285" s="5" t="s">
        <v>18</v>
      </c>
      <c r="E285" s="5" t="s">
        <v>19</v>
      </c>
      <c r="F285" s="5">
        <v>27</v>
      </c>
      <c r="G285" s="5">
        <v>922</v>
      </c>
      <c r="H285" s="5">
        <v>1284</v>
      </c>
      <c r="I285" s="6">
        <f t="shared" si="12"/>
        <v>24894</v>
      </c>
      <c r="J285" s="6">
        <f t="shared" si="13"/>
        <v>34668</v>
      </c>
      <c r="K285" s="6">
        <f t="shared" si="14"/>
        <v>9774</v>
      </c>
    </row>
    <row r="286" spans="1:11" ht="15.6" thickTop="1" thickBot="1" x14ac:dyDescent="0.35">
      <c r="A286" s="4">
        <v>45622</v>
      </c>
      <c r="B286" s="5" t="s">
        <v>27</v>
      </c>
      <c r="C286" s="5" t="s">
        <v>33</v>
      </c>
      <c r="D286" s="5" t="s">
        <v>30</v>
      </c>
      <c r="E286" s="5" t="s">
        <v>14</v>
      </c>
      <c r="F286" s="5">
        <v>21</v>
      </c>
      <c r="G286" s="5">
        <v>978</v>
      </c>
      <c r="H286" s="5">
        <v>1139</v>
      </c>
      <c r="I286" s="6">
        <f t="shared" si="12"/>
        <v>20538</v>
      </c>
      <c r="J286" s="6">
        <f t="shared" si="13"/>
        <v>23919</v>
      </c>
      <c r="K286" s="6">
        <f t="shared" si="14"/>
        <v>3381</v>
      </c>
    </row>
    <row r="287" spans="1:11" ht="15.6" thickTop="1" thickBot="1" x14ac:dyDescent="0.35">
      <c r="A287" s="4">
        <v>45623</v>
      </c>
      <c r="B287" s="5" t="s">
        <v>27</v>
      </c>
      <c r="C287" s="5" t="s">
        <v>33</v>
      </c>
      <c r="D287" s="5" t="s">
        <v>31</v>
      </c>
      <c r="E287" s="5" t="s">
        <v>14</v>
      </c>
      <c r="F287" s="5">
        <v>24</v>
      </c>
      <c r="G287" s="5">
        <v>830</v>
      </c>
      <c r="H287" s="5">
        <v>1355</v>
      </c>
      <c r="I287" s="6">
        <f t="shared" si="12"/>
        <v>19920</v>
      </c>
      <c r="J287" s="6">
        <f t="shared" si="13"/>
        <v>32520</v>
      </c>
      <c r="K287" s="6">
        <f t="shared" si="14"/>
        <v>12600</v>
      </c>
    </row>
    <row r="288" spans="1:11" ht="15.6" thickTop="1" thickBot="1" x14ac:dyDescent="0.35">
      <c r="A288" s="4">
        <v>45624</v>
      </c>
      <c r="B288" s="5" t="s">
        <v>27</v>
      </c>
      <c r="C288" s="5" t="s">
        <v>40</v>
      </c>
      <c r="D288" s="5" t="s">
        <v>23</v>
      </c>
      <c r="E288" s="5" t="s">
        <v>14</v>
      </c>
      <c r="F288" s="5">
        <v>21</v>
      </c>
      <c r="G288" s="5">
        <v>751</v>
      </c>
      <c r="H288" s="5">
        <v>1498</v>
      </c>
      <c r="I288" s="6">
        <f t="shared" si="12"/>
        <v>15771</v>
      </c>
      <c r="J288" s="6">
        <f t="shared" si="13"/>
        <v>31458</v>
      </c>
      <c r="K288" s="6">
        <f t="shared" si="14"/>
        <v>15687</v>
      </c>
    </row>
    <row r="289" spans="1:11" ht="15.6" thickTop="1" thickBot="1" x14ac:dyDescent="0.35">
      <c r="A289" s="4">
        <v>45625</v>
      </c>
      <c r="B289" s="5" t="s">
        <v>27</v>
      </c>
      <c r="C289" s="5" t="s">
        <v>40</v>
      </c>
      <c r="D289" s="5" t="s">
        <v>25</v>
      </c>
      <c r="E289" s="5" t="s">
        <v>14</v>
      </c>
      <c r="F289" s="5">
        <v>26</v>
      </c>
      <c r="G289" s="5">
        <v>520</v>
      </c>
      <c r="H289" s="5">
        <v>1261</v>
      </c>
      <c r="I289" s="6">
        <f t="shared" si="12"/>
        <v>13520</v>
      </c>
      <c r="J289" s="6">
        <f t="shared" si="13"/>
        <v>32786</v>
      </c>
      <c r="K289" s="6">
        <f t="shared" si="14"/>
        <v>19266</v>
      </c>
    </row>
    <row r="290" spans="1:11" ht="15.6" thickTop="1" thickBot="1" x14ac:dyDescent="0.35">
      <c r="A290" s="4">
        <v>45671</v>
      </c>
      <c r="B290" s="5" t="s">
        <v>21</v>
      </c>
      <c r="C290" s="5" t="s">
        <v>41</v>
      </c>
      <c r="D290" s="5" t="s">
        <v>32</v>
      </c>
      <c r="E290" s="5" t="s">
        <v>19</v>
      </c>
      <c r="F290" s="5">
        <v>56</v>
      </c>
      <c r="G290" s="5">
        <v>685</v>
      </c>
      <c r="H290" s="5">
        <v>771</v>
      </c>
      <c r="I290" s="6">
        <f t="shared" si="12"/>
        <v>38360</v>
      </c>
      <c r="J290" s="6">
        <f t="shared" si="13"/>
        <v>43176</v>
      </c>
      <c r="K290" s="6">
        <f t="shared" si="14"/>
        <v>4816</v>
      </c>
    </row>
    <row r="291" spans="1:11" ht="15.6" thickTop="1" thickBot="1" x14ac:dyDescent="0.35">
      <c r="A291" s="4">
        <v>45627</v>
      </c>
      <c r="B291" s="5" t="s">
        <v>27</v>
      </c>
      <c r="C291" s="5" t="s">
        <v>40</v>
      </c>
      <c r="D291" s="5" t="s">
        <v>34</v>
      </c>
      <c r="E291" s="5" t="s">
        <v>14</v>
      </c>
      <c r="F291" s="5">
        <v>21</v>
      </c>
      <c r="G291" s="5">
        <v>605</v>
      </c>
      <c r="H291" s="5">
        <v>1264</v>
      </c>
      <c r="I291" s="6">
        <f t="shared" si="12"/>
        <v>12705</v>
      </c>
      <c r="J291" s="6">
        <f t="shared" si="13"/>
        <v>26544</v>
      </c>
      <c r="K291" s="6">
        <f t="shared" si="14"/>
        <v>13839</v>
      </c>
    </row>
    <row r="292" spans="1:11" ht="15.6" thickTop="1" thickBot="1" x14ac:dyDescent="0.35">
      <c r="A292" s="4">
        <v>45628</v>
      </c>
      <c r="B292" s="5" t="s">
        <v>27</v>
      </c>
      <c r="C292" s="5" t="s">
        <v>40</v>
      </c>
      <c r="D292" s="5" t="s">
        <v>34</v>
      </c>
      <c r="E292" s="5" t="s">
        <v>14</v>
      </c>
      <c r="F292" s="5">
        <v>20</v>
      </c>
      <c r="G292" s="5">
        <v>666</v>
      </c>
      <c r="H292" s="5">
        <v>1087</v>
      </c>
      <c r="I292" s="6">
        <f t="shared" si="12"/>
        <v>13320</v>
      </c>
      <c r="J292" s="6">
        <f t="shared" si="13"/>
        <v>21740</v>
      </c>
      <c r="K292" s="6">
        <f t="shared" si="14"/>
        <v>8420</v>
      </c>
    </row>
    <row r="293" spans="1:11" ht="15.6" thickTop="1" thickBot="1" x14ac:dyDescent="0.35">
      <c r="A293" s="4">
        <v>45630</v>
      </c>
      <c r="B293" s="5" t="s">
        <v>27</v>
      </c>
      <c r="C293" s="5" t="s">
        <v>40</v>
      </c>
      <c r="D293" s="5" t="s">
        <v>25</v>
      </c>
      <c r="E293" s="5" t="s">
        <v>19</v>
      </c>
      <c r="F293" s="5">
        <v>23</v>
      </c>
      <c r="G293" s="5">
        <v>632</v>
      </c>
      <c r="H293" s="5">
        <v>762</v>
      </c>
      <c r="I293" s="6">
        <f t="shared" si="12"/>
        <v>14536</v>
      </c>
      <c r="J293" s="6">
        <f t="shared" si="13"/>
        <v>17526</v>
      </c>
      <c r="K293" s="6">
        <f t="shared" si="14"/>
        <v>2990</v>
      </c>
    </row>
    <row r="294" spans="1:11" ht="15.6" thickTop="1" thickBot="1" x14ac:dyDescent="0.35">
      <c r="A294" s="4">
        <v>45631</v>
      </c>
      <c r="B294" s="5" t="s">
        <v>27</v>
      </c>
      <c r="C294" s="5" t="s">
        <v>40</v>
      </c>
      <c r="D294" s="5" t="s">
        <v>20</v>
      </c>
      <c r="E294" s="5" t="s">
        <v>19</v>
      </c>
      <c r="F294" s="5">
        <v>21</v>
      </c>
      <c r="G294" s="5">
        <v>540</v>
      </c>
      <c r="H294" s="5">
        <v>812</v>
      </c>
      <c r="I294" s="6">
        <f t="shared" si="12"/>
        <v>11340</v>
      </c>
      <c r="J294" s="6">
        <f t="shared" si="13"/>
        <v>17052</v>
      </c>
      <c r="K294" s="6">
        <f t="shared" si="14"/>
        <v>5712</v>
      </c>
    </row>
    <row r="295" spans="1:11" ht="15.6" thickTop="1" thickBot="1" x14ac:dyDescent="0.35">
      <c r="A295" s="4">
        <v>45632</v>
      </c>
      <c r="B295" s="5" t="s">
        <v>27</v>
      </c>
      <c r="C295" s="5" t="s">
        <v>40</v>
      </c>
      <c r="D295" s="5" t="s">
        <v>39</v>
      </c>
      <c r="E295" s="5" t="s">
        <v>19</v>
      </c>
      <c r="F295" s="5">
        <v>30</v>
      </c>
      <c r="G295" s="5">
        <v>557</v>
      </c>
      <c r="H295" s="5">
        <v>886</v>
      </c>
      <c r="I295" s="6">
        <f t="shared" si="12"/>
        <v>16710</v>
      </c>
      <c r="J295" s="6">
        <f t="shared" si="13"/>
        <v>26580</v>
      </c>
      <c r="K295" s="6">
        <f t="shared" si="14"/>
        <v>9870</v>
      </c>
    </row>
    <row r="296" spans="1:11" ht="15.6" thickTop="1" thickBot="1" x14ac:dyDescent="0.35">
      <c r="A296" s="4">
        <v>45677</v>
      </c>
      <c r="B296" s="5" t="s">
        <v>11</v>
      </c>
      <c r="C296" s="5" t="s">
        <v>24</v>
      </c>
      <c r="D296" s="5" t="s">
        <v>44</v>
      </c>
      <c r="E296" s="5" t="s">
        <v>14</v>
      </c>
      <c r="F296" s="5">
        <v>20</v>
      </c>
      <c r="G296" s="5">
        <v>803</v>
      </c>
      <c r="H296" s="5">
        <v>941</v>
      </c>
      <c r="I296" s="6">
        <f t="shared" si="12"/>
        <v>16060</v>
      </c>
      <c r="J296" s="6">
        <f t="shared" si="13"/>
        <v>18820</v>
      </c>
      <c r="K296" s="6">
        <f t="shared" si="14"/>
        <v>2760</v>
      </c>
    </row>
    <row r="297" spans="1:11" ht="15.6" thickTop="1" thickBot="1" x14ac:dyDescent="0.35">
      <c r="A297" s="4">
        <v>45633</v>
      </c>
      <c r="B297" s="5" t="s">
        <v>27</v>
      </c>
      <c r="C297" s="5" t="s">
        <v>40</v>
      </c>
      <c r="D297" s="5" t="s">
        <v>26</v>
      </c>
      <c r="E297" s="5" t="s">
        <v>14</v>
      </c>
      <c r="F297" s="5">
        <v>24</v>
      </c>
      <c r="G297" s="5">
        <v>651</v>
      </c>
      <c r="H297" s="5">
        <v>1386</v>
      </c>
      <c r="I297" s="6">
        <f t="shared" si="12"/>
        <v>15624</v>
      </c>
      <c r="J297" s="6">
        <f t="shared" si="13"/>
        <v>33264</v>
      </c>
      <c r="K297" s="6">
        <f t="shared" si="14"/>
        <v>17640</v>
      </c>
    </row>
    <row r="298" spans="1:11" ht="15.6" thickTop="1" thickBot="1" x14ac:dyDescent="0.35">
      <c r="A298" s="4">
        <v>45635</v>
      </c>
      <c r="B298" s="5" t="s">
        <v>27</v>
      </c>
      <c r="C298" s="5" t="s">
        <v>40</v>
      </c>
      <c r="D298" s="5" t="s">
        <v>44</v>
      </c>
      <c r="E298" s="5" t="s">
        <v>19</v>
      </c>
      <c r="F298" s="5">
        <v>20</v>
      </c>
      <c r="G298" s="5">
        <v>565</v>
      </c>
      <c r="H298" s="5">
        <v>943</v>
      </c>
      <c r="I298" s="6">
        <f t="shared" si="12"/>
        <v>11300</v>
      </c>
      <c r="J298" s="6">
        <f t="shared" si="13"/>
        <v>18860</v>
      </c>
      <c r="K298" s="6">
        <f t="shared" si="14"/>
        <v>7560</v>
      </c>
    </row>
    <row r="299" spans="1:11" ht="15.6" thickTop="1" thickBot="1" x14ac:dyDescent="0.35">
      <c r="A299" s="4">
        <v>45689</v>
      </c>
      <c r="B299" s="5" t="s">
        <v>27</v>
      </c>
      <c r="C299" s="5" t="s">
        <v>40</v>
      </c>
      <c r="D299" s="5" t="s">
        <v>26</v>
      </c>
      <c r="E299" s="5" t="s">
        <v>14</v>
      </c>
      <c r="F299" s="5">
        <v>22</v>
      </c>
      <c r="G299" s="5">
        <v>810</v>
      </c>
      <c r="H299" s="5">
        <v>1201</v>
      </c>
      <c r="I299" s="6">
        <f t="shared" si="12"/>
        <v>17820</v>
      </c>
      <c r="J299" s="6">
        <f t="shared" si="13"/>
        <v>26422</v>
      </c>
      <c r="K299" s="6">
        <f t="shared" si="14"/>
        <v>8602</v>
      </c>
    </row>
    <row r="300" spans="1:11" ht="15.6" thickTop="1" thickBot="1" x14ac:dyDescent="0.35">
      <c r="A300" s="4">
        <v>45690</v>
      </c>
      <c r="B300" s="5" t="s">
        <v>27</v>
      </c>
      <c r="C300" s="5" t="s">
        <v>40</v>
      </c>
      <c r="D300" s="5" t="s">
        <v>43</v>
      </c>
      <c r="E300" s="5" t="s">
        <v>14</v>
      </c>
      <c r="F300" s="5">
        <v>23</v>
      </c>
      <c r="G300" s="5">
        <v>827</v>
      </c>
      <c r="H300" s="5">
        <v>1185</v>
      </c>
      <c r="I300" s="6">
        <f t="shared" si="12"/>
        <v>19021</v>
      </c>
      <c r="J300" s="6">
        <f t="shared" si="13"/>
        <v>27255</v>
      </c>
      <c r="K300" s="6">
        <f t="shared" si="14"/>
        <v>8234</v>
      </c>
    </row>
    <row r="301" spans="1:11" ht="15.6" thickTop="1" thickBot="1" x14ac:dyDescent="0.35">
      <c r="A301" s="4">
        <v>45691</v>
      </c>
      <c r="B301" s="5" t="s">
        <v>27</v>
      </c>
      <c r="C301" s="5" t="s">
        <v>40</v>
      </c>
      <c r="D301" s="5" t="s">
        <v>44</v>
      </c>
      <c r="E301" s="5" t="s">
        <v>14</v>
      </c>
      <c r="F301" s="5">
        <v>23</v>
      </c>
      <c r="G301" s="5">
        <v>570</v>
      </c>
      <c r="H301" s="5">
        <v>1230</v>
      </c>
      <c r="I301" s="6">
        <f t="shared" si="12"/>
        <v>13110</v>
      </c>
      <c r="J301" s="6">
        <f t="shared" si="13"/>
        <v>28290</v>
      </c>
      <c r="K301" s="6">
        <f t="shared" si="14"/>
        <v>15180</v>
      </c>
    </row>
    <row r="302" spans="1:11" ht="15.6" thickTop="1" thickBot="1" x14ac:dyDescent="0.35">
      <c r="A302" s="4">
        <v>45683</v>
      </c>
      <c r="B302" s="5" t="s">
        <v>11</v>
      </c>
      <c r="C302" s="5" t="s">
        <v>24</v>
      </c>
      <c r="D302" s="5" t="s">
        <v>18</v>
      </c>
      <c r="E302" s="5" t="s">
        <v>14</v>
      </c>
      <c r="F302" s="5">
        <v>19</v>
      </c>
      <c r="G302" s="5">
        <v>911</v>
      </c>
      <c r="H302" s="5">
        <v>1116</v>
      </c>
      <c r="I302" s="6">
        <f t="shared" si="12"/>
        <v>17309</v>
      </c>
      <c r="J302" s="6">
        <f t="shared" si="13"/>
        <v>21204</v>
      </c>
      <c r="K302" s="6">
        <f t="shared" si="14"/>
        <v>3895</v>
      </c>
    </row>
    <row r="303" spans="1:11" ht="15.6" thickTop="1" thickBot="1" x14ac:dyDescent="0.35">
      <c r="A303" s="4">
        <v>45692</v>
      </c>
      <c r="B303" s="5" t="s">
        <v>27</v>
      </c>
      <c r="C303" s="5" t="s">
        <v>40</v>
      </c>
      <c r="D303" s="5" t="s">
        <v>13</v>
      </c>
      <c r="E303" s="5" t="s">
        <v>19</v>
      </c>
      <c r="F303" s="5">
        <v>21</v>
      </c>
      <c r="G303" s="5">
        <v>938</v>
      </c>
      <c r="H303" s="5">
        <v>1275</v>
      </c>
      <c r="I303" s="6">
        <f t="shared" si="12"/>
        <v>19698</v>
      </c>
      <c r="J303" s="6">
        <f t="shared" si="13"/>
        <v>26775</v>
      </c>
      <c r="K303" s="6">
        <f t="shared" si="14"/>
        <v>7077</v>
      </c>
    </row>
    <row r="304" spans="1:11" ht="15.6" thickTop="1" thickBot="1" x14ac:dyDescent="0.35">
      <c r="A304" s="4">
        <v>45693</v>
      </c>
      <c r="B304" s="5" t="s">
        <v>27</v>
      </c>
      <c r="C304" s="5" t="s">
        <v>40</v>
      </c>
      <c r="D304" s="5" t="s">
        <v>15</v>
      </c>
      <c r="E304" s="5" t="s">
        <v>19</v>
      </c>
      <c r="F304" s="5">
        <v>24</v>
      </c>
      <c r="G304" s="5">
        <v>993</v>
      </c>
      <c r="H304" s="5">
        <v>987</v>
      </c>
      <c r="I304" s="6">
        <f t="shared" si="12"/>
        <v>23832</v>
      </c>
      <c r="J304" s="6">
        <f t="shared" si="13"/>
        <v>23688</v>
      </c>
      <c r="K304" s="6">
        <f t="shared" si="14"/>
        <v>-144</v>
      </c>
    </row>
    <row r="305" spans="1:11" ht="15.6" thickTop="1" thickBot="1" x14ac:dyDescent="0.35">
      <c r="A305" s="4">
        <v>45694</v>
      </c>
      <c r="B305" s="5" t="s">
        <v>27</v>
      </c>
      <c r="C305" s="5" t="s">
        <v>40</v>
      </c>
      <c r="D305" s="5" t="s">
        <v>16</v>
      </c>
      <c r="E305" s="5" t="s">
        <v>19</v>
      </c>
      <c r="F305" s="5">
        <v>20</v>
      </c>
      <c r="G305" s="5">
        <v>534</v>
      </c>
      <c r="H305" s="5">
        <v>1233</v>
      </c>
      <c r="I305" s="6">
        <f t="shared" si="12"/>
        <v>10680</v>
      </c>
      <c r="J305" s="6">
        <f t="shared" si="13"/>
        <v>24660</v>
      </c>
      <c r="K305" s="6">
        <f t="shared" si="14"/>
        <v>13980</v>
      </c>
    </row>
    <row r="306" spans="1:11" ht="15.6" thickTop="1" thickBot="1" x14ac:dyDescent="0.35">
      <c r="A306" s="4">
        <v>45687</v>
      </c>
      <c r="B306" s="5" t="s">
        <v>11</v>
      </c>
      <c r="C306" s="5" t="s">
        <v>24</v>
      </c>
      <c r="D306" s="5" t="s">
        <v>20</v>
      </c>
      <c r="E306" s="5" t="s">
        <v>19</v>
      </c>
      <c r="F306" s="5">
        <v>10</v>
      </c>
      <c r="G306" s="5">
        <v>911</v>
      </c>
      <c r="H306" s="5">
        <v>1097</v>
      </c>
      <c r="I306" s="6">
        <f t="shared" si="12"/>
        <v>9110</v>
      </c>
      <c r="J306" s="6">
        <f t="shared" si="13"/>
        <v>10970</v>
      </c>
      <c r="K306" s="6">
        <f t="shared" si="14"/>
        <v>1860</v>
      </c>
    </row>
    <row r="307" spans="1:11" ht="15.6" thickTop="1" thickBot="1" x14ac:dyDescent="0.35">
      <c r="A307" s="4">
        <v>45695</v>
      </c>
      <c r="B307" s="5" t="s">
        <v>27</v>
      </c>
      <c r="C307" s="5" t="s">
        <v>40</v>
      </c>
      <c r="D307" s="5" t="s">
        <v>17</v>
      </c>
      <c r="E307" s="5" t="s">
        <v>19</v>
      </c>
      <c r="F307" s="5">
        <v>23</v>
      </c>
      <c r="G307" s="5">
        <v>761</v>
      </c>
      <c r="H307" s="5">
        <v>901</v>
      </c>
      <c r="I307" s="6">
        <f t="shared" si="12"/>
        <v>17503</v>
      </c>
      <c r="J307" s="6">
        <f t="shared" si="13"/>
        <v>20723</v>
      </c>
      <c r="K307" s="6">
        <f t="shared" si="14"/>
        <v>3220</v>
      </c>
    </row>
    <row r="308" spans="1:11" ht="15.6" thickTop="1" thickBot="1" x14ac:dyDescent="0.35">
      <c r="A308" s="4">
        <v>45696</v>
      </c>
      <c r="B308" s="5" t="s">
        <v>27</v>
      </c>
      <c r="C308" s="5" t="s">
        <v>40</v>
      </c>
      <c r="D308" s="5" t="s">
        <v>17</v>
      </c>
      <c r="E308" s="5" t="s">
        <v>19</v>
      </c>
      <c r="F308" s="5">
        <v>23</v>
      </c>
      <c r="G308" s="5">
        <v>701</v>
      </c>
      <c r="H308" s="5">
        <v>1322</v>
      </c>
      <c r="I308" s="6">
        <f t="shared" si="12"/>
        <v>16123</v>
      </c>
      <c r="J308" s="6">
        <f t="shared" si="13"/>
        <v>30406</v>
      </c>
      <c r="K308" s="6">
        <f t="shared" si="14"/>
        <v>14283</v>
      </c>
    </row>
    <row r="309" spans="1:11" ht="15.6" thickTop="1" thickBot="1" x14ac:dyDescent="0.35">
      <c r="A309" s="4">
        <v>45697</v>
      </c>
      <c r="B309" s="5" t="s">
        <v>27</v>
      </c>
      <c r="C309" s="5" t="s">
        <v>40</v>
      </c>
      <c r="D309" s="5" t="s">
        <v>18</v>
      </c>
      <c r="E309" s="5" t="s">
        <v>14</v>
      </c>
      <c r="F309" s="5">
        <v>25</v>
      </c>
      <c r="G309" s="5">
        <v>541</v>
      </c>
      <c r="H309" s="5">
        <v>1090</v>
      </c>
      <c r="I309" s="6">
        <f t="shared" si="12"/>
        <v>13525</v>
      </c>
      <c r="J309" s="6">
        <f t="shared" si="13"/>
        <v>27250</v>
      </c>
      <c r="K309" s="6">
        <f t="shared" si="14"/>
        <v>13725</v>
      </c>
    </row>
    <row r="310" spans="1:11" ht="15.6" thickTop="1" thickBot="1" x14ac:dyDescent="0.35">
      <c r="A310" s="4">
        <v>45699</v>
      </c>
      <c r="B310" s="5" t="s">
        <v>27</v>
      </c>
      <c r="C310" s="5" t="s">
        <v>40</v>
      </c>
      <c r="D310" s="5" t="s">
        <v>23</v>
      </c>
      <c r="E310" s="5" t="s">
        <v>14</v>
      </c>
      <c r="F310" s="5">
        <v>28</v>
      </c>
      <c r="G310" s="5">
        <v>708</v>
      </c>
      <c r="H310" s="5">
        <v>1358</v>
      </c>
      <c r="I310" s="6">
        <f t="shared" si="12"/>
        <v>19824</v>
      </c>
      <c r="J310" s="6">
        <f t="shared" si="13"/>
        <v>38024</v>
      </c>
      <c r="K310" s="6">
        <f t="shared" si="14"/>
        <v>18200</v>
      </c>
    </row>
    <row r="311" spans="1:11" ht="15.6" thickTop="1" thickBot="1" x14ac:dyDescent="0.35">
      <c r="A311" s="4">
        <v>45383</v>
      </c>
      <c r="B311" s="5" t="s">
        <v>27</v>
      </c>
      <c r="C311" s="5" t="s">
        <v>28</v>
      </c>
      <c r="D311" s="5" t="s">
        <v>35</v>
      </c>
      <c r="E311" s="5" t="s">
        <v>19</v>
      </c>
      <c r="F311" s="5">
        <v>28</v>
      </c>
      <c r="G311" s="5">
        <v>826</v>
      </c>
      <c r="H311" s="5">
        <v>929</v>
      </c>
      <c r="I311" s="6">
        <f t="shared" si="12"/>
        <v>23128</v>
      </c>
      <c r="J311" s="6">
        <f t="shared" si="13"/>
        <v>26012</v>
      </c>
      <c r="K311" s="6">
        <f t="shared" si="14"/>
        <v>2884</v>
      </c>
    </row>
    <row r="312" spans="1:11" ht="15.6" thickTop="1" thickBot="1" x14ac:dyDescent="0.35">
      <c r="A312" s="4">
        <v>45384</v>
      </c>
      <c r="B312" s="5" t="s">
        <v>27</v>
      </c>
      <c r="C312" s="5" t="s">
        <v>42</v>
      </c>
      <c r="D312" s="5" t="s">
        <v>26</v>
      </c>
      <c r="E312" s="5" t="s">
        <v>19</v>
      </c>
      <c r="F312" s="5">
        <v>25</v>
      </c>
      <c r="G312" s="5">
        <v>952</v>
      </c>
      <c r="H312" s="5">
        <v>1261</v>
      </c>
      <c r="I312" s="6">
        <f t="shared" si="12"/>
        <v>23800</v>
      </c>
      <c r="J312" s="6">
        <f t="shared" si="13"/>
        <v>31525</v>
      </c>
      <c r="K312" s="6">
        <f t="shared" si="14"/>
        <v>7725</v>
      </c>
    </row>
    <row r="313" spans="1:11" ht="15.6" thickTop="1" thickBot="1" x14ac:dyDescent="0.35">
      <c r="A313" s="4">
        <v>45385</v>
      </c>
      <c r="B313" s="5" t="s">
        <v>27</v>
      </c>
      <c r="C313" s="5" t="s">
        <v>42</v>
      </c>
      <c r="D313" s="5" t="s">
        <v>17</v>
      </c>
      <c r="E313" s="5" t="s">
        <v>19</v>
      </c>
      <c r="F313" s="5">
        <v>20</v>
      </c>
      <c r="G313" s="5">
        <v>940</v>
      </c>
      <c r="H313" s="5">
        <v>1259</v>
      </c>
      <c r="I313" s="6">
        <f t="shared" si="12"/>
        <v>18800</v>
      </c>
      <c r="J313" s="6">
        <f t="shared" si="13"/>
        <v>25180</v>
      </c>
      <c r="K313" s="6">
        <f t="shared" si="14"/>
        <v>6380</v>
      </c>
    </row>
    <row r="314" spans="1:11" ht="15.6" thickTop="1" thickBot="1" x14ac:dyDescent="0.35">
      <c r="A314" s="4">
        <v>45386</v>
      </c>
      <c r="B314" s="5" t="s">
        <v>27</v>
      </c>
      <c r="C314" s="5" t="s">
        <v>42</v>
      </c>
      <c r="D314" s="5" t="s">
        <v>34</v>
      </c>
      <c r="E314" s="5" t="s">
        <v>19</v>
      </c>
      <c r="F314" s="5">
        <v>22</v>
      </c>
      <c r="G314" s="5">
        <v>785</v>
      </c>
      <c r="H314" s="5">
        <v>1292</v>
      </c>
      <c r="I314" s="6">
        <f t="shared" si="12"/>
        <v>17270</v>
      </c>
      <c r="J314" s="6">
        <f t="shared" si="13"/>
        <v>28424</v>
      </c>
      <c r="K314" s="6">
        <f t="shared" si="14"/>
        <v>11154</v>
      </c>
    </row>
    <row r="315" spans="1:11" ht="15.6" thickTop="1" thickBot="1" x14ac:dyDescent="0.35">
      <c r="A315" s="4">
        <v>45391</v>
      </c>
      <c r="B315" s="5" t="s">
        <v>27</v>
      </c>
      <c r="C315" s="5" t="s">
        <v>28</v>
      </c>
      <c r="D315" s="5" t="s">
        <v>32</v>
      </c>
      <c r="E315" s="5" t="s">
        <v>14</v>
      </c>
      <c r="F315" s="5">
        <v>21</v>
      </c>
      <c r="G315" s="5">
        <v>879</v>
      </c>
      <c r="H315" s="5">
        <v>1019</v>
      </c>
      <c r="I315" s="6">
        <f t="shared" si="12"/>
        <v>18459</v>
      </c>
      <c r="J315" s="6">
        <f t="shared" si="13"/>
        <v>21399</v>
      </c>
      <c r="K315" s="6">
        <f t="shared" si="14"/>
        <v>2940</v>
      </c>
    </row>
    <row r="316" spans="1:11" ht="15.6" thickTop="1" thickBot="1" x14ac:dyDescent="0.35">
      <c r="A316" s="4">
        <v>45392</v>
      </c>
      <c r="B316" s="5" t="s">
        <v>27</v>
      </c>
      <c r="C316" s="5" t="s">
        <v>28</v>
      </c>
      <c r="D316" s="5" t="s">
        <v>23</v>
      </c>
      <c r="E316" s="5" t="s">
        <v>14</v>
      </c>
      <c r="F316" s="5">
        <v>28</v>
      </c>
      <c r="G316" s="5">
        <v>937</v>
      </c>
      <c r="H316" s="5">
        <v>872</v>
      </c>
      <c r="I316" s="6">
        <f t="shared" si="12"/>
        <v>26236</v>
      </c>
      <c r="J316" s="6">
        <f t="shared" si="13"/>
        <v>24416</v>
      </c>
      <c r="K316" s="6">
        <f t="shared" si="14"/>
        <v>-1820</v>
      </c>
    </row>
    <row r="317" spans="1:11" ht="15.6" thickTop="1" thickBot="1" x14ac:dyDescent="0.35">
      <c r="A317" s="4">
        <v>45698</v>
      </c>
      <c r="B317" s="5" t="s">
        <v>27</v>
      </c>
      <c r="C317" s="5" t="s">
        <v>40</v>
      </c>
      <c r="D317" s="5" t="s">
        <v>20</v>
      </c>
      <c r="E317" s="5" t="s">
        <v>14</v>
      </c>
      <c r="F317" s="5">
        <v>26</v>
      </c>
      <c r="G317" s="5">
        <v>751</v>
      </c>
      <c r="H317" s="5">
        <v>1292</v>
      </c>
      <c r="I317" s="6">
        <f t="shared" si="12"/>
        <v>19526</v>
      </c>
      <c r="J317" s="6">
        <f t="shared" si="13"/>
        <v>33592</v>
      </c>
      <c r="K317" s="6">
        <f t="shared" si="14"/>
        <v>14066</v>
      </c>
    </row>
    <row r="318" spans="1:11" ht="15.6" thickTop="1" thickBot="1" x14ac:dyDescent="0.35">
      <c r="A318" s="4">
        <v>45393</v>
      </c>
      <c r="B318" s="5" t="s">
        <v>27</v>
      </c>
      <c r="C318" s="5" t="s">
        <v>28</v>
      </c>
      <c r="D318" s="5" t="s">
        <v>25</v>
      </c>
      <c r="E318" s="5" t="s">
        <v>14</v>
      </c>
      <c r="F318" s="5">
        <v>22</v>
      </c>
      <c r="G318" s="5">
        <v>832</v>
      </c>
      <c r="H318" s="5">
        <v>769</v>
      </c>
      <c r="I318" s="6">
        <f t="shared" si="12"/>
        <v>18304</v>
      </c>
      <c r="J318" s="6">
        <f t="shared" si="13"/>
        <v>16918</v>
      </c>
      <c r="K318" s="6">
        <f t="shared" si="14"/>
        <v>-1386</v>
      </c>
    </row>
    <row r="319" spans="1:11" ht="15.6" thickTop="1" thickBot="1" x14ac:dyDescent="0.35">
      <c r="A319" s="4">
        <v>45394</v>
      </c>
      <c r="B319" s="5" t="s">
        <v>27</v>
      </c>
      <c r="C319" s="5" t="s">
        <v>28</v>
      </c>
      <c r="D319" s="5" t="s">
        <v>25</v>
      </c>
      <c r="E319" s="5" t="s">
        <v>14</v>
      </c>
      <c r="F319" s="5">
        <v>28</v>
      </c>
      <c r="G319" s="5">
        <v>832</v>
      </c>
      <c r="H319" s="5">
        <v>1028</v>
      </c>
      <c r="I319" s="6">
        <f t="shared" si="12"/>
        <v>23296</v>
      </c>
      <c r="J319" s="6">
        <f t="shared" si="13"/>
        <v>28784</v>
      </c>
      <c r="K319" s="6">
        <f t="shared" si="14"/>
        <v>5488</v>
      </c>
    </row>
    <row r="320" spans="1:11" ht="15.6" thickTop="1" thickBot="1" x14ac:dyDescent="0.35">
      <c r="A320" s="4">
        <v>45396</v>
      </c>
      <c r="B320" s="5" t="s">
        <v>27</v>
      </c>
      <c r="C320" s="5" t="s">
        <v>28</v>
      </c>
      <c r="D320" s="5" t="s">
        <v>18</v>
      </c>
      <c r="E320" s="5" t="s">
        <v>14</v>
      </c>
      <c r="F320" s="5">
        <v>22</v>
      </c>
      <c r="G320" s="5">
        <v>622</v>
      </c>
      <c r="H320" s="5">
        <v>822</v>
      </c>
      <c r="I320" s="6">
        <f t="shared" si="12"/>
        <v>13684</v>
      </c>
      <c r="J320" s="6">
        <f t="shared" si="13"/>
        <v>18084</v>
      </c>
      <c r="K320" s="6">
        <f t="shared" si="14"/>
        <v>4400</v>
      </c>
    </row>
    <row r="321" spans="1:11" ht="15.6" thickTop="1" thickBot="1" x14ac:dyDescent="0.35">
      <c r="A321" s="4">
        <v>45702</v>
      </c>
      <c r="B321" s="5" t="s">
        <v>21</v>
      </c>
      <c r="C321" s="5" t="s">
        <v>38</v>
      </c>
      <c r="D321" s="5" t="s">
        <v>34</v>
      </c>
      <c r="E321" s="5" t="s">
        <v>14</v>
      </c>
      <c r="F321" s="5">
        <v>55</v>
      </c>
      <c r="G321" s="5">
        <v>856</v>
      </c>
      <c r="H321" s="5">
        <v>756</v>
      </c>
      <c r="I321" s="6">
        <f t="shared" si="12"/>
        <v>47080</v>
      </c>
      <c r="J321" s="6">
        <f t="shared" si="13"/>
        <v>41580</v>
      </c>
      <c r="K321" s="6">
        <f t="shared" si="14"/>
        <v>-5500</v>
      </c>
    </row>
    <row r="322" spans="1:11" ht="15.6" thickTop="1" thickBot="1" x14ac:dyDescent="0.35">
      <c r="A322" s="4">
        <v>45404</v>
      </c>
      <c r="B322" s="5" t="s">
        <v>27</v>
      </c>
      <c r="C322" s="5" t="s">
        <v>33</v>
      </c>
      <c r="D322" s="5" t="s">
        <v>25</v>
      </c>
      <c r="E322" s="5" t="s">
        <v>19</v>
      </c>
      <c r="F322" s="5">
        <v>23</v>
      </c>
      <c r="G322" s="5">
        <v>663</v>
      </c>
      <c r="H322" s="5">
        <v>1153</v>
      </c>
      <c r="I322" s="6">
        <f t="shared" ref="I322:I385" si="15">F322*G322</f>
        <v>15249</v>
      </c>
      <c r="J322" s="6">
        <f t="shared" ref="J322:J385" si="16">F322*H322</f>
        <v>26519</v>
      </c>
      <c r="K322" s="6">
        <f t="shared" ref="K322:K385" si="17">J322-I322</f>
        <v>11270</v>
      </c>
    </row>
    <row r="323" spans="1:11" ht="15.6" thickTop="1" thickBot="1" x14ac:dyDescent="0.35">
      <c r="A323" s="4">
        <v>45406</v>
      </c>
      <c r="B323" s="5" t="s">
        <v>27</v>
      </c>
      <c r="C323" s="5" t="s">
        <v>33</v>
      </c>
      <c r="D323" s="5" t="s">
        <v>34</v>
      </c>
      <c r="E323" s="5" t="s">
        <v>19</v>
      </c>
      <c r="F323" s="5">
        <v>23</v>
      </c>
      <c r="G323" s="5">
        <v>779</v>
      </c>
      <c r="H323" s="5">
        <v>1415</v>
      </c>
      <c r="I323" s="6">
        <f t="shared" si="15"/>
        <v>17917</v>
      </c>
      <c r="J323" s="6">
        <f t="shared" si="16"/>
        <v>32545</v>
      </c>
      <c r="K323" s="6">
        <f t="shared" si="17"/>
        <v>14628</v>
      </c>
    </row>
    <row r="324" spans="1:11" ht="15.6" thickTop="1" thickBot="1" x14ac:dyDescent="0.35">
      <c r="A324" s="4">
        <v>45408</v>
      </c>
      <c r="B324" s="5" t="s">
        <v>27</v>
      </c>
      <c r="C324" s="5" t="s">
        <v>33</v>
      </c>
      <c r="D324" s="5" t="s">
        <v>25</v>
      </c>
      <c r="E324" s="5" t="s">
        <v>14</v>
      </c>
      <c r="F324" s="5">
        <v>29</v>
      </c>
      <c r="G324" s="5">
        <v>952</v>
      </c>
      <c r="H324" s="5">
        <v>1428</v>
      </c>
      <c r="I324" s="6">
        <f t="shared" si="15"/>
        <v>27608</v>
      </c>
      <c r="J324" s="6">
        <f t="shared" si="16"/>
        <v>41412</v>
      </c>
      <c r="K324" s="6">
        <f t="shared" si="17"/>
        <v>13804</v>
      </c>
    </row>
    <row r="325" spans="1:11" ht="15.6" thickTop="1" thickBot="1" x14ac:dyDescent="0.35">
      <c r="A325" s="4">
        <v>45409</v>
      </c>
      <c r="B325" s="5" t="s">
        <v>27</v>
      </c>
      <c r="C325" s="5" t="s">
        <v>33</v>
      </c>
      <c r="D325" s="5" t="s">
        <v>20</v>
      </c>
      <c r="E325" s="5" t="s">
        <v>14</v>
      </c>
      <c r="F325" s="5">
        <v>26</v>
      </c>
      <c r="G325" s="5">
        <v>983</v>
      </c>
      <c r="H325" s="5">
        <v>1270</v>
      </c>
      <c r="I325" s="6">
        <f t="shared" si="15"/>
        <v>25558</v>
      </c>
      <c r="J325" s="6">
        <f t="shared" si="16"/>
        <v>33020</v>
      </c>
      <c r="K325" s="6">
        <f t="shared" si="17"/>
        <v>7462</v>
      </c>
    </row>
    <row r="326" spans="1:11" ht="15.6" thickTop="1" thickBot="1" x14ac:dyDescent="0.35">
      <c r="A326" s="4">
        <v>45410</v>
      </c>
      <c r="B326" s="5" t="s">
        <v>27</v>
      </c>
      <c r="C326" s="5" t="s">
        <v>33</v>
      </c>
      <c r="D326" s="5" t="s">
        <v>39</v>
      </c>
      <c r="E326" s="5" t="s">
        <v>14</v>
      </c>
      <c r="F326" s="5">
        <v>28</v>
      </c>
      <c r="G326" s="5">
        <v>814</v>
      </c>
      <c r="H326" s="5">
        <v>1343</v>
      </c>
      <c r="I326" s="6">
        <f t="shared" si="15"/>
        <v>22792</v>
      </c>
      <c r="J326" s="6">
        <f t="shared" si="16"/>
        <v>37604</v>
      </c>
      <c r="K326" s="6">
        <f t="shared" si="17"/>
        <v>14812</v>
      </c>
    </row>
    <row r="327" spans="1:11" ht="15.6" thickTop="1" thickBot="1" x14ac:dyDescent="0.35">
      <c r="A327" s="4">
        <v>45411</v>
      </c>
      <c r="B327" s="5" t="s">
        <v>27</v>
      </c>
      <c r="C327" s="5" t="s">
        <v>33</v>
      </c>
      <c r="D327" s="5" t="s">
        <v>26</v>
      </c>
      <c r="E327" s="5" t="s">
        <v>14</v>
      </c>
      <c r="F327" s="5">
        <v>26</v>
      </c>
      <c r="G327" s="5">
        <v>835</v>
      </c>
      <c r="H327" s="5">
        <v>973</v>
      </c>
      <c r="I327" s="6">
        <f t="shared" si="15"/>
        <v>21710</v>
      </c>
      <c r="J327" s="6">
        <f t="shared" si="16"/>
        <v>25298</v>
      </c>
      <c r="K327" s="6">
        <f t="shared" si="17"/>
        <v>3588</v>
      </c>
    </row>
    <row r="328" spans="1:11" ht="15.6" thickTop="1" thickBot="1" x14ac:dyDescent="0.35">
      <c r="A328" s="4">
        <v>45709</v>
      </c>
      <c r="B328" s="5" t="s">
        <v>21</v>
      </c>
      <c r="C328" s="5" t="s">
        <v>38</v>
      </c>
      <c r="D328" s="5" t="s">
        <v>43</v>
      </c>
      <c r="E328" s="5" t="s">
        <v>19</v>
      </c>
      <c r="F328" s="5">
        <v>88</v>
      </c>
      <c r="G328" s="5">
        <v>635</v>
      </c>
      <c r="H328" s="5">
        <v>1370</v>
      </c>
      <c r="I328" s="6">
        <f t="shared" si="15"/>
        <v>55880</v>
      </c>
      <c r="J328" s="6">
        <f t="shared" si="16"/>
        <v>120560</v>
      </c>
      <c r="K328" s="6">
        <f t="shared" si="17"/>
        <v>64680</v>
      </c>
    </row>
    <row r="329" spans="1:11" ht="15.6" thickTop="1" thickBot="1" x14ac:dyDescent="0.35">
      <c r="A329" s="4">
        <v>45412</v>
      </c>
      <c r="B329" s="5" t="s">
        <v>27</v>
      </c>
      <c r="C329" s="5" t="s">
        <v>33</v>
      </c>
      <c r="D329" s="5" t="s">
        <v>43</v>
      </c>
      <c r="E329" s="5" t="s">
        <v>14</v>
      </c>
      <c r="F329" s="5">
        <v>24</v>
      </c>
      <c r="G329" s="5">
        <v>631</v>
      </c>
      <c r="H329" s="5">
        <v>1304</v>
      </c>
      <c r="I329" s="6">
        <f t="shared" si="15"/>
        <v>15144</v>
      </c>
      <c r="J329" s="6">
        <f t="shared" si="16"/>
        <v>31296</v>
      </c>
      <c r="K329" s="6">
        <f t="shared" si="17"/>
        <v>16152</v>
      </c>
    </row>
    <row r="330" spans="1:11" ht="15.6" thickTop="1" thickBot="1" x14ac:dyDescent="0.35">
      <c r="A330" s="4">
        <v>45413</v>
      </c>
      <c r="B330" s="5" t="s">
        <v>27</v>
      </c>
      <c r="C330" s="5" t="s">
        <v>33</v>
      </c>
      <c r="D330" s="5" t="s">
        <v>44</v>
      </c>
      <c r="E330" s="5" t="s">
        <v>14</v>
      </c>
      <c r="F330" s="5">
        <v>24</v>
      </c>
      <c r="G330" s="5">
        <v>833</v>
      </c>
      <c r="H330" s="5">
        <v>1280</v>
      </c>
      <c r="I330" s="6">
        <f t="shared" si="15"/>
        <v>19992</v>
      </c>
      <c r="J330" s="6">
        <f t="shared" si="16"/>
        <v>30720</v>
      </c>
      <c r="K330" s="6">
        <f t="shared" si="17"/>
        <v>10728</v>
      </c>
    </row>
    <row r="331" spans="1:11" ht="15.6" thickTop="1" thickBot="1" x14ac:dyDescent="0.35">
      <c r="A331" s="4">
        <v>45414</v>
      </c>
      <c r="B331" s="7" t="s">
        <v>27</v>
      </c>
      <c r="C331" s="7" t="s">
        <v>33</v>
      </c>
      <c r="D331" s="7" t="s">
        <v>13</v>
      </c>
      <c r="E331" s="5" t="s">
        <v>19</v>
      </c>
      <c r="F331" s="5">
        <v>21</v>
      </c>
      <c r="G331" s="5">
        <v>680</v>
      </c>
      <c r="H331" s="5">
        <v>1049</v>
      </c>
      <c r="I331" s="6">
        <f t="shared" si="15"/>
        <v>14280</v>
      </c>
      <c r="J331" s="6">
        <f t="shared" si="16"/>
        <v>22029</v>
      </c>
      <c r="K331" s="6">
        <f t="shared" si="17"/>
        <v>7749</v>
      </c>
    </row>
    <row r="332" spans="1:11" ht="15.6" thickTop="1" thickBot="1" x14ac:dyDescent="0.35">
      <c r="A332" s="4">
        <v>45415</v>
      </c>
      <c r="B332" s="7" t="s">
        <v>27</v>
      </c>
      <c r="C332" s="8" t="s">
        <v>33</v>
      </c>
      <c r="D332" s="7" t="s">
        <v>15</v>
      </c>
      <c r="E332" s="5" t="s">
        <v>19</v>
      </c>
      <c r="F332" s="5">
        <v>23</v>
      </c>
      <c r="G332" s="5">
        <v>667</v>
      </c>
      <c r="H332" s="5">
        <v>962</v>
      </c>
      <c r="I332" s="6">
        <f t="shared" si="15"/>
        <v>15341</v>
      </c>
      <c r="J332" s="6">
        <f t="shared" si="16"/>
        <v>22126</v>
      </c>
      <c r="K332" s="6">
        <f t="shared" si="17"/>
        <v>6785</v>
      </c>
    </row>
    <row r="333" spans="1:11" ht="15.6" thickTop="1" thickBot="1" x14ac:dyDescent="0.35">
      <c r="A333" s="4">
        <v>45416</v>
      </c>
      <c r="B333" s="5" t="s">
        <v>27</v>
      </c>
      <c r="C333" s="5" t="s">
        <v>33</v>
      </c>
      <c r="D333" s="5" t="s">
        <v>16</v>
      </c>
      <c r="E333" s="5" t="s">
        <v>19</v>
      </c>
      <c r="F333" s="5">
        <v>24</v>
      </c>
      <c r="G333" s="5">
        <v>504</v>
      </c>
      <c r="H333" s="5">
        <v>1283</v>
      </c>
      <c r="I333" s="6">
        <f t="shared" si="15"/>
        <v>12096</v>
      </c>
      <c r="J333" s="6">
        <f t="shared" si="16"/>
        <v>30792</v>
      </c>
      <c r="K333" s="6">
        <f t="shared" si="17"/>
        <v>18696</v>
      </c>
    </row>
    <row r="334" spans="1:11" ht="15.6" thickTop="1" thickBot="1" x14ac:dyDescent="0.35">
      <c r="A334" s="4">
        <v>45417</v>
      </c>
      <c r="B334" s="5" t="s">
        <v>27</v>
      </c>
      <c r="C334" s="5" t="s">
        <v>33</v>
      </c>
      <c r="D334" s="5" t="s">
        <v>17</v>
      </c>
      <c r="E334" s="5" t="s">
        <v>19</v>
      </c>
      <c r="F334" s="5">
        <v>26</v>
      </c>
      <c r="G334" s="5">
        <v>985</v>
      </c>
      <c r="H334" s="5">
        <v>1407</v>
      </c>
      <c r="I334" s="6">
        <f t="shared" si="15"/>
        <v>25610</v>
      </c>
      <c r="J334" s="6">
        <f t="shared" si="16"/>
        <v>36582</v>
      </c>
      <c r="K334" s="6">
        <f t="shared" si="17"/>
        <v>10972</v>
      </c>
    </row>
    <row r="335" spans="1:11" ht="15.6" thickTop="1" thickBot="1" x14ac:dyDescent="0.35">
      <c r="A335" s="4">
        <v>45418</v>
      </c>
      <c r="B335" s="5" t="s">
        <v>27</v>
      </c>
      <c r="C335" s="5" t="s">
        <v>33</v>
      </c>
      <c r="D335" s="5" t="s">
        <v>17</v>
      </c>
      <c r="E335" s="5" t="s">
        <v>14</v>
      </c>
      <c r="F335" s="5">
        <v>27</v>
      </c>
      <c r="G335" s="5">
        <v>890</v>
      </c>
      <c r="H335" s="5">
        <v>853</v>
      </c>
      <c r="I335" s="6">
        <f t="shared" si="15"/>
        <v>24030</v>
      </c>
      <c r="J335" s="6">
        <f t="shared" si="16"/>
        <v>23031</v>
      </c>
      <c r="K335" s="6">
        <f t="shared" si="17"/>
        <v>-999</v>
      </c>
    </row>
    <row r="336" spans="1:11" ht="15.6" thickTop="1" thickBot="1" x14ac:dyDescent="0.35">
      <c r="A336" s="4">
        <v>45419</v>
      </c>
      <c r="B336" s="5" t="s">
        <v>27</v>
      </c>
      <c r="C336" s="5" t="s">
        <v>40</v>
      </c>
      <c r="D336" s="5" t="s">
        <v>18</v>
      </c>
      <c r="E336" s="5" t="s">
        <v>14</v>
      </c>
      <c r="F336" s="5">
        <v>21</v>
      </c>
      <c r="G336" s="5">
        <v>722</v>
      </c>
      <c r="H336" s="5">
        <v>1247</v>
      </c>
      <c r="I336" s="6">
        <f t="shared" si="15"/>
        <v>15162</v>
      </c>
      <c r="J336" s="6">
        <f t="shared" si="16"/>
        <v>26187</v>
      </c>
      <c r="K336" s="6">
        <f t="shared" si="17"/>
        <v>11025</v>
      </c>
    </row>
    <row r="337" spans="1:11" ht="15.6" thickTop="1" thickBot="1" x14ac:dyDescent="0.35">
      <c r="A337" s="4">
        <v>45420</v>
      </c>
      <c r="B337" s="5" t="s">
        <v>27</v>
      </c>
      <c r="C337" s="5" t="s">
        <v>40</v>
      </c>
      <c r="D337" s="5" t="s">
        <v>20</v>
      </c>
      <c r="E337" s="5" t="s">
        <v>14</v>
      </c>
      <c r="F337" s="5">
        <v>22</v>
      </c>
      <c r="G337" s="5">
        <v>725</v>
      </c>
      <c r="H337" s="5">
        <v>765</v>
      </c>
      <c r="I337" s="6">
        <f t="shared" si="15"/>
        <v>15950</v>
      </c>
      <c r="J337" s="6">
        <f t="shared" si="16"/>
        <v>16830</v>
      </c>
      <c r="K337" s="6">
        <f t="shared" si="17"/>
        <v>880</v>
      </c>
    </row>
    <row r="338" spans="1:11" ht="15.6" thickTop="1" thickBot="1" x14ac:dyDescent="0.35">
      <c r="A338" s="4">
        <v>45421</v>
      </c>
      <c r="B338" s="5" t="s">
        <v>27</v>
      </c>
      <c r="C338" s="5" t="s">
        <v>40</v>
      </c>
      <c r="D338" s="5" t="s">
        <v>17</v>
      </c>
      <c r="E338" s="5" t="s">
        <v>14</v>
      </c>
      <c r="F338" s="5">
        <v>26</v>
      </c>
      <c r="G338" s="5">
        <v>509</v>
      </c>
      <c r="H338" s="5">
        <v>1120</v>
      </c>
      <c r="I338" s="6">
        <f t="shared" si="15"/>
        <v>13234</v>
      </c>
      <c r="J338" s="6">
        <f t="shared" si="16"/>
        <v>29120</v>
      </c>
      <c r="K338" s="6">
        <f t="shared" si="17"/>
        <v>15886</v>
      </c>
    </row>
    <row r="339" spans="1:11" ht="15.6" thickTop="1" thickBot="1" x14ac:dyDescent="0.35">
      <c r="A339" s="4">
        <v>45389</v>
      </c>
      <c r="B339" s="5" t="s">
        <v>21</v>
      </c>
      <c r="C339" s="5" t="s">
        <v>22</v>
      </c>
      <c r="D339" s="5" t="s">
        <v>23</v>
      </c>
      <c r="E339" s="5" t="s">
        <v>19</v>
      </c>
      <c r="F339" s="5">
        <v>55</v>
      </c>
      <c r="G339" s="5">
        <v>906</v>
      </c>
      <c r="H339" s="5">
        <v>880</v>
      </c>
      <c r="I339" s="6">
        <f t="shared" si="15"/>
        <v>49830</v>
      </c>
      <c r="J339" s="6">
        <f t="shared" si="16"/>
        <v>48400</v>
      </c>
      <c r="K339" s="6">
        <f t="shared" si="17"/>
        <v>-1430</v>
      </c>
    </row>
    <row r="340" spans="1:11" ht="15.6" thickTop="1" thickBot="1" x14ac:dyDescent="0.35">
      <c r="A340" s="4">
        <v>45422</v>
      </c>
      <c r="B340" s="5" t="s">
        <v>27</v>
      </c>
      <c r="C340" s="5" t="s">
        <v>40</v>
      </c>
      <c r="D340" s="5" t="s">
        <v>36</v>
      </c>
      <c r="E340" s="5" t="s">
        <v>14</v>
      </c>
      <c r="F340" s="5">
        <v>28</v>
      </c>
      <c r="G340" s="5">
        <v>905</v>
      </c>
      <c r="H340" s="5">
        <v>958</v>
      </c>
      <c r="I340" s="6">
        <f t="shared" si="15"/>
        <v>25340</v>
      </c>
      <c r="J340" s="6">
        <f t="shared" si="16"/>
        <v>26824</v>
      </c>
      <c r="K340" s="6">
        <f t="shared" si="17"/>
        <v>1484</v>
      </c>
    </row>
    <row r="341" spans="1:11" ht="15.6" thickTop="1" thickBot="1" x14ac:dyDescent="0.35">
      <c r="A341" s="4">
        <v>45423</v>
      </c>
      <c r="B341" s="5" t="s">
        <v>27</v>
      </c>
      <c r="C341" s="5" t="s">
        <v>40</v>
      </c>
      <c r="D341" s="5" t="s">
        <v>35</v>
      </c>
      <c r="E341" s="5" t="s">
        <v>14</v>
      </c>
      <c r="F341" s="5">
        <v>22</v>
      </c>
      <c r="G341" s="5">
        <v>866</v>
      </c>
      <c r="H341" s="5">
        <v>1453</v>
      </c>
      <c r="I341" s="6">
        <f t="shared" si="15"/>
        <v>19052</v>
      </c>
      <c r="J341" s="6">
        <f t="shared" si="16"/>
        <v>31966</v>
      </c>
      <c r="K341" s="6">
        <f t="shared" si="17"/>
        <v>12914</v>
      </c>
    </row>
    <row r="342" spans="1:11" ht="15.6" thickTop="1" thickBot="1" x14ac:dyDescent="0.35">
      <c r="A342" s="4">
        <v>45424</v>
      </c>
      <c r="B342" s="5" t="s">
        <v>27</v>
      </c>
      <c r="C342" s="5" t="s">
        <v>40</v>
      </c>
      <c r="D342" s="5" t="s">
        <v>26</v>
      </c>
      <c r="E342" s="5" t="s">
        <v>14</v>
      </c>
      <c r="F342" s="5">
        <v>23</v>
      </c>
      <c r="G342" s="5">
        <v>816</v>
      </c>
      <c r="H342" s="5">
        <v>1273</v>
      </c>
      <c r="I342" s="6">
        <f t="shared" si="15"/>
        <v>18768</v>
      </c>
      <c r="J342" s="6">
        <f t="shared" si="16"/>
        <v>29279</v>
      </c>
      <c r="K342" s="6">
        <f t="shared" si="17"/>
        <v>10511</v>
      </c>
    </row>
    <row r="343" spans="1:11" ht="15.6" thickTop="1" thickBot="1" x14ac:dyDescent="0.35">
      <c r="A343" s="4">
        <v>45425</v>
      </c>
      <c r="B343" s="5" t="s">
        <v>27</v>
      </c>
      <c r="C343" s="5" t="s">
        <v>40</v>
      </c>
      <c r="D343" s="5" t="s">
        <v>17</v>
      </c>
      <c r="E343" s="5" t="s">
        <v>14</v>
      </c>
      <c r="F343" s="5">
        <v>30</v>
      </c>
      <c r="G343" s="5">
        <v>738</v>
      </c>
      <c r="H343" s="5">
        <v>1216</v>
      </c>
      <c r="I343" s="6">
        <f t="shared" si="15"/>
        <v>22140</v>
      </c>
      <c r="J343" s="6">
        <f t="shared" si="16"/>
        <v>36480</v>
      </c>
      <c r="K343" s="6">
        <f t="shared" si="17"/>
        <v>14340</v>
      </c>
    </row>
    <row r="344" spans="1:11" ht="15.6" thickTop="1" thickBot="1" x14ac:dyDescent="0.35">
      <c r="A344" s="4">
        <v>45426</v>
      </c>
      <c r="B344" s="5" t="s">
        <v>27</v>
      </c>
      <c r="C344" s="5" t="s">
        <v>40</v>
      </c>
      <c r="D344" s="5" t="s">
        <v>34</v>
      </c>
      <c r="E344" s="5" t="s">
        <v>14</v>
      </c>
      <c r="F344" s="5">
        <v>24</v>
      </c>
      <c r="G344" s="5">
        <v>653</v>
      </c>
      <c r="H344" s="5">
        <v>1293</v>
      </c>
      <c r="I344" s="6">
        <f t="shared" si="15"/>
        <v>15672</v>
      </c>
      <c r="J344" s="6">
        <f t="shared" si="16"/>
        <v>31032</v>
      </c>
      <c r="K344" s="6">
        <f t="shared" si="17"/>
        <v>15360</v>
      </c>
    </row>
    <row r="345" spans="1:11" ht="15.6" thickTop="1" thickBot="1" x14ac:dyDescent="0.35">
      <c r="A345" s="4">
        <v>45395</v>
      </c>
      <c r="B345" s="5" t="s">
        <v>27</v>
      </c>
      <c r="C345" s="5" t="s">
        <v>28</v>
      </c>
      <c r="D345" s="5" t="s">
        <v>26</v>
      </c>
      <c r="E345" s="5" t="s">
        <v>14</v>
      </c>
      <c r="F345" s="5">
        <v>22</v>
      </c>
      <c r="G345" s="5">
        <v>692</v>
      </c>
      <c r="H345" s="5">
        <v>906</v>
      </c>
      <c r="I345" s="6">
        <f t="shared" si="15"/>
        <v>15224</v>
      </c>
      <c r="J345" s="6">
        <f t="shared" si="16"/>
        <v>19932</v>
      </c>
      <c r="K345" s="6">
        <f t="shared" si="17"/>
        <v>4708</v>
      </c>
    </row>
    <row r="346" spans="1:11" ht="15.6" thickTop="1" thickBot="1" x14ac:dyDescent="0.35">
      <c r="A346" s="4">
        <v>45427</v>
      </c>
      <c r="B346" s="5" t="s">
        <v>27</v>
      </c>
      <c r="C346" s="5" t="s">
        <v>40</v>
      </c>
      <c r="D346" s="5" t="s">
        <v>36</v>
      </c>
      <c r="E346" s="5" t="s">
        <v>14</v>
      </c>
      <c r="F346" s="5">
        <v>30</v>
      </c>
      <c r="G346" s="5">
        <v>583</v>
      </c>
      <c r="H346" s="5">
        <v>1500</v>
      </c>
      <c r="I346" s="6">
        <f t="shared" si="15"/>
        <v>17490</v>
      </c>
      <c r="J346" s="6">
        <f t="shared" si="16"/>
        <v>45000</v>
      </c>
      <c r="K346" s="6">
        <f t="shared" si="17"/>
        <v>27510</v>
      </c>
    </row>
    <row r="347" spans="1:11" ht="15.6" thickTop="1" thickBot="1" x14ac:dyDescent="0.35">
      <c r="A347" s="4">
        <v>45428</v>
      </c>
      <c r="B347" s="5" t="s">
        <v>27</v>
      </c>
      <c r="C347" s="5" t="s">
        <v>40</v>
      </c>
      <c r="D347" s="5" t="s">
        <v>37</v>
      </c>
      <c r="E347" s="5" t="s">
        <v>19</v>
      </c>
      <c r="F347" s="5">
        <v>26</v>
      </c>
      <c r="G347" s="5">
        <v>1000</v>
      </c>
      <c r="H347" s="5">
        <v>765</v>
      </c>
      <c r="I347" s="6">
        <f t="shared" si="15"/>
        <v>26000</v>
      </c>
      <c r="J347" s="6">
        <f t="shared" si="16"/>
        <v>19890</v>
      </c>
      <c r="K347" s="6">
        <f t="shared" si="17"/>
        <v>-6110</v>
      </c>
    </row>
    <row r="348" spans="1:11" ht="15.6" thickTop="1" thickBot="1" x14ac:dyDescent="0.35">
      <c r="A348" s="4">
        <v>45429</v>
      </c>
      <c r="B348" s="5" t="s">
        <v>27</v>
      </c>
      <c r="C348" s="5" t="s">
        <v>40</v>
      </c>
      <c r="D348" s="5" t="s">
        <v>23</v>
      </c>
      <c r="E348" s="5" t="s">
        <v>19</v>
      </c>
      <c r="F348" s="5">
        <v>27</v>
      </c>
      <c r="G348" s="5">
        <v>913</v>
      </c>
      <c r="H348" s="5">
        <v>1197</v>
      </c>
      <c r="I348" s="6">
        <f t="shared" si="15"/>
        <v>24651</v>
      </c>
      <c r="J348" s="6">
        <f t="shared" si="16"/>
        <v>32319</v>
      </c>
      <c r="K348" s="6">
        <f t="shared" si="17"/>
        <v>7668</v>
      </c>
    </row>
    <row r="349" spans="1:11" ht="15.6" thickTop="1" thickBot="1" x14ac:dyDescent="0.35">
      <c r="A349" s="4">
        <v>45430</v>
      </c>
      <c r="B349" s="5" t="s">
        <v>27</v>
      </c>
      <c r="C349" s="5" t="s">
        <v>40</v>
      </c>
      <c r="D349" s="5" t="s">
        <v>26</v>
      </c>
      <c r="E349" s="5" t="s">
        <v>19</v>
      </c>
      <c r="F349" s="5">
        <v>29</v>
      </c>
      <c r="G349" s="5">
        <v>735</v>
      </c>
      <c r="H349" s="5">
        <v>1388</v>
      </c>
      <c r="I349" s="6">
        <f t="shared" si="15"/>
        <v>21315</v>
      </c>
      <c r="J349" s="6">
        <f t="shared" si="16"/>
        <v>40252</v>
      </c>
      <c r="K349" s="6">
        <f t="shared" si="17"/>
        <v>18937</v>
      </c>
    </row>
    <row r="350" spans="1:11" ht="15.6" thickTop="1" thickBot="1" x14ac:dyDescent="0.35">
      <c r="A350" s="4">
        <v>45484</v>
      </c>
      <c r="B350" s="5" t="s">
        <v>27</v>
      </c>
      <c r="C350" s="5" t="s">
        <v>40</v>
      </c>
      <c r="D350" s="5" t="s">
        <v>25</v>
      </c>
      <c r="E350" s="5" t="s">
        <v>19</v>
      </c>
      <c r="F350" s="5">
        <v>29</v>
      </c>
      <c r="G350" s="5">
        <v>965</v>
      </c>
      <c r="H350" s="5">
        <v>1195</v>
      </c>
      <c r="I350" s="6">
        <f t="shared" si="15"/>
        <v>27985</v>
      </c>
      <c r="J350" s="6">
        <f t="shared" si="16"/>
        <v>34655</v>
      </c>
      <c r="K350" s="6">
        <f t="shared" si="17"/>
        <v>6670</v>
      </c>
    </row>
    <row r="351" spans="1:11" ht="15.6" thickTop="1" thickBot="1" x14ac:dyDescent="0.35">
      <c r="A351" s="4">
        <v>45485</v>
      </c>
      <c r="B351" s="5" t="s">
        <v>27</v>
      </c>
      <c r="C351" s="5" t="s">
        <v>40</v>
      </c>
      <c r="D351" s="5" t="s">
        <v>34</v>
      </c>
      <c r="E351" s="5" t="s">
        <v>19</v>
      </c>
      <c r="F351" s="5">
        <v>24</v>
      </c>
      <c r="G351" s="5">
        <v>970</v>
      </c>
      <c r="H351" s="5">
        <v>1256</v>
      </c>
      <c r="I351" s="6">
        <f t="shared" si="15"/>
        <v>23280</v>
      </c>
      <c r="J351" s="6">
        <f t="shared" si="16"/>
        <v>30144</v>
      </c>
      <c r="K351" s="6">
        <f t="shared" si="17"/>
        <v>6864</v>
      </c>
    </row>
    <row r="352" spans="1:11" ht="15.6" thickTop="1" thickBot="1" x14ac:dyDescent="0.35">
      <c r="A352" s="4">
        <v>45486</v>
      </c>
      <c r="B352" s="5" t="s">
        <v>27</v>
      </c>
      <c r="C352" s="5" t="s">
        <v>40</v>
      </c>
      <c r="D352" s="5" t="s">
        <v>34</v>
      </c>
      <c r="E352" s="5" t="s">
        <v>19</v>
      </c>
      <c r="F352" s="5">
        <v>22</v>
      </c>
      <c r="G352" s="5">
        <v>974</v>
      </c>
      <c r="H352" s="5">
        <v>1329</v>
      </c>
      <c r="I352" s="6">
        <f t="shared" si="15"/>
        <v>21428</v>
      </c>
      <c r="J352" s="6">
        <f t="shared" si="16"/>
        <v>29238</v>
      </c>
      <c r="K352" s="6">
        <f t="shared" si="17"/>
        <v>7810</v>
      </c>
    </row>
    <row r="353" spans="1:11" ht="15.6" thickTop="1" thickBot="1" x14ac:dyDescent="0.35">
      <c r="A353" s="4">
        <v>45487</v>
      </c>
      <c r="B353" s="5" t="s">
        <v>27</v>
      </c>
      <c r="C353" s="5" t="s">
        <v>40</v>
      </c>
      <c r="D353" s="5" t="s">
        <v>32</v>
      </c>
      <c r="E353" s="5" t="s">
        <v>19</v>
      </c>
      <c r="F353" s="5">
        <v>21</v>
      </c>
      <c r="G353" s="5">
        <v>915</v>
      </c>
      <c r="H353" s="5">
        <v>1442</v>
      </c>
      <c r="I353" s="6">
        <f t="shared" si="15"/>
        <v>19215</v>
      </c>
      <c r="J353" s="6">
        <f t="shared" si="16"/>
        <v>30282</v>
      </c>
      <c r="K353" s="6">
        <f t="shared" si="17"/>
        <v>11067</v>
      </c>
    </row>
    <row r="354" spans="1:11" ht="15.6" thickTop="1" thickBot="1" x14ac:dyDescent="0.35">
      <c r="A354" s="4">
        <v>45489</v>
      </c>
      <c r="B354" s="5" t="s">
        <v>27</v>
      </c>
      <c r="C354" s="5" t="s">
        <v>40</v>
      </c>
      <c r="D354" s="5" t="s">
        <v>20</v>
      </c>
      <c r="E354" s="5" t="s">
        <v>14</v>
      </c>
      <c r="F354" s="5">
        <v>27</v>
      </c>
      <c r="G354" s="5">
        <v>605</v>
      </c>
      <c r="H354" s="5">
        <v>826</v>
      </c>
      <c r="I354" s="6">
        <f t="shared" si="15"/>
        <v>16335</v>
      </c>
      <c r="J354" s="6">
        <f t="shared" si="16"/>
        <v>22302</v>
      </c>
      <c r="K354" s="6">
        <f t="shared" si="17"/>
        <v>5967</v>
      </c>
    </row>
    <row r="355" spans="1:11" ht="15.6" thickTop="1" thickBot="1" x14ac:dyDescent="0.35">
      <c r="A355" s="4">
        <v>45405</v>
      </c>
      <c r="B355" s="5" t="s">
        <v>27</v>
      </c>
      <c r="C355" s="5" t="s">
        <v>33</v>
      </c>
      <c r="D355" s="5" t="s">
        <v>34</v>
      </c>
      <c r="E355" s="5" t="s">
        <v>19</v>
      </c>
      <c r="F355" s="5">
        <v>29</v>
      </c>
      <c r="G355" s="5">
        <v>893</v>
      </c>
      <c r="H355" s="5">
        <v>865</v>
      </c>
      <c r="I355" s="6">
        <f t="shared" si="15"/>
        <v>25897</v>
      </c>
      <c r="J355" s="6">
        <f t="shared" si="16"/>
        <v>25085</v>
      </c>
      <c r="K355" s="6">
        <f t="shared" si="17"/>
        <v>-812</v>
      </c>
    </row>
    <row r="356" spans="1:11" ht="15.6" thickTop="1" thickBot="1" x14ac:dyDescent="0.35">
      <c r="A356" s="4">
        <v>45490</v>
      </c>
      <c r="B356" s="5" t="s">
        <v>27</v>
      </c>
      <c r="C356" s="5" t="s">
        <v>40</v>
      </c>
      <c r="D356" s="5" t="s">
        <v>39</v>
      </c>
      <c r="E356" s="5" t="s">
        <v>14</v>
      </c>
      <c r="F356" s="5">
        <v>29</v>
      </c>
      <c r="G356" s="5">
        <v>689</v>
      </c>
      <c r="H356" s="5">
        <v>783</v>
      </c>
      <c r="I356" s="6">
        <f t="shared" si="15"/>
        <v>19981</v>
      </c>
      <c r="J356" s="6">
        <f t="shared" si="16"/>
        <v>22707</v>
      </c>
      <c r="K356" s="6">
        <f t="shared" si="17"/>
        <v>2726</v>
      </c>
    </row>
    <row r="357" spans="1:11" ht="15.6" thickTop="1" thickBot="1" x14ac:dyDescent="0.35">
      <c r="A357" s="4">
        <v>45407</v>
      </c>
      <c r="B357" s="5" t="s">
        <v>27</v>
      </c>
      <c r="C357" s="5" t="s">
        <v>33</v>
      </c>
      <c r="D357" s="5" t="s">
        <v>32</v>
      </c>
      <c r="E357" s="5" t="s">
        <v>14</v>
      </c>
      <c r="F357" s="5">
        <v>24</v>
      </c>
      <c r="G357" s="5">
        <v>859</v>
      </c>
      <c r="H357" s="5">
        <v>1473</v>
      </c>
      <c r="I357" s="6">
        <f t="shared" si="15"/>
        <v>20616</v>
      </c>
      <c r="J357" s="6">
        <f t="shared" si="16"/>
        <v>35352</v>
      </c>
      <c r="K357" s="6">
        <f t="shared" si="17"/>
        <v>14736</v>
      </c>
    </row>
    <row r="358" spans="1:11" ht="15.6" thickTop="1" thickBot="1" x14ac:dyDescent="0.35">
      <c r="A358" s="4">
        <v>45491</v>
      </c>
      <c r="B358" s="5" t="s">
        <v>27</v>
      </c>
      <c r="C358" s="5" t="s">
        <v>40</v>
      </c>
      <c r="D358" s="5" t="s">
        <v>26</v>
      </c>
      <c r="E358" s="5" t="s">
        <v>14</v>
      </c>
      <c r="F358" s="5">
        <v>25</v>
      </c>
      <c r="G358" s="5">
        <v>861</v>
      </c>
      <c r="H358" s="5">
        <v>843</v>
      </c>
      <c r="I358" s="6">
        <f t="shared" si="15"/>
        <v>21525</v>
      </c>
      <c r="J358" s="6">
        <f t="shared" si="16"/>
        <v>21075</v>
      </c>
      <c r="K358" s="6">
        <f t="shared" si="17"/>
        <v>-450</v>
      </c>
    </row>
    <row r="359" spans="1:11" ht="15.6" thickTop="1" thickBot="1" x14ac:dyDescent="0.35">
      <c r="A359" s="4">
        <v>45492</v>
      </c>
      <c r="B359" s="5" t="s">
        <v>27</v>
      </c>
      <c r="C359" s="5" t="s">
        <v>40</v>
      </c>
      <c r="D359" s="5" t="s">
        <v>43</v>
      </c>
      <c r="E359" s="5" t="s">
        <v>14</v>
      </c>
      <c r="F359" s="5">
        <v>22</v>
      </c>
      <c r="G359" s="5">
        <v>629</v>
      </c>
      <c r="H359" s="5">
        <v>1263</v>
      </c>
      <c r="I359" s="6">
        <f t="shared" si="15"/>
        <v>13838</v>
      </c>
      <c r="J359" s="6">
        <f t="shared" si="16"/>
        <v>27786</v>
      </c>
      <c r="K359" s="6">
        <f t="shared" si="17"/>
        <v>13948</v>
      </c>
    </row>
    <row r="360" spans="1:11" ht="15.6" thickTop="1" thickBot="1" x14ac:dyDescent="0.35">
      <c r="A360" s="4">
        <v>45493</v>
      </c>
      <c r="B360" s="5" t="s">
        <v>27</v>
      </c>
      <c r="C360" s="5" t="s">
        <v>40</v>
      </c>
      <c r="D360" s="5" t="s">
        <v>44</v>
      </c>
      <c r="E360" s="5" t="s">
        <v>14</v>
      </c>
      <c r="F360" s="5">
        <v>22</v>
      </c>
      <c r="G360" s="5">
        <v>779</v>
      </c>
      <c r="H360" s="5">
        <v>1301</v>
      </c>
      <c r="I360" s="6">
        <f t="shared" si="15"/>
        <v>17138</v>
      </c>
      <c r="J360" s="6">
        <f t="shared" si="16"/>
        <v>28622</v>
      </c>
      <c r="K360" s="6">
        <f t="shared" si="17"/>
        <v>11484</v>
      </c>
    </row>
    <row r="361" spans="1:11" ht="15.6" thickTop="1" thickBot="1" x14ac:dyDescent="0.35">
      <c r="A361" s="4">
        <v>45494</v>
      </c>
      <c r="B361" s="5" t="s">
        <v>27</v>
      </c>
      <c r="C361" s="5" t="s">
        <v>40</v>
      </c>
      <c r="D361" s="5" t="s">
        <v>13</v>
      </c>
      <c r="E361" s="5" t="s">
        <v>14</v>
      </c>
      <c r="F361" s="5">
        <v>23</v>
      </c>
      <c r="G361" s="5">
        <v>730</v>
      </c>
      <c r="H361" s="5">
        <v>1189</v>
      </c>
      <c r="I361" s="6">
        <f t="shared" si="15"/>
        <v>16790</v>
      </c>
      <c r="J361" s="6">
        <f t="shared" si="16"/>
        <v>27347</v>
      </c>
      <c r="K361" s="6">
        <f t="shared" si="17"/>
        <v>10557</v>
      </c>
    </row>
    <row r="362" spans="1:11" ht="15.6" thickTop="1" thickBot="1" x14ac:dyDescent="0.35">
      <c r="A362" s="4">
        <v>45517</v>
      </c>
      <c r="B362" s="5" t="s">
        <v>27</v>
      </c>
      <c r="C362" s="5" t="s">
        <v>40</v>
      </c>
      <c r="D362" s="5" t="s">
        <v>26</v>
      </c>
      <c r="E362" s="5" t="s">
        <v>19</v>
      </c>
      <c r="F362" s="5">
        <v>26</v>
      </c>
      <c r="G362" s="5">
        <v>847</v>
      </c>
      <c r="H362" s="5">
        <v>1116</v>
      </c>
      <c r="I362" s="6">
        <f t="shared" si="15"/>
        <v>22022</v>
      </c>
      <c r="J362" s="6">
        <f t="shared" si="16"/>
        <v>29016</v>
      </c>
      <c r="K362" s="6">
        <f t="shared" si="17"/>
        <v>6994</v>
      </c>
    </row>
    <row r="363" spans="1:11" ht="15.6" thickTop="1" thickBot="1" x14ac:dyDescent="0.35">
      <c r="A363" s="4">
        <v>45518</v>
      </c>
      <c r="B363" s="5" t="s">
        <v>27</v>
      </c>
      <c r="C363" s="5" t="s">
        <v>40</v>
      </c>
      <c r="D363" s="5" t="s">
        <v>29</v>
      </c>
      <c r="E363" s="5" t="s">
        <v>19</v>
      </c>
      <c r="F363" s="5">
        <v>24</v>
      </c>
      <c r="G363" s="5">
        <v>942</v>
      </c>
      <c r="H363" s="5">
        <v>1313</v>
      </c>
      <c r="I363" s="6">
        <f t="shared" si="15"/>
        <v>22608</v>
      </c>
      <c r="J363" s="6">
        <f t="shared" si="16"/>
        <v>31512</v>
      </c>
      <c r="K363" s="6">
        <f t="shared" si="17"/>
        <v>8904</v>
      </c>
    </row>
    <row r="364" spans="1:11" ht="15.6" thickTop="1" thickBot="1" x14ac:dyDescent="0.35">
      <c r="A364" s="4">
        <v>45519</v>
      </c>
      <c r="B364" s="5" t="s">
        <v>27</v>
      </c>
      <c r="C364" s="5" t="s">
        <v>40</v>
      </c>
      <c r="D364" s="5" t="s">
        <v>18</v>
      </c>
      <c r="E364" s="5" t="s">
        <v>14</v>
      </c>
      <c r="F364" s="5">
        <v>20</v>
      </c>
      <c r="G364" s="5">
        <v>751</v>
      </c>
      <c r="H364" s="5">
        <v>861</v>
      </c>
      <c r="I364" s="6">
        <f t="shared" si="15"/>
        <v>15020</v>
      </c>
      <c r="J364" s="6">
        <f t="shared" si="16"/>
        <v>17220</v>
      </c>
      <c r="K364" s="6">
        <f t="shared" si="17"/>
        <v>2200</v>
      </c>
    </row>
    <row r="365" spans="1:11" ht="15.6" thickTop="1" thickBot="1" x14ac:dyDescent="0.35">
      <c r="A365" s="4">
        <v>45521</v>
      </c>
      <c r="B365" s="5" t="s">
        <v>27</v>
      </c>
      <c r="C365" s="5" t="s">
        <v>40</v>
      </c>
      <c r="D365" s="5" t="s">
        <v>31</v>
      </c>
      <c r="E365" s="5" t="s">
        <v>19</v>
      </c>
      <c r="F365" s="5">
        <v>28</v>
      </c>
      <c r="G365" s="5">
        <v>855</v>
      </c>
      <c r="H365" s="5">
        <v>930</v>
      </c>
      <c r="I365" s="6">
        <f t="shared" si="15"/>
        <v>23940</v>
      </c>
      <c r="J365" s="6">
        <f t="shared" si="16"/>
        <v>26040</v>
      </c>
      <c r="K365" s="6">
        <f t="shared" si="17"/>
        <v>2100</v>
      </c>
    </row>
    <row r="366" spans="1:11" ht="15.6" thickTop="1" thickBot="1" x14ac:dyDescent="0.35">
      <c r="A366" s="4">
        <v>45522</v>
      </c>
      <c r="B366" s="5" t="s">
        <v>27</v>
      </c>
      <c r="C366" s="5" t="s">
        <v>40</v>
      </c>
      <c r="D366" s="5" t="s">
        <v>23</v>
      </c>
      <c r="E366" s="5" t="s">
        <v>19</v>
      </c>
      <c r="F366" s="5">
        <v>22</v>
      </c>
      <c r="G366" s="5">
        <v>806</v>
      </c>
      <c r="H366" s="5">
        <v>1391</v>
      </c>
      <c r="I366" s="6">
        <f t="shared" si="15"/>
        <v>17732</v>
      </c>
      <c r="J366" s="6">
        <f t="shared" si="16"/>
        <v>30602</v>
      </c>
      <c r="K366" s="6">
        <f t="shared" si="17"/>
        <v>12870</v>
      </c>
    </row>
    <row r="367" spans="1:11" ht="15.6" thickTop="1" thickBot="1" x14ac:dyDescent="0.35">
      <c r="A367" s="4">
        <v>45523</v>
      </c>
      <c r="B367" s="5" t="s">
        <v>27</v>
      </c>
      <c r="C367" s="5" t="s">
        <v>40</v>
      </c>
      <c r="D367" s="5" t="s">
        <v>25</v>
      </c>
      <c r="E367" s="5" t="s">
        <v>19</v>
      </c>
      <c r="F367" s="5">
        <v>30</v>
      </c>
      <c r="G367" s="5">
        <v>624</v>
      </c>
      <c r="H367" s="5">
        <v>999</v>
      </c>
      <c r="I367" s="6">
        <f t="shared" si="15"/>
        <v>18720</v>
      </c>
      <c r="J367" s="6">
        <f t="shared" si="16"/>
        <v>29970</v>
      </c>
      <c r="K367" s="6">
        <f t="shared" si="17"/>
        <v>11250</v>
      </c>
    </row>
    <row r="368" spans="1:11" ht="15.6" thickTop="1" thickBot="1" x14ac:dyDescent="0.35">
      <c r="A368" s="4">
        <v>45524</v>
      </c>
      <c r="B368" s="5" t="s">
        <v>27</v>
      </c>
      <c r="C368" s="5" t="s">
        <v>40</v>
      </c>
      <c r="D368" s="5" t="s">
        <v>25</v>
      </c>
      <c r="E368" s="5" t="s">
        <v>14</v>
      </c>
      <c r="F368" s="5">
        <v>25</v>
      </c>
      <c r="G368" s="5">
        <v>533</v>
      </c>
      <c r="H368" s="5">
        <v>860</v>
      </c>
      <c r="I368" s="6">
        <f t="shared" si="15"/>
        <v>13325</v>
      </c>
      <c r="J368" s="6">
        <f t="shared" si="16"/>
        <v>21500</v>
      </c>
      <c r="K368" s="6">
        <f t="shared" si="17"/>
        <v>8175</v>
      </c>
    </row>
    <row r="369" spans="1:11" ht="15.6" thickTop="1" thickBot="1" x14ac:dyDescent="0.35">
      <c r="A369" s="4">
        <v>45525</v>
      </c>
      <c r="B369" s="5" t="s">
        <v>27</v>
      </c>
      <c r="C369" s="5" t="s">
        <v>40</v>
      </c>
      <c r="D369" s="5" t="s">
        <v>34</v>
      </c>
      <c r="E369" s="5" t="s">
        <v>14</v>
      </c>
      <c r="F369" s="5">
        <v>20</v>
      </c>
      <c r="G369" s="5">
        <v>681</v>
      </c>
      <c r="H369" s="5">
        <v>823</v>
      </c>
      <c r="I369" s="6">
        <f t="shared" si="15"/>
        <v>13620</v>
      </c>
      <c r="J369" s="6">
        <f t="shared" si="16"/>
        <v>16460</v>
      </c>
      <c r="K369" s="6">
        <f t="shared" si="17"/>
        <v>2840</v>
      </c>
    </row>
    <row r="370" spans="1:11" ht="15.6" thickTop="1" thickBot="1" x14ac:dyDescent="0.35">
      <c r="A370" s="4">
        <v>45527</v>
      </c>
      <c r="B370" s="5" t="s">
        <v>27</v>
      </c>
      <c r="C370" s="5" t="s">
        <v>40</v>
      </c>
      <c r="D370" s="5" t="s">
        <v>32</v>
      </c>
      <c r="E370" s="5" t="s">
        <v>14</v>
      </c>
      <c r="F370" s="5">
        <v>23</v>
      </c>
      <c r="G370" s="5">
        <v>577</v>
      </c>
      <c r="H370" s="5">
        <v>1125</v>
      </c>
      <c r="I370" s="6">
        <f t="shared" si="15"/>
        <v>13271</v>
      </c>
      <c r="J370" s="6">
        <f t="shared" si="16"/>
        <v>25875</v>
      </c>
      <c r="K370" s="6">
        <f t="shared" si="17"/>
        <v>12604</v>
      </c>
    </row>
    <row r="371" spans="1:11" ht="15.6" thickTop="1" thickBot="1" x14ac:dyDescent="0.35">
      <c r="A371" s="4">
        <v>45589</v>
      </c>
      <c r="B371" s="5" t="s">
        <v>27</v>
      </c>
      <c r="C371" s="5" t="s">
        <v>42</v>
      </c>
      <c r="D371" s="5" t="s">
        <v>32</v>
      </c>
      <c r="E371" s="5" t="s">
        <v>14</v>
      </c>
      <c r="F371" s="5">
        <v>28</v>
      </c>
      <c r="G371" s="5">
        <v>537</v>
      </c>
      <c r="H371" s="5">
        <v>828</v>
      </c>
      <c r="I371" s="6">
        <f t="shared" si="15"/>
        <v>15036</v>
      </c>
      <c r="J371" s="6">
        <f t="shared" si="16"/>
        <v>23184</v>
      </c>
      <c r="K371" s="6">
        <f t="shared" si="17"/>
        <v>8148</v>
      </c>
    </row>
    <row r="372" spans="1:11" ht="15.6" thickTop="1" thickBot="1" x14ac:dyDescent="0.35">
      <c r="A372" s="4">
        <v>45591</v>
      </c>
      <c r="B372" s="5" t="s">
        <v>27</v>
      </c>
      <c r="C372" s="5" t="s">
        <v>42</v>
      </c>
      <c r="D372" s="5" t="s">
        <v>20</v>
      </c>
      <c r="E372" s="5" t="s">
        <v>19</v>
      </c>
      <c r="F372" s="5">
        <v>23</v>
      </c>
      <c r="G372" s="5">
        <v>746</v>
      </c>
      <c r="H372" s="5">
        <v>1410</v>
      </c>
      <c r="I372" s="6">
        <f t="shared" si="15"/>
        <v>17158</v>
      </c>
      <c r="J372" s="6">
        <f t="shared" si="16"/>
        <v>32430</v>
      </c>
      <c r="K372" s="6">
        <f t="shared" si="17"/>
        <v>15272</v>
      </c>
    </row>
    <row r="373" spans="1:11" ht="15.6" thickTop="1" thickBot="1" x14ac:dyDescent="0.35">
      <c r="A373" s="4">
        <v>45596</v>
      </c>
      <c r="B373" s="5" t="s">
        <v>27</v>
      </c>
      <c r="C373" s="5" t="s">
        <v>28</v>
      </c>
      <c r="D373" s="5" t="s">
        <v>13</v>
      </c>
      <c r="E373" s="5" t="s">
        <v>19</v>
      </c>
      <c r="F373" s="5">
        <v>29</v>
      </c>
      <c r="G373" s="5">
        <v>895</v>
      </c>
      <c r="H373" s="5">
        <v>882</v>
      </c>
      <c r="I373" s="6">
        <f t="shared" si="15"/>
        <v>25955</v>
      </c>
      <c r="J373" s="6">
        <f t="shared" si="16"/>
        <v>25578</v>
      </c>
      <c r="K373" s="6">
        <f t="shared" si="17"/>
        <v>-377</v>
      </c>
    </row>
    <row r="374" spans="1:11" ht="15.6" thickTop="1" thickBot="1" x14ac:dyDescent="0.35">
      <c r="A374" s="4">
        <v>45597</v>
      </c>
      <c r="B374" s="5" t="s">
        <v>27</v>
      </c>
      <c r="C374" s="5" t="s">
        <v>28</v>
      </c>
      <c r="D374" s="5" t="s">
        <v>15</v>
      </c>
      <c r="E374" s="5" t="s">
        <v>19</v>
      </c>
      <c r="F374" s="5">
        <v>26</v>
      </c>
      <c r="G374" s="5">
        <v>728</v>
      </c>
      <c r="H374" s="5">
        <v>1466</v>
      </c>
      <c r="I374" s="6">
        <f t="shared" si="15"/>
        <v>18928</v>
      </c>
      <c r="J374" s="6">
        <f t="shared" si="16"/>
        <v>38116</v>
      </c>
      <c r="K374" s="6">
        <f t="shared" si="17"/>
        <v>19188</v>
      </c>
    </row>
    <row r="375" spans="1:11" ht="15.6" thickTop="1" thickBot="1" x14ac:dyDescent="0.35">
      <c r="A375" s="4">
        <v>45598</v>
      </c>
      <c r="B375" s="5" t="s">
        <v>27</v>
      </c>
      <c r="C375" s="5" t="s">
        <v>28</v>
      </c>
      <c r="D375" s="5" t="s">
        <v>16</v>
      </c>
      <c r="E375" s="5" t="s">
        <v>19</v>
      </c>
      <c r="F375" s="5">
        <v>22</v>
      </c>
      <c r="G375" s="5">
        <v>586</v>
      </c>
      <c r="H375" s="5">
        <v>1206</v>
      </c>
      <c r="I375" s="6">
        <f t="shared" si="15"/>
        <v>12892</v>
      </c>
      <c r="J375" s="6">
        <f t="shared" si="16"/>
        <v>26532</v>
      </c>
      <c r="K375" s="6">
        <f t="shared" si="17"/>
        <v>13640</v>
      </c>
    </row>
    <row r="376" spans="1:11" ht="15.6" thickTop="1" thickBot="1" x14ac:dyDescent="0.35">
      <c r="A376" s="4">
        <v>45599</v>
      </c>
      <c r="B376" s="5" t="s">
        <v>27</v>
      </c>
      <c r="C376" s="5" t="s">
        <v>28</v>
      </c>
      <c r="D376" s="5" t="s">
        <v>17</v>
      </c>
      <c r="E376" s="5" t="s">
        <v>14</v>
      </c>
      <c r="F376" s="5">
        <v>29</v>
      </c>
      <c r="G376" s="5">
        <v>724</v>
      </c>
      <c r="H376" s="5">
        <v>858</v>
      </c>
      <c r="I376" s="6">
        <f t="shared" si="15"/>
        <v>20996</v>
      </c>
      <c r="J376" s="6">
        <f t="shared" si="16"/>
        <v>24882</v>
      </c>
      <c r="K376" s="6">
        <f t="shared" si="17"/>
        <v>3886</v>
      </c>
    </row>
    <row r="377" spans="1:11" ht="15.6" thickTop="1" thickBot="1" x14ac:dyDescent="0.35">
      <c r="A377" s="4">
        <v>45600</v>
      </c>
      <c r="B377" s="5" t="s">
        <v>27</v>
      </c>
      <c r="C377" s="5" t="s">
        <v>28</v>
      </c>
      <c r="D377" s="5" t="s">
        <v>17</v>
      </c>
      <c r="E377" s="5" t="s">
        <v>14</v>
      </c>
      <c r="F377" s="5">
        <v>20</v>
      </c>
      <c r="G377" s="5">
        <v>941</v>
      </c>
      <c r="H377" s="5">
        <v>1181</v>
      </c>
      <c r="I377" s="6">
        <f t="shared" si="15"/>
        <v>18820</v>
      </c>
      <c r="J377" s="6">
        <f t="shared" si="16"/>
        <v>23620</v>
      </c>
      <c r="K377" s="6">
        <f t="shared" si="17"/>
        <v>4800</v>
      </c>
    </row>
    <row r="378" spans="1:11" ht="15.6" thickTop="1" thickBot="1" x14ac:dyDescent="0.35">
      <c r="A378" s="4">
        <v>45601</v>
      </c>
      <c r="B378" s="5" t="s">
        <v>27</v>
      </c>
      <c r="C378" s="5" t="s">
        <v>28</v>
      </c>
      <c r="D378" s="5" t="s">
        <v>18</v>
      </c>
      <c r="E378" s="5" t="s">
        <v>14</v>
      </c>
      <c r="F378" s="5">
        <v>22</v>
      </c>
      <c r="G378" s="5">
        <v>618</v>
      </c>
      <c r="H378" s="5">
        <v>1373</v>
      </c>
      <c r="I378" s="6">
        <f t="shared" si="15"/>
        <v>13596</v>
      </c>
      <c r="J378" s="6">
        <f t="shared" si="16"/>
        <v>30206</v>
      </c>
      <c r="K378" s="6">
        <f t="shared" si="17"/>
        <v>16610</v>
      </c>
    </row>
    <row r="379" spans="1:11" ht="15.6" thickTop="1" thickBot="1" x14ac:dyDescent="0.35">
      <c r="A379" s="4">
        <v>45609</v>
      </c>
      <c r="B379" s="5" t="s">
        <v>27</v>
      </c>
      <c r="C379" s="5" t="s">
        <v>33</v>
      </c>
      <c r="D379" s="5" t="s">
        <v>36</v>
      </c>
      <c r="E379" s="5" t="s">
        <v>19</v>
      </c>
      <c r="F379" s="5">
        <v>28</v>
      </c>
      <c r="G379" s="5">
        <v>896</v>
      </c>
      <c r="H379" s="5">
        <v>1363</v>
      </c>
      <c r="I379" s="6">
        <f t="shared" si="15"/>
        <v>25088</v>
      </c>
      <c r="J379" s="6">
        <f t="shared" si="16"/>
        <v>38164</v>
      </c>
      <c r="K379" s="6">
        <f t="shared" si="17"/>
        <v>13076</v>
      </c>
    </row>
    <row r="380" spans="1:11" ht="15.6" thickTop="1" thickBot="1" x14ac:dyDescent="0.35">
      <c r="A380" s="4">
        <v>45611</v>
      </c>
      <c r="B380" s="5" t="s">
        <v>27</v>
      </c>
      <c r="C380" s="5" t="s">
        <v>33</v>
      </c>
      <c r="D380" s="5" t="s">
        <v>23</v>
      </c>
      <c r="E380" s="5" t="s">
        <v>19</v>
      </c>
      <c r="F380" s="5">
        <v>28</v>
      </c>
      <c r="G380" s="5">
        <v>986</v>
      </c>
      <c r="H380" s="5">
        <v>866</v>
      </c>
      <c r="I380" s="6">
        <f t="shared" si="15"/>
        <v>27608</v>
      </c>
      <c r="J380" s="6">
        <f t="shared" si="16"/>
        <v>24248</v>
      </c>
      <c r="K380" s="6">
        <f t="shared" si="17"/>
        <v>-3360</v>
      </c>
    </row>
    <row r="381" spans="1:11" ht="15.6" thickTop="1" thickBot="1" x14ac:dyDescent="0.35">
      <c r="A381" s="4">
        <v>45612</v>
      </c>
      <c r="B381" s="5" t="s">
        <v>27</v>
      </c>
      <c r="C381" s="5" t="s">
        <v>33</v>
      </c>
      <c r="D381" s="5" t="s">
        <v>26</v>
      </c>
      <c r="E381" s="5" t="s">
        <v>19</v>
      </c>
      <c r="F381" s="5">
        <v>27</v>
      </c>
      <c r="G381" s="5">
        <v>951</v>
      </c>
      <c r="H381" s="5">
        <v>1255</v>
      </c>
      <c r="I381" s="6">
        <f t="shared" si="15"/>
        <v>25677</v>
      </c>
      <c r="J381" s="6">
        <f t="shared" si="16"/>
        <v>33885</v>
      </c>
      <c r="K381" s="6">
        <f t="shared" si="17"/>
        <v>8208</v>
      </c>
    </row>
    <row r="382" spans="1:11" ht="15.6" thickTop="1" thickBot="1" x14ac:dyDescent="0.35">
      <c r="A382" s="4">
        <v>45432</v>
      </c>
      <c r="B382" s="5" t="s">
        <v>21</v>
      </c>
      <c r="C382" s="5" t="s">
        <v>38</v>
      </c>
      <c r="D382" s="5" t="s">
        <v>23</v>
      </c>
      <c r="E382" s="5" t="s">
        <v>19</v>
      </c>
      <c r="F382" s="5">
        <v>63</v>
      </c>
      <c r="G382" s="5">
        <v>929</v>
      </c>
      <c r="H382" s="5">
        <v>1320</v>
      </c>
      <c r="I382" s="6">
        <f t="shared" si="15"/>
        <v>58527</v>
      </c>
      <c r="J382" s="6">
        <f t="shared" si="16"/>
        <v>83160</v>
      </c>
      <c r="K382" s="6">
        <f t="shared" si="17"/>
        <v>24633</v>
      </c>
    </row>
    <row r="383" spans="1:11" ht="15.6" thickTop="1" thickBot="1" x14ac:dyDescent="0.35">
      <c r="A383" s="4">
        <v>45613</v>
      </c>
      <c r="B383" s="5" t="s">
        <v>27</v>
      </c>
      <c r="C383" s="5" t="s">
        <v>33</v>
      </c>
      <c r="D383" s="5" t="s">
        <v>32</v>
      </c>
      <c r="E383" s="5" t="s">
        <v>19</v>
      </c>
      <c r="F383" s="5">
        <v>22</v>
      </c>
      <c r="G383" s="5">
        <v>783</v>
      </c>
      <c r="H383" s="5">
        <v>886</v>
      </c>
      <c r="I383" s="6">
        <f t="shared" si="15"/>
        <v>17226</v>
      </c>
      <c r="J383" s="6">
        <f t="shared" si="16"/>
        <v>19492</v>
      </c>
      <c r="K383" s="6">
        <f t="shared" si="17"/>
        <v>2266</v>
      </c>
    </row>
    <row r="384" spans="1:11" ht="15.6" thickTop="1" thickBot="1" x14ac:dyDescent="0.35">
      <c r="A384" s="4">
        <v>45615</v>
      </c>
      <c r="B384" s="5" t="s">
        <v>27</v>
      </c>
      <c r="C384" s="5" t="s">
        <v>33</v>
      </c>
      <c r="D384" s="5" t="s">
        <v>25</v>
      </c>
      <c r="E384" s="5" t="s">
        <v>14</v>
      </c>
      <c r="F384" s="5">
        <v>21</v>
      </c>
      <c r="G384" s="5">
        <v>547</v>
      </c>
      <c r="H384" s="5">
        <v>784</v>
      </c>
      <c r="I384" s="6">
        <f t="shared" si="15"/>
        <v>11487</v>
      </c>
      <c r="J384" s="6">
        <f t="shared" si="16"/>
        <v>16464</v>
      </c>
      <c r="K384" s="6">
        <f t="shared" si="17"/>
        <v>4977</v>
      </c>
    </row>
    <row r="385" spans="1:11" ht="15.6" thickTop="1" thickBot="1" x14ac:dyDescent="0.35">
      <c r="A385" s="4">
        <v>45617</v>
      </c>
      <c r="B385" s="5" t="s">
        <v>27</v>
      </c>
      <c r="C385" s="5" t="s">
        <v>33</v>
      </c>
      <c r="D385" s="5" t="s">
        <v>26</v>
      </c>
      <c r="E385" s="5" t="s">
        <v>19</v>
      </c>
      <c r="F385" s="5">
        <v>20</v>
      </c>
      <c r="G385" s="5">
        <v>737</v>
      </c>
      <c r="H385" s="5">
        <v>932</v>
      </c>
      <c r="I385" s="6">
        <f t="shared" si="15"/>
        <v>14740</v>
      </c>
      <c r="J385" s="6">
        <f t="shared" si="16"/>
        <v>18640</v>
      </c>
      <c r="K385" s="6">
        <f t="shared" si="17"/>
        <v>3900</v>
      </c>
    </row>
    <row r="386" spans="1:11" ht="15.6" thickTop="1" thickBot="1" x14ac:dyDescent="0.35">
      <c r="A386" s="4">
        <v>45618</v>
      </c>
      <c r="B386" s="5" t="s">
        <v>27</v>
      </c>
      <c r="C386" s="5" t="s">
        <v>33</v>
      </c>
      <c r="D386" s="5" t="s">
        <v>18</v>
      </c>
      <c r="E386" s="5" t="s">
        <v>19</v>
      </c>
      <c r="F386" s="5">
        <v>25</v>
      </c>
      <c r="G386" s="5">
        <v>924</v>
      </c>
      <c r="H386" s="5">
        <v>1062</v>
      </c>
      <c r="I386" s="6">
        <f t="shared" ref="I386:I449" si="18">F386*G386</f>
        <v>23100</v>
      </c>
      <c r="J386" s="6">
        <f t="shared" ref="J386:J449" si="19">F386*H386</f>
        <v>26550</v>
      </c>
      <c r="K386" s="6">
        <f t="shared" ref="K386:K449" si="20">J386-I386</f>
        <v>3450</v>
      </c>
    </row>
    <row r="387" spans="1:11" ht="15.6" thickTop="1" thickBot="1" x14ac:dyDescent="0.35">
      <c r="A387" s="4">
        <v>45619</v>
      </c>
      <c r="B387" s="5" t="s">
        <v>27</v>
      </c>
      <c r="C387" s="5" t="s">
        <v>33</v>
      </c>
      <c r="D387" s="5" t="s">
        <v>26</v>
      </c>
      <c r="E387" s="5" t="s">
        <v>19</v>
      </c>
      <c r="F387" s="5">
        <v>28</v>
      </c>
      <c r="G387" s="5">
        <v>665</v>
      </c>
      <c r="H387" s="5">
        <v>1467</v>
      </c>
      <c r="I387" s="6">
        <f t="shared" si="18"/>
        <v>18620</v>
      </c>
      <c r="J387" s="6">
        <f t="shared" si="19"/>
        <v>41076</v>
      </c>
      <c r="K387" s="6">
        <f t="shared" si="20"/>
        <v>22456</v>
      </c>
    </row>
    <row r="388" spans="1:11" ht="15.6" thickTop="1" thickBot="1" x14ac:dyDescent="0.35">
      <c r="A388" s="4">
        <v>45620</v>
      </c>
      <c r="B388" s="5" t="s">
        <v>27</v>
      </c>
      <c r="C388" s="5" t="s">
        <v>33</v>
      </c>
      <c r="D388" s="5" t="s">
        <v>29</v>
      </c>
      <c r="E388" s="5" t="s">
        <v>19</v>
      </c>
      <c r="F388" s="5">
        <v>24</v>
      </c>
      <c r="G388" s="5">
        <v>839</v>
      </c>
      <c r="H388" s="5">
        <v>1092</v>
      </c>
      <c r="I388" s="6">
        <f t="shared" si="18"/>
        <v>20136</v>
      </c>
      <c r="J388" s="6">
        <f t="shared" si="19"/>
        <v>26208</v>
      </c>
      <c r="K388" s="6">
        <f t="shared" si="20"/>
        <v>6072</v>
      </c>
    </row>
    <row r="389" spans="1:11" ht="15.6" thickTop="1" thickBot="1" x14ac:dyDescent="0.35">
      <c r="A389" s="4">
        <v>45621</v>
      </c>
      <c r="B389" s="5" t="s">
        <v>27</v>
      </c>
      <c r="C389" s="5" t="s">
        <v>33</v>
      </c>
      <c r="D389" s="5" t="s">
        <v>18</v>
      </c>
      <c r="E389" s="5" t="s">
        <v>19</v>
      </c>
      <c r="F389" s="5">
        <v>30</v>
      </c>
      <c r="G389" s="5">
        <v>790</v>
      </c>
      <c r="H389" s="5">
        <v>1245</v>
      </c>
      <c r="I389" s="6">
        <f t="shared" si="18"/>
        <v>23700</v>
      </c>
      <c r="J389" s="6">
        <f t="shared" si="19"/>
        <v>37350</v>
      </c>
      <c r="K389" s="6">
        <f t="shared" si="20"/>
        <v>13650</v>
      </c>
    </row>
    <row r="390" spans="1:11" ht="15.6" thickTop="1" thickBot="1" x14ac:dyDescent="0.35">
      <c r="A390" s="4">
        <v>45622</v>
      </c>
      <c r="B390" s="5" t="s">
        <v>27</v>
      </c>
      <c r="C390" s="5" t="s">
        <v>33</v>
      </c>
      <c r="D390" s="5" t="s">
        <v>30</v>
      </c>
      <c r="E390" s="5" t="s">
        <v>14</v>
      </c>
      <c r="F390" s="5">
        <v>30</v>
      </c>
      <c r="G390" s="5">
        <v>651</v>
      </c>
      <c r="H390" s="5">
        <v>1277</v>
      </c>
      <c r="I390" s="6">
        <f t="shared" si="18"/>
        <v>19530</v>
      </c>
      <c r="J390" s="6">
        <f t="shared" si="19"/>
        <v>38310</v>
      </c>
      <c r="K390" s="6">
        <f t="shared" si="20"/>
        <v>18780</v>
      </c>
    </row>
    <row r="391" spans="1:11" ht="15.6" thickTop="1" thickBot="1" x14ac:dyDescent="0.35">
      <c r="A391" s="4">
        <v>45441</v>
      </c>
      <c r="B391" s="5" t="s">
        <v>21</v>
      </c>
      <c r="C391" s="5" t="s">
        <v>38</v>
      </c>
      <c r="D391" s="5" t="s">
        <v>31</v>
      </c>
      <c r="E391" s="5" t="s">
        <v>19</v>
      </c>
      <c r="F391" s="5">
        <v>67</v>
      </c>
      <c r="G391" s="5">
        <v>796</v>
      </c>
      <c r="H391" s="5">
        <v>1347</v>
      </c>
      <c r="I391" s="6">
        <f t="shared" si="18"/>
        <v>53332</v>
      </c>
      <c r="J391" s="6">
        <f t="shared" si="19"/>
        <v>90249</v>
      </c>
      <c r="K391" s="6">
        <f t="shared" si="20"/>
        <v>36917</v>
      </c>
    </row>
    <row r="392" spans="1:11" ht="15.6" thickTop="1" thickBot="1" x14ac:dyDescent="0.35">
      <c r="A392" s="4">
        <v>45623</v>
      </c>
      <c r="B392" s="5" t="s">
        <v>27</v>
      </c>
      <c r="C392" s="5" t="s">
        <v>33</v>
      </c>
      <c r="D392" s="5" t="s">
        <v>31</v>
      </c>
      <c r="E392" s="5" t="s">
        <v>14</v>
      </c>
      <c r="F392" s="5">
        <v>23</v>
      </c>
      <c r="G392" s="5">
        <v>531</v>
      </c>
      <c r="H392" s="5">
        <v>1072</v>
      </c>
      <c r="I392" s="6">
        <f t="shared" si="18"/>
        <v>12213</v>
      </c>
      <c r="J392" s="6">
        <f t="shared" si="19"/>
        <v>24656</v>
      </c>
      <c r="K392" s="6">
        <f t="shared" si="20"/>
        <v>12443</v>
      </c>
    </row>
    <row r="393" spans="1:11" ht="15.6" thickTop="1" thickBot="1" x14ac:dyDescent="0.35">
      <c r="A393" s="4">
        <v>45624</v>
      </c>
      <c r="B393" s="5" t="s">
        <v>27</v>
      </c>
      <c r="C393" s="5" t="s">
        <v>40</v>
      </c>
      <c r="D393" s="5" t="s">
        <v>23</v>
      </c>
      <c r="E393" s="5" t="s">
        <v>14</v>
      </c>
      <c r="F393" s="5">
        <v>30</v>
      </c>
      <c r="G393" s="5">
        <v>591</v>
      </c>
      <c r="H393" s="5">
        <v>949</v>
      </c>
      <c r="I393" s="6">
        <f t="shared" si="18"/>
        <v>17730</v>
      </c>
      <c r="J393" s="6">
        <f t="shared" si="19"/>
        <v>28470</v>
      </c>
      <c r="K393" s="6">
        <f t="shared" si="20"/>
        <v>10740</v>
      </c>
    </row>
    <row r="394" spans="1:11" ht="15.6" thickTop="1" thickBot="1" x14ac:dyDescent="0.35">
      <c r="A394" s="4">
        <v>45625</v>
      </c>
      <c r="B394" s="5" t="s">
        <v>27</v>
      </c>
      <c r="C394" s="5" t="s">
        <v>40</v>
      </c>
      <c r="D394" s="5" t="s">
        <v>25</v>
      </c>
      <c r="E394" s="5" t="s">
        <v>14</v>
      </c>
      <c r="F394" s="5">
        <v>29</v>
      </c>
      <c r="G394" s="5">
        <v>621</v>
      </c>
      <c r="H394" s="5">
        <v>1485</v>
      </c>
      <c r="I394" s="6">
        <f t="shared" si="18"/>
        <v>18009</v>
      </c>
      <c r="J394" s="6">
        <f t="shared" si="19"/>
        <v>43065</v>
      </c>
      <c r="K394" s="6">
        <f t="shared" si="20"/>
        <v>25056</v>
      </c>
    </row>
    <row r="395" spans="1:11" ht="15.6" thickTop="1" thickBot="1" x14ac:dyDescent="0.35">
      <c r="A395" s="4">
        <v>45627</v>
      </c>
      <c r="B395" s="5" t="s">
        <v>27</v>
      </c>
      <c r="C395" s="5" t="s">
        <v>40</v>
      </c>
      <c r="D395" s="5" t="s">
        <v>34</v>
      </c>
      <c r="E395" s="5" t="s">
        <v>14</v>
      </c>
      <c r="F395" s="5">
        <v>30</v>
      </c>
      <c r="G395" s="5">
        <v>857</v>
      </c>
      <c r="H395" s="5">
        <v>1455</v>
      </c>
      <c r="I395" s="6">
        <f t="shared" si="18"/>
        <v>25710</v>
      </c>
      <c r="J395" s="6">
        <f t="shared" si="19"/>
        <v>43650</v>
      </c>
      <c r="K395" s="6">
        <f t="shared" si="20"/>
        <v>17940</v>
      </c>
    </row>
    <row r="396" spans="1:11" ht="15.6" thickTop="1" thickBot="1" x14ac:dyDescent="0.35">
      <c r="A396" s="4">
        <v>45628</v>
      </c>
      <c r="B396" s="5" t="s">
        <v>27</v>
      </c>
      <c r="C396" s="5" t="s">
        <v>40</v>
      </c>
      <c r="D396" s="5" t="s">
        <v>34</v>
      </c>
      <c r="E396" s="5" t="s">
        <v>14</v>
      </c>
      <c r="F396" s="5">
        <v>20</v>
      </c>
      <c r="G396" s="5">
        <v>897</v>
      </c>
      <c r="H396" s="5">
        <v>1024</v>
      </c>
      <c r="I396" s="6">
        <f t="shared" si="18"/>
        <v>17940</v>
      </c>
      <c r="J396" s="6">
        <f t="shared" si="19"/>
        <v>20480</v>
      </c>
      <c r="K396" s="6">
        <f t="shared" si="20"/>
        <v>2540</v>
      </c>
    </row>
    <row r="397" spans="1:11" ht="15.6" thickTop="1" thickBot="1" x14ac:dyDescent="0.35">
      <c r="A397" s="4">
        <v>45630</v>
      </c>
      <c r="B397" s="5" t="s">
        <v>27</v>
      </c>
      <c r="C397" s="5" t="s">
        <v>40</v>
      </c>
      <c r="D397" s="5" t="s">
        <v>25</v>
      </c>
      <c r="E397" s="5" t="s">
        <v>19</v>
      </c>
      <c r="F397" s="5">
        <v>22</v>
      </c>
      <c r="G397" s="5">
        <v>781</v>
      </c>
      <c r="H397" s="5">
        <v>1423</v>
      </c>
      <c r="I397" s="6">
        <f t="shared" si="18"/>
        <v>17182</v>
      </c>
      <c r="J397" s="6">
        <f t="shared" si="19"/>
        <v>31306</v>
      </c>
      <c r="K397" s="6">
        <f t="shared" si="20"/>
        <v>14124</v>
      </c>
    </row>
    <row r="398" spans="1:11" ht="15.6" thickTop="1" thickBot="1" x14ac:dyDescent="0.35">
      <c r="A398" s="4">
        <v>45631</v>
      </c>
      <c r="B398" s="5" t="s">
        <v>27</v>
      </c>
      <c r="C398" s="5" t="s">
        <v>40</v>
      </c>
      <c r="D398" s="5" t="s">
        <v>20</v>
      </c>
      <c r="E398" s="5" t="s">
        <v>19</v>
      </c>
      <c r="F398" s="5">
        <v>20</v>
      </c>
      <c r="G398" s="5">
        <v>854</v>
      </c>
      <c r="H398" s="5">
        <v>956</v>
      </c>
      <c r="I398" s="6">
        <f t="shared" si="18"/>
        <v>17080</v>
      </c>
      <c r="J398" s="6">
        <f t="shared" si="19"/>
        <v>19120</v>
      </c>
      <c r="K398" s="6">
        <f t="shared" si="20"/>
        <v>2040</v>
      </c>
    </row>
    <row r="399" spans="1:11" ht="15.6" thickTop="1" thickBot="1" x14ac:dyDescent="0.35">
      <c r="A399" s="4">
        <v>45632</v>
      </c>
      <c r="B399" s="5" t="s">
        <v>27</v>
      </c>
      <c r="C399" s="5" t="s">
        <v>40</v>
      </c>
      <c r="D399" s="5" t="s">
        <v>39</v>
      </c>
      <c r="E399" s="5" t="s">
        <v>19</v>
      </c>
      <c r="F399" s="5">
        <v>26</v>
      </c>
      <c r="G399" s="5">
        <v>909</v>
      </c>
      <c r="H399" s="5">
        <v>1206</v>
      </c>
      <c r="I399" s="6">
        <f t="shared" si="18"/>
        <v>23634</v>
      </c>
      <c r="J399" s="6">
        <f t="shared" si="19"/>
        <v>31356</v>
      </c>
      <c r="K399" s="6">
        <f t="shared" si="20"/>
        <v>7722</v>
      </c>
    </row>
    <row r="400" spans="1:11" ht="15.6" thickTop="1" thickBot="1" x14ac:dyDescent="0.35">
      <c r="A400" s="4">
        <v>45633</v>
      </c>
      <c r="B400" s="5" t="s">
        <v>27</v>
      </c>
      <c r="C400" s="5" t="s">
        <v>40</v>
      </c>
      <c r="D400" s="5" t="s">
        <v>26</v>
      </c>
      <c r="E400" s="5" t="s">
        <v>14</v>
      </c>
      <c r="F400" s="5">
        <v>20</v>
      </c>
      <c r="G400" s="5">
        <v>976</v>
      </c>
      <c r="H400" s="5">
        <v>905</v>
      </c>
      <c r="I400" s="6">
        <f t="shared" si="18"/>
        <v>19520</v>
      </c>
      <c r="J400" s="6">
        <f t="shared" si="19"/>
        <v>18100</v>
      </c>
      <c r="K400" s="6">
        <f t="shared" si="20"/>
        <v>-1420</v>
      </c>
    </row>
    <row r="401" spans="1:11" ht="15.6" thickTop="1" thickBot="1" x14ac:dyDescent="0.35">
      <c r="A401" s="4">
        <v>45635</v>
      </c>
      <c r="B401" s="5" t="s">
        <v>27</v>
      </c>
      <c r="C401" s="5" t="s">
        <v>40</v>
      </c>
      <c r="D401" s="5" t="s">
        <v>44</v>
      </c>
      <c r="E401" s="5" t="s">
        <v>19</v>
      </c>
      <c r="F401" s="5">
        <v>24</v>
      </c>
      <c r="G401" s="5">
        <v>787</v>
      </c>
      <c r="H401" s="5">
        <v>1122</v>
      </c>
      <c r="I401" s="6">
        <f t="shared" si="18"/>
        <v>18888</v>
      </c>
      <c r="J401" s="6">
        <f t="shared" si="19"/>
        <v>26928</v>
      </c>
      <c r="K401" s="6">
        <f t="shared" si="20"/>
        <v>8040</v>
      </c>
    </row>
    <row r="402" spans="1:11" ht="15.6" thickTop="1" thickBot="1" x14ac:dyDescent="0.35">
      <c r="A402" s="4">
        <v>45689</v>
      </c>
      <c r="B402" s="5" t="s">
        <v>27</v>
      </c>
      <c r="C402" s="5" t="s">
        <v>40</v>
      </c>
      <c r="D402" s="5" t="s">
        <v>26</v>
      </c>
      <c r="E402" s="5" t="s">
        <v>14</v>
      </c>
      <c r="F402" s="5">
        <v>23</v>
      </c>
      <c r="G402" s="5">
        <v>755</v>
      </c>
      <c r="H402" s="5">
        <v>806</v>
      </c>
      <c r="I402" s="6">
        <f t="shared" si="18"/>
        <v>17365</v>
      </c>
      <c r="J402" s="6">
        <f t="shared" si="19"/>
        <v>18538</v>
      </c>
      <c r="K402" s="6">
        <f t="shared" si="20"/>
        <v>1173</v>
      </c>
    </row>
    <row r="403" spans="1:11" ht="15.6" thickTop="1" thickBot="1" x14ac:dyDescent="0.35">
      <c r="A403" s="4">
        <v>45690</v>
      </c>
      <c r="B403" s="5" t="s">
        <v>27</v>
      </c>
      <c r="C403" s="5" t="s">
        <v>40</v>
      </c>
      <c r="D403" s="5" t="s">
        <v>43</v>
      </c>
      <c r="E403" s="5" t="s">
        <v>14</v>
      </c>
      <c r="F403" s="5">
        <v>26</v>
      </c>
      <c r="G403" s="5">
        <v>573</v>
      </c>
      <c r="H403" s="5">
        <v>1309</v>
      </c>
      <c r="I403" s="6">
        <f t="shared" si="18"/>
        <v>14898</v>
      </c>
      <c r="J403" s="6">
        <f t="shared" si="19"/>
        <v>34034</v>
      </c>
      <c r="K403" s="6">
        <f t="shared" si="20"/>
        <v>19136</v>
      </c>
    </row>
    <row r="404" spans="1:11" ht="15.6" thickTop="1" thickBot="1" x14ac:dyDescent="0.35">
      <c r="A404" s="4">
        <v>45691</v>
      </c>
      <c r="B404" s="5" t="s">
        <v>27</v>
      </c>
      <c r="C404" s="5" t="s">
        <v>40</v>
      </c>
      <c r="D404" s="5" t="s">
        <v>44</v>
      </c>
      <c r="E404" s="5" t="s">
        <v>14</v>
      </c>
      <c r="F404" s="5">
        <v>30</v>
      </c>
      <c r="G404" s="5">
        <v>946</v>
      </c>
      <c r="H404" s="5">
        <v>1089</v>
      </c>
      <c r="I404" s="6">
        <f t="shared" si="18"/>
        <v>28380</v>
      </c>
      <c r="J404" s="6">
        <f t="shared" si="19"/>
        <v>32670</v>
      </c>
      <c r="K404" s="6">
        <f t="shared" si="20"/>
        <v>4290</v>
      </c>
    </row>
    <row r="405" spans="1:11" ht="15.6" thickTop="1" thickBot="1" x14ac:dyDescent="0.35">
      <c r="A405" s="4">
        <v>45692</v>
      </c>
      <c r="B405" s="5" t="s">
        <v>27</v>
      </c>
      <c r="C405" s="5" t="s">
        <v>40</v>
      </c>
      <c r="D405" s="5" t="s">
        <v>13</v>
      </c>
      <c r="E405" s="5" t="s">
        <v>19</v>
      </c>
      <c r="F405" s="5">
        <v>22</v>
      </c>
      <c r="G405" s="5">
        <v>679</v>
      </c>
      <c r="H405" s="5">
        <v>1463</v>
      </c>
      <c r="I405" s="6">
        <f t="shared" si="18"/>
        <v>14938</v>
      </c>
      <c r="J405" s="6">
        <f t="shared" si="19"/>
        <v>32186</v>
      </c>
      <c r="K405" s="6">
        <f t="shared" si="20"/>
        <v>17248</v>
      </c>
    </row>
    <row r="406" spans="1:11" ht="15.6" thickTop="1" thickBot="1" x14ac:dyDescent="0.35">
      <c r="A406" s="4">
        <v>45693</v>
      </c>
      <c r="B406" s="5" t="s">
        <v>27</v>
      </c>
      <c r="C406" s="5" t="s">
        <v>40</v>
      </c>
      <c r="D406" s="5" t="s">
        <v>15</v>
      </c>
      <c r="E406" s="5" t="s">
        <v>19</v>
      </c>
      <c r="F406" s="5">
        <v>25</v>
      </c>
      <c r="G406" s="5">
        <v>975</v>
      </c>
      <c r="H406" s="5">
        <v>935</v>
      </c>
      <c r="I406" s="6">
        <f t="shared" si="18"/>
        <v>24375</v>
      </c>
      <c r="J406" s="6">
        <f t="shared" si="19"/>
        <v>23375</v>
      </c>
      <c r="K406" s="6">
        <f t="shared" si="20"/>
        <v>-1000</v>
      </c>
    </row>
    <row r="407" spans="1:11" ht="15.6" thickTop="1" thickBot="1" x14ac:dyDescent="0.35">
      <c r="A407" s="4">
        <v>45694</v>
      </c>
      <c r="B407" s="5" t="s">
        <v>27</v>
      </c>
      <c r="C407" s="5" t="s">
        <v>40</v>
      </c>
      <c r="D407" s="5" t="s">
        <v>16</v>
      </c>
      <c r="E407" s="5" t="s">
        <v>19</v>
      </c>
      <c r="F407" s="5">
        <v>24</v>
      </c>
      <c r="G407" s="5">
        <v>642</v>
      </c>
      <c r="H407" s="5">
        <v>996</v>
      </c>
      <c r="I407" s="6">
        <f t="shared" si="18"/>
        <v>15408</v>
      </c>
      <c r="J407" s="6">
        <f t="shared" si="19"/>
        <v>23904</v>
      </c>
      <c r="K407" s="6">
        <f t="shared" si="20"/>
        <v>8496</v>
      </c>
    </row>
    <row r="408" spans="1:11" ht="15.6" thickTop="1" thickBot="1" x14ac:dyDescent="0.35">
      <c r="A408" s="4">
        <v>45458</v>
      </c>
      <c r="B408" s="5" t="s">
        <v>11</v>
      </c>
      <c r="C408" s="5" t="s">
        <v>12</v>
      </c>
      <c r="D408" s="5" t="s">
        <v>17</v>
      </c>
      <c r="E408" s="5" t="s">
        <v>14</v>
      </c>
      <c r="F408" s="5">
        <v>14</v>
      </c>
      <c r="G408" s="5">
        <v>603</v>
      </c>
      <c r="H408" s="5">
        <v>1104</v>
      </c>
      <c r="I408" s="6">
        <f t="shared" si="18"/>
        <v>8442</v>
      </c>
      <c r="J408" s="6">
        <f t="shared" si="19"/>
        <v>15456</v>
      </c>
      <c r="K408" s="6">
        <f t="shared" si="20"/>
        <v>7014</v>
      </c>
    </row>
    <row r="409" spans="1:11" ht="15.6" thickTop="1" thickBot="1" x14ac:dyDescent="0.35">
      <c r="A409" s="4">
        <v>45695</v>
      </c>
      <c r="B409" s="5" t="s">
        <v>27</v>
      </c>
      <c r="C409" s="5" t="s">
        <v>40</v>
      </c>
      <c r="D409" s="5" t="s">
        <v>17</v>
      </c>
      <c r="E409" s="5" t="s">
        <v>19</v>
      </c>
      <c r="F409" s="5">
        <v>29</v>
      </c>
      <c r="G409" s="5">
        <v>598</v>
      </c>
      <c r="H409" s="5">
        <v>923</v>
      </c>
      <c r="I409" s="6">
        <f t="shared" si="18"/>
        <v>17342</v>
      </c>
      <c r="J409" s="6">
        <f t="shared" si="19"/>
        <v>26767</v>
      </c>
      <c r="K409" s="6">
        <f t="shared" si="20"/>
        <v>9425</v>
      </c>
    </row>
    <row r="410" spans="1:11" ht="15.6" thickTop="1" thickBot="1" x14ac:dyDescent="0.35">
      <c r="A410" s="4">
        <v>45696</v>
      </c>
      <c r="B410" s="5" t="s">
        <v>27</v>
      </c>
      <c r="C410" s="5" t="s">
        <v>40</v>
      </c>
      <c r="D410" s="5" t="s">
        <v>17</v>
      </c>
      <c r="E410" s="5" t="s">
        <v>19</v>
      </c>
      <c r="F410" s="5">
        <v>22</v>
      </c>
      <c r="G410" s="5">
        <v>719</v>
      </c>
      <c r="H410" s="5">
        <v>1079</v>
      </c>
      <c r="I410" s="6">
        <f t="shared" si="18"/>
        <v>15818</v>
      </c>
      <c r="J410" s="6">
        <f t="shared" si="19"/>
        <v>23738</v>
      </c>
      <c r="K410" s="6">
        <f t="shared" si="20"/>
        <v>7920</v>
      </c>
    </row>
    <row r="411" spans="1:11" ht="15.6" thickTop="1" thickBot="1" x14ac:dyDescent="0.35">
      <c r="A411" s="4">
        <v>45697</v>
      </c>
      <c r="B411" s="5" t="s">
        <v>27</v>
      </c>
      <c r="C411" s="5" t="s">
        <v>40</v>
      </c>
      <c r="D411" s="5" t="s">
        <v>18</v>
      </c>
      <c r="E411" s="5" t="s">
        <v>14</v>
      </c>
      <c r="F411" s="5">
        <v>30</v>
      </c>
      <c r="G411" s="5">
        <v>716</v>
      </c>
      <c r="H411" s="5">
        <v>956</v>
      </c>
      <c r="I411" s="6">
        <f t="shared" si="18"/>
        <v>21480</v>
      </c>
      <c r="J411" s="6">
        <f t="shared" si="19"/>
        <v>28680</v>
      </c>
      <c r="K411" s="6">
        <f t="shared" si="20"/>
        <v>7200</v>
      </c>
    </row>
    <row r="412" spans="1:11" ht="15.6" thickTop="1" thickBot="1" x14ac:dyDescent="0.35">
      <c r="A412" s="4">
        <v>45699</v>
      </c>
      <c r="B412" s="5" t="s">
        <v>27</v>
      </c>
      <c r="C412" s="5" t="s">
        <v>40</v>
      </c>
      <c r="D412" s="5" t="s">
        <v>23</v>
      </c>
      <c r="E412" s="5" t="s">
        <v>14</v>
      </c>
      <c r="F412" s="5">
        <v>29</v>
      </c>
      <c r="G412" s="5">
        <v>623</v>
      </c>
      <c r="H412" s="5">
        <v>919</v>
      </c>
      <c r="I412" s="6">
        <f t="shared" si="18"/>
        <v>18067</v>
      </c>
      <c r="J412" s="6">
        <f t="shared" si="19"/>
        <v>26651</v>
      </c>
      <c r="K412" s="6">
        <f t="shared" si="20"/>
        <v>8584</v>
      </c>
    </row>
    <row r="413" spans="1:11" ht="15.6" thickTop="1" thickBot="1" x14ac:dyDescent="0.35">
      <c r="A413" s="4">
        <v>45383</v>
      </c>
      <c r="B413" s="5" t="s">
        <v>27</v>
      </c>
      <c r="C413" s="5" t="s">
        <v>28</v>
      </c>
      <c r="D413" s="5" t="s">
        <v>35</v>
      </c>
      <c r="E413" s="5" t="s">
        <v>19</v>
      </c>
      <c r="F413" s="5">
        <v>21</v>
      </c>
      <c r="G413" s="5">
        <v>553</v>
      </c>
      <c r="H413" s="5">
        <v>1459</v>
      </c>
      <c r="I413" s="6">
        <f t="shared" si="18"/>
        <v>11613</v>
      </c>
      <c r="J413" s="6">
        <f t="shared" si="19"/>
        <v>30639</v>
      </c>
      <c r="K413" s="6">
        <f t="shared" si="20"/>
        <v>19026</v>
      </c>
    </row>
    <row r="414" spans="1:11" ht="15.6" thickTop="1" thickBot="1" x14ac:dyDescent="0.35">
      <c r="A414" s="4">
        <v>45464</v>
      </c>
      <c r="B414" s="5" t="s">
        <v>21</v>
      </c>
      <c r="C414" s="5" t="s">
        <v>38</v>
      </c>
      <c r="D414" s="5" t="s">
        <v>26</v>
      </c>
      <c r="E414" s="5" t="s">
        <v>14</v>
      </c>
      <c r="F414" s="5">
        <v>77</v>
      </c>
      <c r="G414" s="5">
        <v>923</v>
      </c>
      <c r="H414" s="5">
        <v>1132</v>
      </c>
      <c r="I414" s="6">
        <f t="shared" si="18"/>
        <v>71071</v>
      </c>
      <c r="J414" s="6">
        <f t="shared" si="19"/>
        <v>87164</v>
      </c>
      <c r="K414" s="6">
        <f t="shared" si="20"/>
        <v>16093</v>
      </c>
    </row>
    <row r="415" spans="1:11" ht="15.6" thickTop="1" thickBot="1" x14ac:dyDescent="0.35">
      <c r="A415" s="4">
        <v>45384</v>
      </c>
      <c r="B415" s="5" t="s">
        <v>27</v>
      </c>
      <c r="C415" s="5" t="s">
        <v>42</v>
      </c>
      <c r="D415" s="5" t="s">
        <v>26</v>
      </c>
      <c r="E415" s="5" t="s">
        <v>19</v>
      </c>
      <c r="F415" s="5">
        <v>30</v>
      </c>
      <c r="G415" s="5">
        <v>719</v>
      </c>
      <c r="H415" s="5">
        <v>1162</v>
      </c>
      <c r="I415" s="6">
        <f t="shared" si="18"/>
        <v>21570</v>
      </c>
      <c r="J415" s="6">
        <f t="shared" si="19"/>
        <v>34860</v>
      </c>
      <c r="K415" s="6">
        <f t="shared" si="20"/>
        <v>13290</v>
      </c>
    </row>
    <row r="416" spans="1:11" ht="15.6" thickTop="1" thickBot="1" x14ac:dyDescent="0.35">
      <c r="A416" s="4">
        <v>45385</v>
      </c>
      <c r="B416" s="5" t="s">
        <v>27</v>
      </c>
      <c r="C416" s="5" t="s">
        <v>42</v>
      </c>
      <c r="D416" s="5" t="s">
        <v>17</v>
      </c>
      <c r="E416" s="5" t="s">
        <v>19</v>
      </c>
      <c r="F416" s="5">
        <v>25</v>
      </c>
      <c r="G416" s="5">
        <v>980</v>
      </c>
      <c r="H416" s="5">
        <v>926</v>
      </c>
      <c r="I416" s="6">
        <f t="shared" si="18"/>
        <v>24500</v>
      </c>
      <c r="J416" s="6">
        <f t="shared" si="19"/>
        <v>23150</v>
      </c>
      <c r="K416" s="6">
        <f t="shared" si="20"/>
        <v>-1350</v>
      </c>
    </row>
    <row r="417" spans="1:11" ht="15.6" thickTop="1" thickBot="1" x14ac:dyDescent="0.35">
      <c r="A417" s="4">
        <v>45386</v>
      </c>
      <c r="B417" s="5" t="s">
        <v>27</v>
      </c>
      <c r="C417" s="5" t="s">
        <v>42</v>
      </c>
      <c r="D417" s="5" t="s">
        <v>34</v>
      </c>
      <c r="E417" s="5" t="s">
        <v>19</v>
      </c>
      <c r="F417" s="5">
        <v>22</v>
      </c>
      <c r="G417" s="5">
        <v>718</v>
      </c>
      <c r="H417" s="5">
        <v>1335</v>
      </c>
      <c r="I417" s="6">
        <f t="shared" si="18"/>
        <v>15796</v>
      </c>
      <c r="J417" s="6">
        <f t="shared" si="19"/>
        <v>29370</v>
      </c>
      <c r="K417" s="6">
        <f t="shared" si="20"/>
        <v>13574</v>
      </c>
    </row>
    <row r="418" spans="1:11" ht="15.6" thickTop="1" thickBot="1" x14ac:dyDescent="0.35">
      <c r="A418" s="4">
        <v>45391</v>
      </c>
      <c r="B418" s="5" t="s">
        <v>27</v>
      </c>
      <c r="C418" s="5" t="s">
        <v>28</v>
      </c>
      <c r="D418" s="5" t="s">
        <v>32</v>
      </c>
      <c r="E418" s="5" t="s">
        <v>14</v>
      </c>
      <c r="F418" s="5">
        <v>30</v>
      </c>
      <c r="G418" s="5">
        <v>520</v>
      </c>
      <c r="H418" s="5">
        <v>1251</v>
      </c>
      <c r="I418" s="6">
        <f t="shared" si="18"/>
        <v>15600</v>
      </c>
      <c r="J418" s="6">
        <f t="shared" si="19"/>
        <v>37530</v>
      </c>
      <c r="K418" s="6">
        <f t="shared" si="20"/>
        <v>21930</v>
      </c>
    </row>
    <row r="419" spans="1:11" ht="15.6" thickTop="1" thickBot="1" x14ac:dyDescent="0.35">
      <c r="A419" s="4">
        <v>45392</v>
      </c>
      <c r="B419" s="5" t="s">
        <v>27</v>
      </c>
      <c r="C419" s="5" t="s">
        <v>28</v>
      </c>
      <c r="D419" s="5" t="s">
        <v>23</v>
      </c>
      <c r="E419" s="5" t="s">
        <v>14</v>
      </c>
      <c r="F419" s="5">
        <v>26</v>
      </c>
      <c r="G419" s="5">
        <v>808</v>
      </c>
      <c r="H419" s="5">
        <v>1135</v>
      </c>
      <c r="I419" s="6">
        <f t="shared" si="18"/>
        <v>21008</v>
      </c>
      <c r="J419" s="6">
        <f t="shared" si="19"/>
        <v>29510</v>
      </c>
      <c r="K419" s="6">
        <f t="shared" si="20"/>
        <v>8502</v>
      </c>
    </row>
    <row r="420" spans="1:11" ht="15.6" thickTop="1" thickBot="1" x14ac:dyDescent="0.35">
      <c r="A420" s="4">
        <v>45393</v>
      </c>
      <c r="B420" s="5" t="s">
        <v>27</v>
      </c>
      <c r="C420" s="5" t="s">
        <v>28</v>
      </c>
      <c r="D420" s="5" t="s">
        <v>25</v>
      </c>
      <c r="E420" s="5" t="s">
        <v>14</v>
      </c>
      <c r="F420" s="5">
        <v>23</v>
      </c>
      <c r="G420" s="5">
        <v>504</v>
      </c>
      <c r="H420" s="5">
        <v>1328</v>
      </c>
      <c r="I420" s="6">
        <f t="shared" si="18"/>
        <v>11592</v>
      </c>
      <c r="J420" s="6">
        <f t="shared" si="19"/>
        <v>30544</v>
      </c>
      <c r="K420" s="6">
        <f t="shared" si="20"/>
        <v>18952</v>
      </c>
    </row>
    <row r="421" spans="1:11" ht="15.6" thickTop="1" thickBot="1" x14ac:dyDescent="0.35">
      <c r="A421" s="4">
        <v>45394</v>
      </c>
      <c r="B421" s="5" t="s">
        <v>27</v>
      </c>
      <c r="C421" s="5" t="s">
        <v>28</v>
      </c>
      <c r="D421" s="5" t="s">
        <v>25</v>
      </c>
      <c r="E421" s="5" t="s">
        <v>14</v>
      </c>
      <c r="F421" s="5">
        <v>28</v>
      </c>
      <c r="G421" s="5">
        <v>918</v>
      </c>
      <c r="H421" s="5">
        <v>808</v>
      </c>
      <c r="I421" s="6">
        <f t="shared" si="18"/>
        <v>25704</v>
      </c>
      <c r="J421" s="6">
        <f t="shared" si="19"/>
        <v>22624</v>
      </c>
      <c r="K421" s="6">
        <f t="shared" si="20"/>
        <v>-3080</v>
      </c>
    </row>
    <row r="422" spans="1:11" ht="15.6" thickTop="1" thickBot="1" x14ac:dyDescent="0.35">
      <c r="A422" s="4">
        <v>45396</v>
      </c>
      <c r="B422" s="5" t="s">
        <v>27</v>
      </c>
      <c r="C422" s="5" t="s">
        <v>28</v>
      </c>
      <c r="D422" s="5" t="s">
        <v>18</v>
      </c>
      <c r="E422" s="5" t="s">
        <v>14</v>
      </c>
      <c r="F422" s="5">
        <v>27</v>
      </c>
      <c r="G422" s="5">
        <v>966</v>
      </c>
      <c r="H422" s="5">
        <v>850</v>
      </c>
      <c r="I422" s="6">
        <f t="shared" si="18"/>
        <v>26082</v>
      </c>
      <c r="J422" s="6">
        <f t="shared" si="19"/>
        <v>22950</v>
      </c>
      <c r="K422" s="6">
        <f t="shared" si="20"/>
        <v>-3132</v>
      </c>
    </row>
    <row r="423" spans="1:11" ht="15.6" thickTop="1" thickBot="1" x14ac:dyDescent="0.35">
      <c r="A423" s="4">
        <v>45404</v>
      </c>
      <c r="B423" s="5" t="s">
        <v>27</v>
      </c>
      <c r="C423" s="5" t="s">
        <v>33</v>
      </c>
      <c r="D423" s="5" t="s">
        <v>25</v>
      </c>
      <c r="E423" s="5" t="s">
        <v>19</v>
      </c>
      <c r="F423" s="5">
        <v>20</v>
      </c>
      <c r="G423" s="5">
        <v>664</v>
      </c>
      <c r="H423" s="5">
        <v>924</v>
      </c>
      <c r="I423" s="6">
        <f t="shared" si="18"/>
        <v>13280</v>
      </c>
      <c r="J423" s="6">
        <f t="shared" si="19"/>
        <v>18480</v>
      </c>
      <c r="K423" s="6">
        <f t="shared" si="20"/>
        <v>5200</v>
      </c>
    </row>
    <row r="424" spans="1:11" ht="15.6" thickTop="1" thickBot="1" x14ac:dyDescent="0.35">
      <c r="A424" s="4">
        <v>45406</v>
      </c>
      <c r="B424" s="5" t="s">
        <v>27</v>
      </c>
      <c r="C424" s="5" t="s">
        <v>33</v>
      </c>
      <c r="D424" s="5" t="s">
        <v>34</v>
      </c>
      <c r="E424" s="5" t="s">
        <v>19</v>
      </c>
      <c r="F424" s="5">
        <v>26</v>
      </c>
      <c r="G424" s="5">
        <v>608</v>
      </c>
      <c r="H424" s="5">
        <v>1125</v>
      </c>
      <c r="I424" s="6">
        <f t="shared" si="18"/>
        <v>15808</v>
      </c>
      <c r="J424" s="6">
        <f t="shared" si="19"/>
        <v>29250</v>
      </c>
      <c r="K424" s="6">
        <f t="shared" si="20"/>
        <v>13442</v>
      </c>
    </row>
    <row r="425" spans="1:11" ht="15.6" thickTop="1" thickBot="1" x14ac:dyDescent="0.35">
      <c r="A425" s="4">
        <v>45475</v>
      </c>
      <c r="B425" s="5" t="s">
        <v>11</v>
      </c>
      <c r="C425" s="5" t="s">
        <v>24</v>
      </c>
      <c r="D425" s="5" t="s">
        <v>26</v>
      </c>
      <c r="E425" s="5" t="s">
        <v>14</v>
      </c>
      <c r="F425" s="5">
        <v>19</v>
      </c>
      <c r="G425" s="5">
        <v>860</v>
      </c>
      <c r="H425" s="5">
        <v>1234</v>
      </c>
      <c r="I425" s="6">
        <f t="shared" si="18"/>
        <v>16340</v>
      </c>
      <c r="J425" s="6">
        <f t="shared" si="19"/>
        <v>23446</v>
      </c>
      <c r="K425" s="6">
        <f t="shared" si="20"/>
        <v>7106</v>
      </c>
    </row>
    <row r="426" spans="1:11" ht="15.6" thickTop="1" thickBot="1" x14ac:dyDescent="0.35">
      <c r="A426" s="4">
        <v>45408</v>
      </c>
      <c r="B426" s="5" t="s">
        <v>27</v>
      </c>
      <c r="C426" s="5" t="s">
        <v>33</v>
      </c>
      <c r="D426" s="5" t="s">
        <v>25</v>
      </c>
      <c r="E426" s="5" t="s">
        <v>14</v>
      </c>
      <c r="F426" s="5">
        <v>24</v>
      </c>
      <c r="G426" s="5">
        <v>826</v>
      </c>
      <c r="H426" s="5">
        <v>975</v>
      </c>
      <c r="I426" s="6">
        <f t="shared" si="18"/>
        <v>19824</v>
      </c>
      <c r="J426" s="6">
        <f t="shared" si="19"/>
        <v>23400</v>
      </c>
      <c r="K426" s="6">
        <f t="shared" si="20"/>
        <v>3576</v>
      </c>
    </row>
    <row r="427" spans="1:11" ht="15.6" thickTop="1" thickBot="1" x14ac:dyDescent="0.35">
      <c r="A427" s="4">
        <v>45409</v>
      </c>
      <c r="B427" s="5" t="s">
        <v>27</v>
      </c>
      <c r="C427" s="5" t="s">
        <v>33</v>
      </c>
      <c r="D427" s="5" t="s">
        <v>20</v>
      </c>
      <c r="E427" s="5" t="s">
        <v>14</v>
      </c>
      <c r="F427" s="5">
        <v>24</v>
      </c>
      <c r="G427" s="5">
        <v>877</v>
      </c>
      <c r="H427" s="5">
        <v>762</v>
      </c>
      <c r="I427" s="6">
        <f t="shared" si="18"/>
        <v>21048</v>
      </c>
      <c r="J427" s="6">
        <f t="shared" si="19"/>
        <v>18288</v>
      </c>
      <c r="K427" s="6">
        <f t="shared" si="20"/>
        <v>-2760</v>
      </c>
    </row>
    <row r="428" spans="1:11" ht="15.6" thickTop="1" thickBot="1" x14ac:dyDescent="0.35">
      <c r="A428" s="4">
        <v>45410</v>
      </c>
      <c r="B428" s="5" t="s">
        <v>27</v>
      </c>
      <c r="C428" s="5" t="s">
        <v>33</v>
      </c>
      <c r="D428" s="5" t="s">
        <v>39</v>
      </c>
      <c r="E428" s="5" t="s">
        <v>14</v>
      </c>
      <c r="F428" s="5">
        <v>23</v>
      </c>
      <c r="G428" s="5">
        <v>736</v>
      </c>
      <c r="H428" s="5">
        <v>872</v>
      </c>
      <c r="I428" s="6">
        <f t="shared" si="18"/>
        <v>16928</v>
      </c>
      <c r="J428" s="6">
        <f t="shared" si="19"/>
        <v>20056</v>
      </c>
      <c r="K428" s="6">
        <f t="shared" si="20"/>
        <v>3128</v>
      </c>
    </row>
    <row r="429" spans="1:11" ht="15.6" thickTop="1" thickBot="1" x14ac:dyDescent="0.35">
      <c r="A429" s="4">
        <v>45411</v>
      </c>
      <c r="B429" s="5" t="s">
        <v>27</v>
      </c>
      <c r="C429" s="5" t="s">
        <v>33</v>
      </c>
      <c r="D429" s="5" t="s">
        <v>26</v>
      </c>
      <c r="E429" s="5" t="s">
        <v>14</v>
      </c>
      <c r="F429" s="5">
        <v>27</v>
      </c>
      <c r="G429" s="5">
        <v>828</v>
      </c>
      <c r="H429" s="5">
        <v>1008</v>
      </c>
      <c r="I429" s="6">
        <f t="shared" si="18"/>
        <v>22356</v>
      </c>
      <c r="J429" s="6">
        <f t="shared" si="19"/>
        <v>27216</v>
      </c>
      <c r="K429" s="6">
        <f t="shared" si="20"/>
        <v>4860</v>
      </c>
    </row>
    <row r="430" spans="1:11" ht="15.6" thickTop="1" thickBot="1" x14ac:dyDescent="0.35">
      <c r="A430" s="4">
        <v>45412</v>
      </c>
      <c r="B430" s="5" t="s">
        <v>27</v>
      </c>
      <c r="C430" s="5" t="s">
        <v>33</v>
      </c>
      <c r="D430" s="5" t="s">
        <v>43</v>
      </c>
      <c r="E430" s="5" t="s">
        <v>14</v>
      </c>
      <c r="F430" s="5">
        <v>28</v>
      </c>
      <c r="G430" s="5">
        <v>901</v>
      </c>
      <c r="H430" s="5">
        <v>1260</v>
      </c>
      <c r="I430" s="6">
        <f t="shared" si="18"/>
        <v>25228</v>
      </c>
      <c r="J430" s="6">
        <f t="shared" si="19"/>
        <v>35280</v>
      </c>
      <c r="K430" s="6">
        <f t="shared" si="20"/>
        <v>10052</v>
      </c>
    </row>
    <row r="431" spans="1:11" ht="15.6" thickTop="1" thickBot="1" x14ac:dyDescent="0.35">
      <c r="A431" s="4">
        <v>45413</v>
      </c>
      <c r="B431" s="5" t="s">
        <v>27</v>
      </c>
      <c r="C431" s="5" t="s">
        <v>33</v>
      </c>
      <c r="D431" s="5" t="s">
        <v>44</v>
      </c>
      <c r="E431" s="5" t="s">
        <v>14</v>
      </c>
      <c r="F431" s="5">
        <v>28</v>
      </c>
      <c r="G431" s="5">
        <v>796</v>
      </c>
      <c r="H431" s="5">
        <v>1407</v>
      </c>
      <c r="I431" s="6">
        <f t="shared" si="18"/>
        <v>22288</v>
      </c>
      <c r="J431" s="6">
        <f t="shared" si="19"/>
        <v>39396</v>
      </c>
      <c r="K431" s="6">
        <f t="shared" si="20"/>
        <v>17108</v>
      </c>
    </row>
    <row r="432" spans="1:11" ht="15.6" thickTop="1" thickBot="1" x14ac:dyDescent="0.35">
      <c r="A432" s="4">
        <v>45414</v>
      </c>
      <c r="B432" s="5" t="s">
        <v>27</v>
      </c>
      <c r="C432" s="5" t="s">
        <v>33</v>
      </c>
      <c r="D432" s="5" t="s">
        <v>13</v>
      </c>
      <c r="E432" s="5" t="s">
        <v>19</v>
      </c>
      <c r="F432" s="5">
        <v>27</v>
      </c>
      <c r="G432" s="5">
        <v>794</v>
      </c>
      <c r="H432" s="5">
        <v>905</v>
      </c>
      <c r="I432" s="6">
        <f t="shared" si="18"/>
        <v>21438</v>
      </c>
      <c r="J432" s="6">
        <f t="shared" si="19"/>
        <v>24435</v>
      </c>
      <c r="K432" s="6">
        <f t="shared" si="20"/>
        <v>2997</v>
      </c>
    </row>
    <row r="433" spans="1:11" ht="15.6" thickTop="1" thickBot="1" x14ac:dyDescent="0.35">
      <c r="A433" s="4">
        <v>45415</v>
      </c>
      <c r="B433" s="5" t="s">
        <v>27</v>
      </c>
      <c r="C433" s="5" t="s">
        <v>33</v>
      </c>
      <c r="D433" s="5" t="s">
        <v>15</v>
      </c>
      <c r="E433" s="5" t="s">
        <v>19</v>
      </c>
      <c r="F433" s="5">
        <v>20</v>
      </c>
      <c r="G433" s="5">
        <v>812</v>
      </c>
      <c r="H433" s="5">
        <v>1248</v>
      </c>
      <c r="I433" s="6">
        <f t="shared" si="18"/>
        <v>16240</v>
      </c>
      <c r="J433" s="6">
        <f t="shared" si="19"/>
        <v>24960</v>
      </c>
      <c r="K433" s="6">
        <f t="shared" si="20"/>
        <v>8720</v>
      </c>
    </row>
    <row r="434" spans="1:11" ht="15.6" thickTop="1" thickBot="1" x14ac:dyDescent="0.35">
      <c r="A434" s="4">
        <v>45416</v>
      </c>
      <c r="B434" s="5" t="s">
        <v>27</v>
      </c>
      <c r="C434" s="5" t="s">
        <v>33</v>
      </c>
      <c r="D434" s="5" t="s">
        <v>16</v>
      </c>
      <c r="E434" s="5" t="s">
        <v>19</v>
      </c>
      <c r="F434" s="5">
        <v>20</v>
      </c>
      <c r="G434" s="5">
        <v>908</v>
      </c>
      <c r="H434" s="5">
        <v>1130</v>
      </c>
      <c r="I434" s="6">
        <f t="shared" si="18"/>
        <v>18160</v>
      </c>
      <c r="J434" s="6">
        <f t="shared" si="19"/>
        <v>22600</v>
      </c>
      <c r="K434" s="6">
        <f t="shared" si="20"/>
        <v>4440</v>
      </c>
    </row>
    <row r="435" spans="1:11" ht="15.6" thickTop="1" thickBot="1" x14ac:dyDescent="0.35">
      <c r="A435" s="4">
        <v>45417</v>
      </c>
      <c r="B435" s="5" t="s">
        <v>27</v>
      </c>
      <c r="C435" s="5" t="s">
        <v>33</v>
      </c>
      <c r="D435" s="5" t="s">
        <v>17</v>
      </c>
      <c r="E435" s="5" t="s">
        <v>19</v>
      </c>
      <c r="F435" s="5">
        <v>23</v>
      </c>
      <c r="G435" s="5">
        <v>846</v>
      </c>
      <c r="H435" s="5">
        <v>1143</v>
      </c>
      <c r="I435" s="6">
        <f t="shared" si="18"/>
        <v>19458</v>
      </c>
      <c r="J435" s="6">
        <f t="shared" si="19"/>
        <v>26289</v>
      </c>
      <c r="K435" s="6">
        <f t="shared" si="20"/>
        <v>6831</v>
      </c>
    </row>
    <row r="436" spans="1:11" ht="15.6" thickTop="1" thickBot="1" x14ac:dyDescent="0.35">
      <c r="A436" s="4">
        <v>45418</v>
      </c>
      <c r="B436" s="5" t="s">
        <v>27</v>
      </c>
      <c r="C436" s="5" t="s">
        <v>33</v>
      </c>
      <c r="D436" s="5" t="s">
        <v>17</v>
      </c>
      <c r="E436" s="5" t="s">
        <v>14</v>
      </c>
      <c r="F436" s="5">
        <v>25</v>
      </c>
      <c r="G436" s="5">
        <v>627</v>
      </c>
      <c r="H436" s="5">
        <v>1071</v>
      </c>
      <c r="I436" s="6">
        <f t="shared" si="18"/>
        <v>15675</v>
      </c>
      <c r="J436" s="6">
        <f t="shared" si="19"/>
        <v>26775</v>
      </c>
      <c r="K436" s="6">
        <f t="shared" si="20"/>
        <v>11100</v>
      </c>
    </row>
    <row r="437" spans="1:11" ht="15.6" thickTop="1" thickBot="1" x14ac:dyDescent="0.35">
      <c r="A437" s="4">
        <v>45419</v>
      </c>
      <c r="B437" s="5" t="s">
        <v>27</v>
      </c>
      <c r="C437" s="5" t="s">
        <v>40</v>
      </c>
      <c r="D437" s="5" t="s">
        <v>18</v>
      </c>
      <c r="E437" s="5" t="s">
        <v>14</v>
      </c>
      <c r="F437" s="5">
        <v>27</v>
      </c>
      <c r="G437" s="5">
        <v>817</v>
      </c>
      <c r="H437" s="5">
        <v>977</v>
      </c>
      <c r="I437" s="6">
        <f t="shared" si="18"/>
        <v>22059</v>
      </c>
      <c r="J437" s="6">
        <f t="shared" si="19"/>
        <v>26379</v>
      </c>
      <c r="K437" s="6">
        <f t="shared" si="20"/>
        <v>4320</v>
      </c>
    </row>
    <row r="438" spans="1:11" ht="15.6" thickTop="1" thickBot="1" x14ac:dyDescent="0.35">
      <c r="A438" s="4">
        <v>45488</v>
      </c>
      <c r="B438" s="5" t="s">
        <v>27</v>
      </c>
      <c r="C438" s="5" t="s">
        <v>40</v>
      </c>
      <c r="D438" s="5" t="s">
        <v>25</v>
      </c>
      <c r="E438" s="5" t="s">
        <v>14</v>
      </c>
      <c r="F438" s="5">
        <v>29</v>
      </c>
      <c r="G438" s="5">
        <v>929</v>
      </c>
      <c r="H438" s="5">
        <v>1429</v>
      </c>
      <c r="I438" s="6">
        <f t="shared" si="18"/>
        <v>26941</v>
      </c>
      <c r="J438" s="6">
        <f t="shared" si="19"/>
        <v>41441</v>
      </c>
      <c r="K438" s="6">
        <f t="shared" si="20"/>
        <v>14500</v>
      </c>
    </row>
    <row r="439" spans="1:11" ht="15.6" thickTop="1" thickBot="1" x14ac:dyDescent="0.35">
      <c r="A439" s="4">
        <v>45420</v>
      </c>
      <c r="B439" s="5" t="s">
        <v>27</v>
      </c>
      <c r="C439" s="5" t="s">
        <v>40</v>
      </c>
      <c r="D439" s="5" t="s">
        <v>20</v>
      </c>
      <c r="E439" s="5" t="s">
        <v>14</v>
      </c>
      <c r="F439" s="5">
        <v>27</v>
      </c>
      <c r="G439" s="5">
        <v>675</v>
      </c>
      <c r="H439" s="5">
        <v>1138</v>
      </c>
      <c r="I439" s="6">
        <f t="shared" si="18"/>
        <v>18225</v>
      </c>
      <c r="J439" s="6">
        <f t="shared" si="19"/>
        <v>30726</v>
      </c>
      <c r="K439" s="6">
        <f t="shared" si="20"/>
        <v>12501</v>
      </c>
    </row>
    <row r="440" spans="1:11" ht="15.6" thickTop="1" thickBot="1" x14ac:dyDescent="0.35">
      <c r="A440" s="4">
        <v>45421</v>
      </c>
      <c r="B440" s="5" t="s">
        <v>27</v>
      </c>
      <c r="C440" s="5" t="s">
        <v>40</v>
      </c>
      <c r="D440" s="5" t="s">
        <v>17</v>
      </c>
      <c r="E440" s="5" t="s">
        <v>14</v>
      </c>
      <c r="F440" s="5">
        <v>22</v>
      </c>
      <c r="G440" s="5">
        <v>695</v>
      </c>
      <c r="H440" s="5">
        <v>830</v>
      </c>
      <c r="I440" s="6">
        <f t="shared" si="18"/>
        <v>15290</v>
      </c>
      <c r="J440" s="6">
        <f t="shared" si="19"/>
        <v>18260</v>
      </c>
      <c r="K440" s="6">
        <f t="shared" si="20"/>
        <v>2970</v>
      </c>
    </row>
    <row r="441" spans="1:11" ht="15.6" thickTop="1" thickBot="1" x14ac:dyDescent="0.35">
      <c r="A441" s="4">
        <v>45422</v>
      </c>
      <c r="B441" s="5" t="s">
        <v>27</v>
      </c>
      <c r="C441" s="5" t="s">
        <v>40</v>
      </c>
      <c r="D441" s="5" t="s">
        <v>36</v>
      </c>
      <c r="E441" s="5" t="s">
        <v>14</v>
      </c>
      <c r="F441" s="5">
        <v>21</v>
      </c>
      <c r="G441" s="5">
        <v>781</v>
      </c>
      <c r="H441" s="5">
        <v>816</v>
      </c>
      <c r="I441" s="6">
        <f t="shared" si="18"/>
        <v>16401</v>
      </c>
      <c r="J441" s="6">
        <f t="shared" si="19"/>
        <v>17136</v>
      </c>
      <c r="K441" s="6">
        <f t="shared" si="20"/>
        <v>735</v>
      </c>
    </row>
    <row r="442" spans="1:11" ht="15.6" thickTop="1" thickBot="1" x14ac:dyDescent="0.35">
      <c r="A442" s="4">
        <v>45423</v>
      </c>
      <c r="B442" s="5" t="s">
        <v>27</v>
      </c>
      <c r="C442" s="5" t="s">
        <v>40</v>
      </c>
      <c r="D442" s="5" t="s">
        <v>35</v>
      </c>
      <c r="E442" s="5" t="s">
        <v>14</v>
      </c>
      <c r="F442" s="5">
        <v>25</v>
      </c>
      <c r="G442" s="5">
        <v>517</v>
      </c>
      <c r="H442" s="5">
        <v>939</v>
      </c>
      <c r="I442" s="6">
        <f t="shared" si="18"/>
        <v>12925</v>
      </c>
      <c r="J442" s="6">
        <f t="shared" si="19"/>
        <v>23475</v>
      </c>
      <c r="K442" s="6">
        <f t="shared" si="20"/>
        <v>10550</v>
      </c>
    </row>
    <row r="443" spans="1:11" ht="15.6" thickTop="1" thickBot="1" x14ac:dyDescent="0.35">
      <c r="A443" s="4">
        <v>45424</v>
      </c>
      <c r="B443" s="5" t="s">
        <v>27</v>
      </c>
      <c r="C443" s="5" t="s">
        <v>40</v>
      </c>
      <c r="D443" s="5" t="s">
        <v>26</v>
      </c>
      <c r="E443" s="5" t="s">
        <v>14</v>
      </c>
      <c r="F443" s="5">
        <v>24</v>
      </c>
      <c r="G443" s="5">
        <v>730</v>
      </c>
      <c r="H443" s="5">
        <v>886</v>
      </c>
      <c r="I443" s="6">
        <f t="shared" si="18"/>
        <v>17520</v>
      </c>
      <c r="J443" s="6">
        <f t="shared" si="19"/>
        <v>21264</v>
      </c>
      <c r="K443" s="6">
        <f t="shared" si="20"/>
        <v>3744</v>
      </c>
    </row>
    <row r="444" spans="1:11" ht="15.6" thickTop="1" thickBot="1" x14ac:dyDescent="0.35">
      <c r="A444" s="4">
        <v>45425</v>
      </c>
      <c r="B444" s="5" t="s">
        <v>27</v>
      </c>
      <c r="C444" s="5" t="s">
        <v>40</v>
      </c>
      <c r="D444" s="5" t="s">
        <v>17</v>
      </c>
      <c r="E444" s="5" t="s">
        <v>14</v>
      </c>
      <c r="F444" s="5">
        <v>23</v>
      </c>
      <c r="G444" s="5">
        <v>811</v>
      </c>
      <c r="H444" s="5">
        <v>1142</v>
      </c>
      <c r="I444" s="6">
        <f t="shared" si="18"/>
        <v>18653</v>
      </c>
      <c r="J444" s="6">
        <f t="shared" si="19"/>
        <v>26266</v>
      </c>
      <c r="K444" s="6">
        <f t="shared" si="20"/>
        <v>7613</v>
      </c>
    </row>
    <row r="445" spans="1:11" ht="15.6" thickTop="1" thickBot="1" x14ac:dyDescent="0.35">
      <c r="A445" s="4">
        <v>45426</v>
      </c>
      <c r="B445" s="5" t="s">
        <v>27</v>
      </c>
      <c r="C445" s="5" t="s">
        <v>40</v>
      </c>
      <c r="D445" s="5" t="s">
        <v>34</v>
      </c>
      <c r="E445" s="5" t="s">
        <v>14</v>
      </c>
      <c r="F445" s="5">
        <v>21</v>
      </c>
      <c r="G445" s="5">
        <v>967</v>
      </c>
      <c r="H445" s="5">
        <v>888</v>
      </c>
      <c r="I445" s="6">
        <f t="shared" si="18"/>
        <v>20307</v>
      </c>
      <c r="J445" s="6">
        <f t="shared" si="19"/>
        <v>18648</v>
      </c>
      <c r="K445" s="6">
        <f t="shared" si="20"/>
        <v>-1659</v>
      </c>
    </row>
    <row r="446" spans="1:11" ht="15.6" thickTop="1" thickBot="1" x14ac:dyDescent="0.35">
      <c r="A446" s="4">
        <v>45427</v>
      </c>
      <c r="B446" s="5" t="s">
        <v>27</v>
      </c>
      <c r="C446" s="5" t="s">
        <v>40</v>
      </c>
      <c r="D446" s="5" t="s">
        <v>36</v>
      </c>
      <c r="E446" s="5" t="s">
        <v>14</v>
      </c>
      <c r="F446" s="5">
        <v>29</v>
      </c>
      <c r="G446" s="5">
        <v>655</v>
      </c>
      <c r="H446" s="5">
        <v>950</v>
      </c>
      <c r="I446" s="6">
        <f t="shared" si="18"/>
        <v>18995</v>
      </c>
      <c r="J446" s="6">
        <f t="shared" si="19"/>
        <v>27550</v>
      </c>
      <c r="K446" s="6">
        <f t="shared" si="20"/>
        <v>8555</v>
      </c>
    </row>
    <row r="447" spans="1:11" ht="15.6" thickTop="1" thickBot="1" x14ac:dyDescent="0.35">
      <c r="A447" s="4">
        <v>45428</v>
      </c>
      <c r="B447" s="5" t="s">
        <v>27</v>
      </c>
      <c r="C447" s="5" t="s">
        <v>40</v>
      </c>
      <c r="D447" s="5" t="s">
        <v>37</v>
      </c>
      <c r="E447" s="5" t="s">
        <v>19</v>
      </c>
      <c r="F447" s="5">
        <v>30</v>
      </c>
      <c r="G447" s="5">
        <v>616</v>
      </c>
      <c r="H447" s="5">
        <v>804</v>
      </c>
      <c r="I447" s="6">
        <f t="shared" si="18"/>
        <v>18480</v>
      </c>
      <c r="J447" s="6">
        <f t="shared" si="19"/>
        <v>24120</v>
      </c>
      <c r="K447" s="6">
        <f t="shared" si="20"/>
        <v>5640</v>
      </c>
    </row>
    <row r="448" spans="1:11" ht="15.6" thickTop="1" thickBot="1" x14ac:dyDescent="0.35">
      <c r="A448" s="4">
        <v>45429</v>
      </c>
      <c r="B448" s="5" t="s">
        <v>27</v>
      </c>
      <c r="C448" s="5" t="s">
        <v>40</v>
      </c>
      <c r="D448" s="5" t="s">
        <v>23</v>
      </c>
      <c r="E448" s="5" t="s">
        <v>19</v>
      </c>
      <c r="F448" s="5">
        <v>30</v>
      </c>
      <c r="G448" s="5">
        <v>709</v>
      </c>
      <c r="H448" s="5">
        <v>1209</v>
      </c>
      <c r="I448" s="6">
        <f t="shared" si="18"/>
        <v>21270</v>
      </c>
      <c r="J448" s="6">
        <f t="shared" si="19"/>
        <v>36270</v>
      </c>
      <c r="K448" s="6">
        <f t="shared" si="20"/>
        <v>15000</v>
      </c>
    </row>
    <row r="449" spans="1:11" ht="15.6" thickTop="1" thickBot="1" x14ac:dyDescent="0.35">
      <c r="A449" s="4">
        <v>45430</v>
      </c>
      <c r="B449" s="5" t="s">
        <v>27</v>
      </c>
      <c r="C449" s="5" t="s">
        <v>40</v>
      </c>
      <c r="D449" s="5" t="s">
        <v>26</v>
      </c>
      <c r="E449" s="5" t="s">
        <v>19</v>
      </c>
      <c r="F449" s="5">
        <v>23</v>
      </c>
      <c r="G449" s="5">
        <v>875</v>
      </c>
      <c r="H449" s="5">
        <v>843</v>
      </c>
      <c r="I449" s="6">
        <f t="shared" si="18"/>
        <v>20125</v>
      </c>
      <c r="J449" s="6">
        <f t="shared" si="19"/>
        <v>19389</v>
      </c>
      <c r="K449" s="6">
        <f t="shared" si="20"/>
        <v>-736</v>
      </c>
    </row>
    <row r="450" spans="1:11" ht="15.6" thickTop="1" thickBot="1" x14ac:dyDescent="0.35">
      <c r="A450" s="4">
        <v>45484</v>
      </c>
      <c r="B450" s="5" t="s">
        <v>27</v>
      </c>
      <c r="C450" s="5" t="s">
        <v>40</v>
      </c>
      <c r="D450" s="5" t="s">
        <v>25</v>
      </c>
      <c r="E450" s="5" t="s">
        <v>19</v>
      </c>
      <c r="F450" s="5">
        <v>26</v>
      </c>
      <c r="G450" s="5">
        <v>766</v>
      </c>
      <c r="H450" s="5">
        <v>836</v>
      </c>
      <c r="I450" s="6">
        <f t="shared" ref="I450:I513" si="21">F450*G450</f>
        <v>19916</v>
      </c>
      <c r="J450" s="6">
        <f t="shared" ref="J450:J513" si="22">F450*H450</f>
        <v>21736</v>
      </c>
      <c r="K450" s="6">
        <f t="shared" ref="K450:K513" si="23">J450-I450</f>
        <v>1820</v>
      </c>
    </row>
    <row r="451" spans="1:11" ht="15.6" thickTop="1" thickBot="1" x14ac:dyDescent="0.35">
      <c r="A451" s="4">
        <v>45485</v>
      </c>
      <c r="B451" s="5" t="s">
        <v>27</v>
      </c>
      <c r="C451" s="5" t="s">
        <v>40</v>
      </c>
      <c r="D451" s="5" t="s">
        <v>34</v>
      </c>
      <c r="E451" s="5" t="s">
        <v>19</v>
      </c>
      <c r="F451" s="5">
        <v>23</v>
      </c>
      <c r="G451" s="5">
        <v>589</v>
      </c>
      <c r="H451" s="5">
        <v>982</v>
      </c>
      <c r="I451" s="6">
        <f t="shared" si="21"/>
        <v>13547</v>
      </c>
      <c r="J451" s="6">
        <f t="shared" si="22"/>
        <v>22586</v>
      </c>
      <c r="K451" s="6">
        <f t="shared" si="23"/>
        <v>9039</v>
      </c>
    </row>
    <row r="452" spans="1:11" ht="15.6" thickTop="1" thickBot="1" x14ac:dyDescent="0.35">
      <c r="A452" s="4">
        <v>45486</v>
      </c>
      <c r="B452" s="5" t="s">
        <v>27</v>
      </c>
      <c r="C452" s="5" t="s">
        <v>40</v>
      </c>
      <c r="D452" s="5" t="s">
        <v>34</v>
      </c>
      <c r="E452" s="5" t="s">
        <v>19</v>
      </c>
      <c r="F452" s="5">
        <v>24</v>
      </c>
      <c r="G452" s="5">
        <v>718</v>
      </c>
      <c r="H452" s="5">
        <v>1218</v>
      </c>
      <c r="I452" s="6">
        <f t="shared" si="21"/>
        <v>17232</v>
      </c>
      <c r="J452" s="6">
        <f t="shared" si="22"/>
        <v>29232</v>
      </c>
      <c r="K452" s="6">
        <f t="shared" si="23"/>
        <v>12000</v>
      </c>
    </row>
    <row r="453" spans="1:11" ht="15.6" thickTop="1" thickBot="1" x14ac:dyDescent="0.35">
      <c r="A453" s="4">
        <v>45487</v>
      </c>
      <c r="B453" s="5" t="s">
        <v>27</v>
      </c>
      <c r="C453" s="5" t="s">
        <v>40</v>
      </c>
      <c r="D453" s="5" t="s">
        <v>32</v>
      </c>
      <c r="E453" s="5" t="s">
        <v>19</v>
      </c>
      <c r="F453" s="5">
        <v>22</v>
      </c>
      <c r="G453" s="5">
        <v>877</v>
      </c>
      <c r="H453" s="5">
        <v>1120</v>
      </c>
      <c r="I453" s="6">
        <f t="shared" si="21"/>
        <v>19294</v>
      </c>
      <c r="J453" s="6">
        <f t="shared" si="22"/>
        <v>24640</v>
      </c>
      <c r="K453" s="6">
        <f t="shared" si="23"/>
        <v>5346</v>
      </c>
    </row>
    <row r="454" spans="1:11" ht="15.6" thickTop="1" thickBot="1" x14ac:dyDescent="0.35">
      <c r="A454" s="4">
        <v>45489</v>
      </c>
      <c r="B454" s="5" t="s">
        <v>27</v>
      </c>
      <c r="C454" s="5" t="s">
        <v>40</v>
      </c>
      <c r="D454" s="5" t="s">
        <v>20</v>
      </c>
      <c r="E454" s="5" t="s">
        <v>14</v>
      </c>
      <c r="F454" s="5">
        <v>23</v>
      </c>
      <c r="G454" s="5">
        <v>641</v>
      </c>
      <c r="H454" s="5">
        <v>1445</v>
      </c>
      <c r="I454" s="6">
        <f t="shared" si="21"/>
        <v>14743</v>
      </c>
      <c r="J454" s="6">
        <f t="shared" si="22"/>
        <v>33235</v>
      </c>
      <c r="K454" s="6">
        <f t="shared" si="23"/>
        <v>18492</v>
      </c>
    </row>
    <row r="455" spans="1:11" ht="15.6" thickTop="1" thickBot="1" x14ac:dyDescent="0.35">
      <c r="A455" s="4">
        <v>45490</v>
      </c>
      <c r="B455" s="5" t="s">
        <v>27</v>
      </c>
      <c r="C455" s="5" t="s">
        <v>40</v>
      </c>
      <c r="D455" s="5" t="s">
        <v>39</v>
      </c>
      <c r="E455" s="5" t="s">
        <v>14</v>
      </c>
      <c r="F455" s="5">
        <v>30</v>
      </c>
      <c r="G455" s="5">
        <v>916</v>
      </c>
      <c r="H455" s="5">
        <v>1497</v>
      </c>
      <c r="I455" s="6">
        <f t="shared" si="21"/>
        <v>27480</v>
      </c>
      <c r="J455" s="6">
        <f t="shared" si="22"/>
        <v>44910</v>
      </c>
      <c r="K455" s="6">
        <f t="shared" si="23"/>
        <v>17430</v>
      </c>
    </row>
    <row r="456" spans="1:11" ht="15.6" thickTop="1" thickBot="1" x14ac:dyDescent="0.35">
      <c r="A456" s="4">
        <v>45491</v>
      </c>
      <c r="B456" s="5" t="s">
        <v>27</v>
      </c>
      <c r="C456" s="5" t="s">
        <v>40</v>
      </c>
      <c r="D456" s="5" t="s">
        <v>26</v>
      </c>
      <c r="E456" s="5" t="s">
        <v>14</v>
      </c>
      <c r="F456" s="5">
        <v>28</v>
      </c>
      <c r="G456" s="5">
        <v>588</v>
      </c>
      <c r="H456" s="5">
        <v>784</v>
      </c>
      <c r="I456" s="6">
        <f t="shared" si="21"/>
        <v>16464</v>
      </c>
      <c r="J456" s="6">
        <f t="shared" si="22"/>
        <v>21952</v>
      </c>
      <c r="K456" s="6">
        <f t="shared" si="23"/>
        <v>5488</v>
      </c>
    </row>
    <row r="457" spans="1:11" ht="15.6" thickTop="1" thickBot="1" x14ac:dyDescent="0.35">
      <c r="A457" s="4">
        <v>45507</v>
      </c>
      <c r="B457" s="5" t="s">
        <v>21</v>
      </c>
      <c r="C457" s="5" t="s">
        <v>41</v>
      </c>
      <c r="D457" s="5" t="s">
        <v>36</v>
      </c>
      <c r="E457" s="5" t="s">
        <v>19</v>
      </c>
      <c r="F457" s="5">
        <v>60</v>
      </c>
      <c r="G457" s="5">
        <v>642</v>
      </c>
      <c r="H457" s="5">
        <v>1497</v>
      </c>
      <c r="I457" s="6">
        <f t="shared" si="21"/>
        <v>38520</v>
      </c>
      <c r="J457" s="6">
        <f t="shared" si="22"/>
        <v>89820</v>
      </c>
      <c r="K457" s="6">
        <f t="shared" si="23"/>
        <v>51300</v>
      </c>
    </row>
    <row r="458" spans="1:11" ht="15.6" thickTop="1" thickBot="1" x14ac:dyDescent="0.35">
      <c r="A458" s="4">
        <v>45492</v>
      </c>
      <c r="B458" s="5" t="s">
        <v>27</v>
      </c>
      <c r="C458" s="5" t="s">
        <v>40</v>
      </c>
      <c r="D458" s="5" t="s">
        <v>43</v>
      </c>
      <c r="E458" s="5" t="s">
        <v>14</v>
      </c>
      <c r="F458" s="5">
        <v>26</v>
      </c>
      <c r="G458" s="5">
        <v>969</v>
      </c>
      <c r="H458" s="5">
        <v>1087</v>
      </c>
      <c r="I458" s="6">
        <f t="shared" si="21"/>
        <v>25194</v>
      </c>
      <c r="J458" s="6">
        <f t="shared" si="22"/>
        <v>28262</v>
      </c>
      <c r="K458" s="6">
        <f t="shared" si="23"/>
        <v>3068</v>
      </c>
    </row>
    <row r="459" spans="1:11" ht="15.6" thickTop="1" thickBot="1" x14ac:dyDescent="0.35">
      <c r="A459" s="4">
        <v>45493</v>
      </c>
      <c r="B459" s="5" t="s">
        <v>27</v>
      </c>
      <c r="C459" s="5" t="s">
        <v>40</v>
      </c>
      <c r="D459" s="5" t="s">
        <v>44</v>
      </c>
      <c r="E459" s="5" t="s">
        <v>14</v>
      </c>
      <c r="F459" s="5">
        <v>25</v>
      </c>
      <c r="G459" s="5">
        <v>839</v>
      </c>
      <c r="H459" s="5">
        <v>1233</v>
      </c>
      <c r="I459" s="6">
        <f t="shared" si="21"/>
        <v>20975</v>
      </c>
      <c r="J459" s="6">
        <f t="shared" si="22"/>
        <v>30825</v>
      </c>
      <c r="K459" s="6">
        <f t="shared" si="23"/>
        <v>9850</v>
      </c>
    </row>
    <row r="460" spans="1:11" ht="15.6" thickTop="1" thickBot="1" x14ac:dyDescent="0.35">
      <c r="A460" s="4">
        <v>45494</v>
      </c>
      <c r="B460" s="5" t="s">
        <v>27</v>
      </c>
      <c r="C460" s="5" t="s">
        <v>40</v>
      </c>
      <c r="D460" s="5" t="s">
        <v>13</v>
      </c>
      <c r="E460" s="5" t="s">
        <v>14</v>
      </c>
      <c r="F460" s="5">
        <v>25</v>
      </c>
      <c r="G460" s="5">
        <v>536</v>
      </c>
      <c r="H460" s="5">
        <v>1407</v>
      </c>
      <c r="I460" s="6">
        <f t="shared" si="21"/>
        <v>13400</v>
      </c>
      <c r="J460" s="6">
        <f t="shared" si="22"/>
        <v>35175</v>
      </c>
      <c r="K460" s="6">
        <f t="shared" si="23"/>
        <v>21775</v>
      </c>
    </row>
    <row r="461" spans="1:11" ht="15.6" thickTop="1" thickBot="1" x14ac:dyDescent="0.35">
      <c r="A461" s="4">
        <v>45517</v>
      </c>
      <c r="B461" s="5" t="s">
        <v>27</v>
      </c>
      <c r="C461" s="5" t="s">
        <v>40</v>
      </c>
      <c r="D461" s="5" t="s">
        <v>26</v>
      </c>
      <c r="E461" s="5" t="s">
        <v>19</v>
      </c>
      <c r="F461" s="5">
        <v>27</v>
      </c>
      <c r="G461" s="5">
        <v>966</v>
      </c>
      <c r="H461" s="5">
        <v>1255</v>
      </c>
      <c r="I461" s="6">
        <f t="shared" si="21"/>
        <v>26082</v>
      </c>
      <c r="J461" s="6">
        <f t="shared" si="22"/>
        <v>33885</v>
      </c>
      <c r="K461" s="6">
        <f t="shared" si="23"/>
        <v>7803</v>
      </c>
    </row>
    <row r="462" spans="1:11" ht="15.6" thickTop="1" thickBot="1" x14ac:dyDescent="0.35">
      <c r="A462" s="4">
        <v>45512</v>
      </c>
      <c r="B462" s="5" t="s">
        <v>11</v>
      </c>
      <c r="C462" s="5" t="s">
        <v>24</v>
      </c>
      <c r="D462" s="5" t="s">
        <v>23</v>
      </c>
      <c r="E462" s="5" t="s">
        <v>14</v>
      </c>
      <c r="F462" s="5">
        <v>20</v>
      </c>
      <c r="G462" s="5">
        <v>525</v>
      </c>
      <c r="H462" s="5">
        <v>1122</v>
      </c>
      <c r="I462" s="6">
        <f t="shared" si="21"/>
        <v>10500</v>
      </c>
      <c r="J462" s="6">
        <f t="shared" si="22"/>
        <v>22440</v>
      </c>
      <c r="K462" s="6">
        <f t="shared" si="23"/>
        <v>11940</v>
      </c>
    </row>
    <row r="463" spans="1:11" ht="15.6" thickTop="1" thickBot="1" x14ac:dyDescent="0.35">
      <c r="A463" s="4">
        <v>45518</v>
      </c>
      <c r="B463" s="5" t="s">
        <v>27</v>
      </c>
      <c r="C463" s="5" t="s">
        <v>40</v>
      </c>
      <c r="D463" s="5" t="s">
        <v>29</v>
      </c>
      <c r="E463" s="5" t="s">
        <v>19</v>
      </c>
      <c r="F463" s="5">
        <v>23</v>
      </c>
      <c r="G463" s="5">
        <v>694</v>
      </c>
      <c r="H463" s="5">
        <v>1309</v>
      </c>
      <c r="I463" s="6">
        <f t="shared" si="21"/>
        <v>15962</v>
      </c>
      <c r="J463" s="6">
        <f t="shared" si="22"/>
        <v>30107</v>
      </c>
      <c r="K463" s="6">
        <f t="shared" si="23"/>
        <v>14145</v>
      </c>
    </row>
    <row r="464" spans="1:11" ht="15.6" thickTop="1" thickBot="1" x14ac:dyDescent="0.35">
      <c r="A464" s="4">
        <v>45519</v>
      </c>
      <c r="B464" s="5" t="s">
        <v>27</v>
      </c>
      <c r="C464" s="5" t="s">
        <v>40</v>
      </c>
      <c r="D464" s="5" t="s">
        <v>18</v>
      </c>
      <c r="E464" s="5" t="s">
        <v>14</v>
      </c>
      <c r="F464" s="5">
        <v>22</v>
      </c>
      <c r="G464" s="5">
        <v>749</v>
      </c>
      <c r="H464" s="5">
        <v>850</v>
      </c>
      <c r="I464" s="6">
        <f t="shared" si="21"/>
        <v>16478</v>
      </c>
      <c r="J464" s="6">
        <f t="shared" si="22"/>
        <v>18700</v>
      </c>
      <c r="K464" s="6">
        <f t="shared" si="23"/>
        <v>2222</v>
      </c>
    </row>
    <row r="465" spans="1:11" ht="15.6" thickTop="1" thickBot="1" x14ac:dyDescent="0.35">
      <c r="A465" s="4">
        <v>45521</v>
      </c>
      <c r="B465" s="5" t="s">
        <v>27</v>
      </c>
      <c r="C465" s="5" t="s">
        <v>40</v>
      </c>
      <c r="D465" s="5" t="s">
        <v>31</v>
      </c>
      <c r="E465" s="5" t="s">
        <v>19</v>
      </c>
      <c r="F465" s="5">
        <v>24</v>
      </c>
      <c r="G465" s="5">
        <v>845</v>
      </c>
      <c r="H465" s="5">
        <v>1429</v>
      </c>
      <c r="I465" s="6">
        <f t="shared" si="21"/>
        <v>20280</v>
      </c>
      <c r="J465" s="6">
        <f t="shared" si="22"/>
        <v>34296</v>
      </c>
      <c r="K465" s="6">
        <f t="shared" si="23"/>
        <v>14016</v>
      </c>
    </row>
    <row r="466" spans="1:11" ht="15.6" thickTop="1" thickBot="1" x14ac:dyDescent="0.35">
      <c r="A466" s="4">
        <v>45522</v>
      </c>
      <c r="B466" s="5" t="s">
        <v>27</v>
      </c>
      <c r="C466" s="5" t="s">
        <v>40</v>
      </c>
      <c r="D466" s="5" t="s">
        <v>23</v>
      </c>
      <c r="E466" s="5" t="s">
        <v>19</v>
      </c>
      <c r="F466" s="5">
        <v>29</v>
      </c>
      <c r="G466" s="5">
        <v>872</v>
      </c>
      <c r="H466" s="5">
        <v>1351</v>
      </c>
      <c r="I466" s="6">
        <f t="shared" si="21"/>
        <v>25288</v>
      </c>
      <c r="J466" s="6">
        <f t="shared" si="22"/>
        <v>39179</v>
      </c>
      <c r="K466" s="6">
        <f t="shared" si="23"/>
        <v>13891</v>
      </c>
    </row>
    <row r="467" spans="1:11" ht="15.6" thickTop="1" thickBot="1" x14ac:dyDescent="0.35">
      <c r="A467" s="4">
        <v>45523</v>
      </c>
      <c r="B467" s="5" t="s">
        <v>27</v>
      </c>
      <c r="C467" s="5" t="s">
        <v>40</v>
      </c>
      <c r="D467" s="5" t="s">
        <v>25</v>
      </c>
      <c r="E467" s="5" t="s">
        <v>19</v>
      </c>
      <c r="F467" s="5">
        <v>27</v>
      </c>
      <c r="G467" s="5">
        <v>674</v>
      </c>
      <c r="H467" s="5">
        <v>1119</v>
      </c>
      <c r="I467" s="6">
        <f t="shared" si="21"/>
        <v>18198</v>
      </c>
      <c r="J467" s="6">
        <f t="shared" si="22"/>
        <v>30213</v>
      </c>
      <c r="K467" s="6">
        <f t="shared" si="23"/>
        <v>12015</v>
      </c>
    </row>
    <row r="468" spans="1:11" ht="15.6" thickTop="1" thickBot="1" x14ac:dyDescent="0.35">
      <c r="A468" s="4">
        <v>45524</v>
      </c>
      <c r="B468" s="5" t="s">
        <v>27</v>
      </c>
      <c r="C468" s="5" t="s">
        <v>40</v>
      </c>
      <c r="D468" s="5" t="s">
        <v>25</v>
      </c>
      <c r="E468" s="5" t="s">
        <v>14</v>
      </c>
      <c r="F468" s="5">
        <v>27</v>
      </c>
      <c r="G468" s="5">
        <v>583</v>
      </c>
      <c r="H468" s="5">
        <v>1379</v>
      </c>
      <c r="I468" s="6">
        <f t="shared" si="21"/>
        <v>15741</v>
      </c>
      <c r="J468" s="6">
        <f t="shared" si="22"/>
        <v>37233</v>
      </c>
      <c r="K468" s="6">
        <f t="shared" si="23"/>
        <v>21492</v>
      </c>
    </row>
    <row r="469" spans="1:11" ht="15.6" thickTop="1" thickBot="1" x14ac:dyDescent="0.35">
      <c r="A469" s="4">
        <v>45525</v>
      </c>
      <c r="B469" s="5" t="s">
        <v>27</v>
      </c>
      <c r="C469" s="5" t="s">
        <v>40</v>
      </c>
      <c r="D469" s="5" t="s">
        <v>34</v>
      </c>
      <c r="E469" s="5" t="s">
        <v>14</v>
      </c>
      <c r="F469" s="5">
        <v>21</v>
      </c>
      <c r="G469" s="5">
        <v>929</v>
      </c>
      <c r="H469" s="5">
        <v>910</v>
      </c>
      <c r="I469" s="6">
        <f t="shared" si="21"/>
        <v>19509</v>
      </c>
      <c r="J469" s="6">
        <f t="shared" si="22"/>
        <v>19110</v>
      </c>
      <c r="K469" s="6">
        <f t="shared" si="23"/>
        <v>-399</v>
      </c>
    </row>
    <row r="470" spans="1:11" ht="15.6" thickTop="1" thickBot="1" x14ac:dyDescent="0.35">
      <c r="A470" s="4">
        <v>45520</v>
      </c>
      <c r="B470" s="5" t="s">
        <v>27</v>
      </c>
      <c r="C470" s="5" t="s">
        <v>40</v>
      </c>
      <c r="D470" s="5" t="s">
        <v>30</v>
      </c>
      <c r="E470" s="5" t="s">
        <v>19</v>
      </c>
      <c r="F470" s="5">
        <v>23</v>
      </c>
      <c r="G470" s="5">
        <v>884</v>
      </c>
      <c r="H470" s="5">
        <v>1392</v>
      </c>
      <c r="I470" s="6">
        <f t="shared" si="21"/>
        <v>20332</v>
      </c>
      <c r="J470" s="6">
        <f t="shared" si="22"/>
        <v>32016</v>
      </c>
      <c r="K470" s="6">
        <f t="shared" si="23"/>
        <v>11684</v>
      </c>
    </row>
    <row r="471" spans="1:11" ht="15.6" thickTop="1" thickBot="1" x14ac:dyDescent="0.35">
      <c r="A471" s="4">
        <v>45527</v>
      </c>
      <c r="B471" s="5" t="s">
        <v>27</v>
      </c>
      <c r="C471" s="5" t="s">
        <v>40</v>
      </c>
      <c r="D471" s="5" t="s">
        <v>32</v>
      </c>
      <c r="E471" s="5" t="s">
        <v>14</v>
      </c>
      <c r="F471" s="5">
        <v>28</v>
      </c>
      <c r="G471" s="5">
        <v>873</v>
      </c>
      <c r="H471" s="5">
        <v>809</v>
      </c>
      <c r="I471" s="6">
        <f t="shared" si="21"/>
        <v>24444</v>
      </c>
      <c r="J471" s="6">
        <f t="shared" si="22"/>
        <v>22652</v>
      </c>
      <c r="K471" s="6">
        <f t="shared" si="23"/>
        <v>-1792</v>
      </c>
    </row>
    <row r="472" spans="1:11" ht="15.6" thickTop="1" thickBot="1" x14ac:dyDescent="0.35">
      <c r="A472" s="4">
        <v>45589</v>
      </c>
      <c r="B472" s="5" t="s">
        <v>27</v>
      </c>
      <c r="C472" s="5" t="s">
        <v>42</v>
      </c>
      <c r="D472" s="5" t="s">
        <v>32</v>
      </c>
      <c r="E472" s="5" t="s">
        <v>14</v>
      </c>
      <c r="F472" s="5">
        <v>21</v>
      </c>
      <c r="G472" s="5">
        <v>541</v>
      </c>
      <c r="H472" s="5">
        <v>1339</v>
      </c>
      <c r="I472" s="6">
        <f t="shared" si="21"/>
        <v>11361</v>
      </c>
      <c r="J472" s="6">
        <f t="shared" si="22"/>
        <v>28119</v>
      </c>
      <c r="K472" s="6">
        <f t="shared" si="23"/>
        <v>16758</v>
      </c>
    </row>
    <row r="473" spans="1:11" ht="15.6" thickTop="1" thickBot="1" x14ac:dyDescent="0.35">
      <c r="A473" s="4">
        <v>45591</v>
      </c>
      <c r="B473" s="5" t="s">
        <v>27</v>
      </c>
      <c r="C473" s="5" t="s">
        <v>42</v>
      </c>
      <c r="D473" s="5" t="s">
        <v>20</v>
      </c>
      <c r="E473" s="5" t="s">
        <v>19</v>
      </c>
      <c r="F473" s="5">
        <v>22</v>
      </c>
      <c r="G473" s="5">
        <v>725</v>
      </c>
      <c r="H473" s="5">
        <v>1268</v>
      </c>
      <c r="I473" s="6">
        <f t="shared" si="21"/>
        <v>15950</v>
      </c>
      <c r="J473" s="6">
        <f t="shared" si="22"/>
        <v>27896</v>
      </c>
      <c r="K473" s="6">
        <f t="shared" si="23"/>
        <v>11946</v>
      </c>
    </row>
    <row r="474" spans="1:11" ht="15.6" thickTop="1" thickBot="1" x14ac:dyDescent="0.35">
      <c r="A474" s="4">
        <v>45596</v>
      </c>
      <c r="B474" s="5" t="s">
        <v>27</v>
      </c>
      <c r="C474" s="5" t="s">
        <v>28</v>
      </c>
      <c r="D474" s="5" t="s">
        <v>13</v>
      </c>
      <c r="E474" s="5" t="s">
        <v>19</v>
      </c>
      <c r="F474" s="5">
        <v>21</v>
      </c>
      <c r="G474" s="5">
        <v>596</v>
      </c>
      <c r="H474" s="5">
        <v>838</v>
      </c>
      <c r="I474" s="6">
        <f t="shared" si="21"/>
        <v>12516</v>
      </c>
      <c r="J474" s="6">
        <f t="shared" si="22"/>
        <v>17598</v>
      </c>
      <c r="K474" s="6">
        <f t="shared" si="23"/>
        <v>5082</v>
      </c>
    </row>
    <row r="475" spans="1:11" ht="15.6" thickTop="1" thickBot="1" x14ac:dyDescent="0.35">
      <c r="A475" s="4">
        <v>45597</v>
      </c>
      <c r="B475" s="5" t="s">
        <v>27</v>
      </c>
      <c r="C475" s="5" t="s">
        <v>28</v>
      </c>
      <c r="D475" s="5" t="s">
        <v>15</v>
      </c>
      <c r="E475" s="5" t="s">
        <v>19</v>
      </c>
      <c r="F475" s="5">
        <v>30</v>
      </c>
      <c r="G475" s="5">
        <v>910</v>
      </c>
      <c r="H475" s="5">
        <v>1290</v>
      </c>
      <c r="I475" s="6">
        <f t="shared" si="21"/>
        <v>27300</v>
      </c>
      <c r="J475" s="6">
        <f t="shared" si="22"/>
        <v>38700</v>
      </c>
      <c r="K475" s="6">
        <f t="shared" si="23"/>
        <v>11400</v>
      </c>
    </row>
    <row r="476" spans="1:11" ht="15.6" thickTop="1" thickBot="1" x14ac:dyDescent="0.35">
      <c r="A476" s="4">
        <v>45526</v>
      </c>
      <c r="B476" s="5" t="s">
        <v>27</v>
      </c>
      <c r="C476" s="5" t="s">
        <v>40</v>
      </c>
      <c r="D476" s="5" t="s">
        <v>34</v>
      </c>
      <c r="E476" s="5" t="s">
        <v>14</v>
      </c>
      <c r="F476" s="5">
        <v>20</v>
      </c>
      <c r="G476" s="5">
        <v>997</v>
      </c>
      <c r="H476" s="5">
        <v>784</v>
      </c>
      <c r="I476" s="6">
        <f t="shared" si="21"/>
        <v>19940</v>
      </c>
      <c r="J476" s="6">
        <f t="shared" si="22"/>
        <v>15680</v>
      </c>
      <c r="K476" s="6">
        <f t="shared" si="23"/>
        <v>-4260</v>
      </c>
    </row>
    <row r="477" spans="1:11" ht="15.6" thickTop="1" thickBot="1" x14ac:dyDescent="0.35">
      <c r="A477" s="4">
        <v>45598</v>
      </c>
      <c r="B477" s="5" t="s">
        <v>27</v>
      </c>
      <c r="C477" s="5" t="s">
        <v>28</v>
      </c>
      <c r="D477" s="5" t="s">
        <v>16</v>
      </c>
      <c r="E477" s="5" t="s">
        <v>19</v>
      </c>
      <c r="F477" s="5">
        <v>25</v>
      </c>
      <c r="G477" s="5">
        <v>532</v>
      </c>
      <c r="H477" s="5">
        <v>1358</v>
      </c>
      <c r="I477" s="6">
        <f t="shared" si="21"/>
        <v>13300</v>
      </c>
      <c r="J477" s="6">
        <f t="shared" si="22"/>
        <v>33950</v>
      </c>
      <c r="K477" s="6">
        <f t="shared" si="23"/>
        <v>20650</v>
      </c>
    </row>
    <row r="478" spans="1:11" ht="15.6" thickTop="1" thickBot="1" x14ac:dyDescent="0.35">
      <c r="A478" s="4">
        <v>45599</v>
      </c>
      <c r="B478" s="5" t="s">
        <v>27</v>
      </c>
      <c r="C478" s="5" t="s">
        <v>28</v>
      </c>
      <c r="D478" s="5" t="s">
        <v>17</v>
      </c>
      <c r="E478" s="5" t="s">
        <v>14</v>
      </c>
      <c r="F478" s="5">
        <v>29</v>
      </c>
      <c r="G478" s="5">
        <v>813</v>
      </c>
      <c r="H478" s="5">
        <v>1241</v>
      </c>
      <c r="I478" s="6">
        <f t="shared" si="21"/>
        <v>23577</v>
      </c>
      <c r="J478" s="6">
        <f t="shared" si="22"/>
        <v>35989</v>
      </c>
      <c r="K478" s="6">
        <f t="shared" si="23"/>
        <v>12412</v>
      </c>
    </row>
    <row r="479" spans="1:11" ht="15.6" thickTop="1" thickBot="1" x14ac:dyDescent="0.35">
      <c r="A479" s="4">
        <v>45600</v>
      </c>
      <c r="B479" s="5" t="s">
        <v>27</v>
      </c>
      <c r="C479" s="5" t="s">
        <v>28</v>
      </c>
      <c r="D479" s="5" t="s">
        <v>17</v>
      </c>
      <c r="E479" s="5" t="s">
        <v>14</v>
      </c>
      <c r="F479" s="5">
        <v>28</v>
      </c>
      <c r="G479" s="5">
        <v>858</v>
      </c>
      <c r="H479" s="5">
        <v>1127</v>
      </c>
      <c r="I479" s="6">
        <f t="shared" si="21"/>
        <v>24024</v>
      </c>
      <c r="J479" s="6">
        <f t="shared" si="22"/>
        <v>31556</v>
      </c>
      <c r="K479" s="6">
        <f t="shared" si="23"/>
        <v>7532</v>
      </c>
    </row>
    <row r="480" spans="1:11" ht="15.6" thickTop="1" thickBot="1" x14ac:dyDescent="0.35">
      <c r="A480" s="4">
        <v>45601</v>
      </c>
      <c r="B480" s="5" t="s">
        <v>27</v>
      </c>
      <c r="C480" s="5" t="s">
        <v>28</v>
      </c>
      <c r="D480" s="5" t="s">
        <v>18</v>
      </c>
      <c r="E480" s="5" t="s">
        <v>14</v>
      </c>
      <c r="F480" s="5">
        <v>24</v>
      </c>
      <c r="G480" s="5">
        <v>641</v>
      </c>
      <c r="H480" s="5">
        <v>1337</v>
      </c>
      <c r="I480" s="6">
        <f t="shared" si="21"/>
        <v>15384</v>
      </c>
      <c r="J480" s="6">
        <f t="shared" si="22"/>
        <v>32088</v>
      </c>
      <c r="K480" s="6">
        <f t="shared" si="23"/>
        <v>16704</v>
      </c>
    </row>
    <row r="481" spans="1:11" ht="15.6" thickTop="1" thickBot="1" x14ac:dyDescent="0.35">
      <c r="A481" s="4">
        <v>45609</v>
      </c>
      <c r="B481" s="5" t="s">
        <v>27</v>
      </c>
      <c r="C481" s="5" t="s">
        <v>33</v>
      </c>
      <c r="D481" s="5" t="s">
        <v>36</v>
      </c>
      <c r="E481" s="5" t="s">
        <v>19</v>
      </c>
      <c r="F481" s="5">
        <v>25</v>
      </c>
      <c r="G481" s="5">
        <v>709</v>
      </c>
      <c r="H481" s="5">
        <v>1386</v>
      </c>
      <c r="I481" s="6">
        <f t="shared" si="21"/>
        <v>17725</v>
      </c>
      <c r="J481" s="6">
        <f t="shared" si="22"/>
        <v>34650</v>
      </c>
      <c r="K481" s="6">
        <f t="shared" si="23"/>
        <v>16925</v>
      </c>
    </row>
    <row r="482" spans="1:11" ht="15.6" thickTop="1" thickBot="1" x14ac:dyDescent="0.35">
      <c r="A482" s="4">
        <v>45611</v>
      </c>
      <c r="B482" s="5" t="s">
        <v>27</v>
      </c>
      <c r="C482" s="5" t="s">
        <v>33</v>
      </c>
      <c r="D482" s="5" t="s">
        <v>23</v>
      </c>
      <c r="E482" s="5" t="s">
        <v>19</v>
      </c>
      <c r="F482" s="5">
        <v>25</v>
      </c>
      <c r="G482" s="5">
        <v>802</v>
      </c>
      <c r="H482" s="5">
        <v>1126</v>
      </c>
      <c r="I482" s="6">
        <f t="shared" si="21"/>
        <v>20050</v>
      </c>
      <c r="J482" s="6">
        <f t="shared" si="22"/>
        <v>28150</v>
      </c>
      <c r="K482" s="6">
        <f t="shared" si="23"/>
        <v>8100</v>
      </c>
    </row>
    <row r="483" spans="1:11" ht="15.6" thickTop="1" thickBot="1" x14ac:dyDescent="0.35">
      <c r="A483" s="4">
        <v>45612</v>
      </c>
      <c r="B483" s="5" t="s">
        <v>27</v>
      </c>
      <c r="C483" s="5" t="s">
        <v>33</v>
      </c>
      <c r="D483" s="5" t="s">
        <v>26</v>
      </c>
      <c r="E483" s="5" t="s">
        <v>19</v>
      </c>
      <c r="F483" s="5">
        <v>23</v>
      </c>
      <c r="G483" s="5">
        <v>893</v>
      </c>
      <c r="H483" s="5">
        <v>761</v>
      </c>
      <c r="I483" s="6">
        <f t="shared" si="21"/>
        <v>20539</v>
      </c>
      <c r="J483" s="6">
        <f t="shared" si="22"/>
        <v>17503</v>
      </c>
      <c r="K483" s="6">
        <f t="shared" si="23"/>
        <v>-3036</v>
      </c>
    </row>
    <row r="484" spans="1:11" ht="15.6" thickTop="1" thickBot="1" x14ac:dyDescent="0.35">
      <c r="A484" s="4">
        <v>45613</v>
      </c>
      <c r="B484" s="5" t="s">
        <v>27</v>
      </c>
      <c r="C484" s="5" t="s">
        <v>33</v>
      </c>
      <c r="D484" s="5" t="s">
        <v>32</v>
      </c>
      <c r="E484" s="5" t="s">
        <v>19</v>
      </c>
      <c r="F484" s="5">
        <v>29</v>
      </c>
      <c r="G484" s="5">
        <v>852</v>
      </c>
      <c r="H484" s="5">
        <v>1452</v>
      </c>
      <c r="I484" s="6">
        <f t="shared" si="21"/>
        <v>24708</v>
      </c>
      <c r="J484" s="6">
        <f t="shared" si="22"/>
        <v>42108</v>
      </c>
      <c r="K484" s="6">
        <f t="shared" si="23"/>
        <v>17400</v>
      </c>
    </row>
    <row r="485" spans="1:11" ht="15.6" thickTop="1" thickBot="1" x14ac:dyDescent="0.35">
      <c r="A485" s="4">
        <v>45535</v>
      </c>
      <c r="B485" s="5" t="s">
        <v>21</v>
      </c>
      <c r="C485" s="5" t="s">
        <v>38</v>
      </c>
      <c r="D485" s="5" t="s">
        <v>15</v>
      </c>
      <c r="E485" s="5" t="s">
        <v>19</v>
      </c>
      <c r="F485" s="5">
        <v>64</v>
      </c>
      <c r="G485" s="5">
        <v>580</v>
      </c>
      <c r="H485" s="5">
        <v>1164</v>
      </c>
      <c r="I485" s="6">
        <f t="shared" si="21"/>
        <v>37120</v>
      </c>
      <c r="J485" s="6">
        <f t="shared" si="22"/>
        <v>74496</v>
      </c>
      <c r="K485" s="6">
        <f t="shared" si="23"/>
        <v>37376</v>
      </c>
    </row>
    <row r="486" spans="1:11" ht="15.6" thickTop="1" thickBot="1" x14ac:dyDescent="0.35">
      <c r="A486" s="4">
        <v>45615</v>
      </c>
      <c r="B486" s="5" t="s">
        <v>27</v>
      </c>
      <c r="C486" s="5" t="s">
        <v>33</v>
      </c>
      <c r="D486" s="5" t="s">
        <v>25</v>
      </c>
      <c r="E486" s="5" t="s">
        <v>14</v>
      </c>
      <c r="F486" s="5">
        <v>23</v>
      </c>
      <c r="G486" s="5">
        <v>747</v>
      </c>
      <c r="H486" s="5">
        <v>1340</v>
      </c>
      <c r="I486" s="6">
        <f t="shared" si="21"/>
        <v>17181</v>
      </c>
      <c r="J486" s="6">
        <f t="shared" si="22"/>
        <v>30820</v>
      </c>
      <c r="K486" s="6">
        <f t="shared" si="23"/>
        <v>13639</v>
      </c>
    </row>
    <row r="487" spans="1:11" ht="15.6" thickTop="1" thickBot="1" x14ac:dyDescent="0.35">
      <c r="A487" s="4">
        <v>45617</v>
      </c>
      <c r="B487" s="5" t="s">
        <v>27</v>
      </c>
      <c r="C487" s="5" t="s">
        <v>33</v>
      </c>
      <c r="D487" s="5" t="s">
        <v>26</v>
      </c>
      <c r="E487" s="5" t="s">
        <v>19</v>
      </c>
      <c r="F487" s="5">
        <v>26</v>
      </c>
      <c r="G487" s="5">
        <v>625</v>
      </c>
      <c r="H487" s="5">
        <v>1298</v>
      </c>
      <c r="I487" s="6">
        <f t="shared" si="21"/>
        <v>16250</v>
      </c>
      <c r="J487" s="6">
        <f t="shared" si="22"/>
        <v>33748</v>
      </c>
      <c r="K487" s="6">
        <f t="shared" si="23"/>
        <v>17498</v>
      </c>
    </row>
    <row r="488" spans="1:11" ht="15.6" thickTop="1" thickBot="1" x14ac:dyDescent="0.35">
      <c r="A488" s="4">
        <v>45618</v>
      </c>
      <c r="B488" s="5" t="s">
        <v>27</v>
      </c>
      <c r="C488" s="5" t="s">
        <v>33</v>
      </c>
      <c r="D488" s="5" t="s">
        <v>18</v>
      </c>
      <c r="E488" s="5" t="s">
        <v>19</v>
      </c>
      <c r="F488" s="5">
        <v>23</v>
      </c>
      <c r="G488" s="5">
        <v>706</v>
      </c>
      <c r="H488" s="5">
        <v>988</v>
      </c>
      <c r="I488" s="6">
        <f t="shared" si="21"/>
        <v>16238</v>
      </c>
      <c r="J488" s="6">
        <f t="shared" si="22"/>
        <v>22724</v>
      </c>
      <c r="K488" s="6">
        <f t="shared" si="23"/>
        <v>6486</v>
      </c>
    </row>
    <row r="489" spans="1:11" ht="15.6" thickTop="1" thickBot="1" x14ac:dyDescent="0.35">
      <c r="A489" s="4">
        <v>45619</v>
      </c>
      <c r="B489" s="5" t="s">
        <v>27</v>
      </c>
      <c r="C489" s="5" t="s">
        <v>33</v>
      </c>
      <c r="D489" s="5" t="s">
        <v>26</v>
      </c>
      <c r="E489" s="5" t="s">
        <v>19</v>
      </c>
      <c r="F489" s="5">
        <v>28</v>
      </c>
      <c r="G489" s="5">
        <v>858</v>
      </c>
      <c r="H489" s="5">
        <v>1113</v>
      </c>
      <c r="I489" s="6">
        <f t="shared" si="21"/>
        <v>24024</v>
      </c>
      <c r="J489" s="6">
        <f t="shared" si="22"/>
        <v>31164</v>
      </c>
      <c r="K489" s="6">
        <f t="shared" si="23"/>
        <v>7140</v>
      </c>
    </row>
    <row r="490" spans="1:11" ht="15.6" thickTop="1" thickBot="1" x14ac:dyDescent="0.35">
      <c r="A490" s="4">
        <v>45540</v>
      </c>
      <c r="B490" s="5" t="s">
        <v>21</v>
      </c>
      <c r="C490" s="5" t="s">
        <v>41</v>
      </c>
      <c r="D490" s="5" t="s">
        <v>20</v>
      </c>
      <c r="E490" s="5" t="s">
        <v>14</v>
      </c>
      <c r="F490" s="5">
        <v>52</v>
      </c>
      <c r="G490" s="5">
        <v>893</v>
      </c>
      <c r="H490" s="5">
        <v>1055</v>
      </c>
      <c r="I490" s="6">
        <f t="shared" si="21"/>
        <v>46436</v>
      </c>
      <c r="J490" s="6">
        <f t="shared" si="22"/>
        <v>54860</v>
      </c>
      <c r="K490" s="6">
        <f t="shared" si="23"/>
        <v>8424</v>
      </c>
    </row>
    <row r="491" spans="1:11" ht="15.6" thickTop="1" thickBot="1" x14ac:dyDescent="0.35">
      <c r="A491" s="4">
        <v>45620</v>
      </c>
      <c r="B491" s="5" t="s">
        <v>27</v>
      </c>
      <c r="C491" s="5" t="s">
        <v>33</v>
      </c>
      <c r="D491" s="5" t="s">
        <v>29</v>
      </c>
      <c r="E491" s="5" t="s">
        <v>19</v>
      </c>
      <c r="F491" s="5">
        <v>24</v>
      </c>
      <c r="G491" s="5">
        <v>736</v>
      </c>
      <c r="H491" s="5">
        <v>1406</v>
      </c>
      <c r="I491" s="6">
        <f t="shared" si="21"/>
        <v>17664</v>
      </c>
      <c r="J491" s="6">
        <f t="shared" si="22"/>
        <v>33744</v>
      </c>
      <c r="K491" s="6">
        <f t="shared" si="23"/>
        <v>16080</v>
      </c>
    </row>
    <row r="492" spans="1:11" ht="15.6" thickTop="1" thickBot="1" x14ac:dyDescent="0.35">
      <c r="A492" s="4">
        <v>45621</v>
      </c>
      <c r="B492" s="5" t="s">
        <v>27</v>
      </c>
      <c r="C492" s="5" t="s">
        <v>33</v>
      </c>
      <c r="D492" s="5" t="s">
        <v>18</v>
      </c>
      <c r="E492" s="5" t="s">
        <v>19</v>
      </c>
      <c r="F492" s="5">
        <v>20</v>
      </c>
      <c r="G492" s="5">
        <v>599</v>
      </c>
      <c r="H492" s="5">
        <v>1023</v>
      </c>
      <c r="I492" s="6">
        <f t="shared" si="21"/>
        <v>11980</v>
      </c>
      <c r="J492" s="6">
        <f t="shared" si="22"/>
        <v>20460</v>
      </c>
      <c r="K492" s="6">
        <f t="shared" si="23"/>
        <v>8480</v>
      </c>
    </row>
    <row r="493" spans="1:11" ht="15.6" thickTop="1" thickBot="1" x14ac:dyDescent="0.35">
      <c r="A493" s="4">
        <v>45622</v>
      </c>
      <c r="B493" s="5" t="s">
        <v>27</v>
      </c>
      <c r="C493" s="5" t="s">
        <v>33</v>
      </c>
      <c r="D493" s="5" t="s">
        <v>30</v>
      </c>
      <c r="E493" s="5" t="s">
        <v>14</v>
      </c>
      <c r="F493" s="5">
        <v>22</v>
      </c>
      <c r="G493" s="5">
        <v>524</v>
      </c>
      <c r="H493" s="5">
        <v>1147</v>
      </c>
      <c r="I493" s="6">
        <f t="shared" si="21"/>
        <v>11528</v>
      </c>
      <c r="J493" s="6">
        <f t="shared" si="22"/>
        <v>25234</v>
      </c>
      <c r="K493" s="6">
        <f t="shared" si="23"/>
        <v>13706</v>
      </c>
    </row>
    <row r="494" spans="1:11" ht="15.6" thickTop="1" thickBot="1" x14ac:dyDescent="0.35">
      <c r="A494" s="4">
        <v>45623</v>
      </c>
      <c r="B494" s="5" t="s">
        <v>27</v>
      </c>
      <c r="C494" s="5" t="s">
        <v>33</v>
      </c>
      <c r="D494" s="5" t="s">
        <v>31</v>
      </c>
      <c r="E494" s="5" t="s">
        <v>14</v>
      </c>
      <c r="F494" s="5">
        <v>27</v>
      </c>
      <c r="G494" s="5">
        <v>744</v>
      </c>
      <c r="H494" s="5">
        <v>1253</v>
      </c>
      <c r="I494" s="6">
        <f t="shared" si="21"/>
        <v>20088</v>
      </c>
      <c r="J494" s="6">
        <f t="shared" si="22"/>
        <v>33831</v>
      </c>
      <c r="K494" s="6">
        <f t="shared" si="23"/>
        <v>13743</v>
      </c>
    </row>
    <row r="495" spans="1:11" ht="15.6" thickTop="1" thickBot="1" x14ac:dyDescent="0.35">
      <c r="A495" s="4">
        <v>45624</v>
      </c>
      <c r="B495" s="5" t="s">
        <v>27</v>
      </c>
      <c r="C495" s="5" t="s">
        <v>40</v>
      </c>
      <c r="D495" s="5" t="s">
        <v>23</v>
      </c>
      <c r="E495" s="5" t="s">
        <v>14</v>
      </c>
      <c r="F495" s="5">
        <v>27</v>
      </c>
      <c r="G495" s="5">
        <v>826</v>
      </c>
      <c r="H495" s="5">
        <v>917</v>
      </c>
      <c r="I495" s="6">
        <f t="shared" si="21"/>
        <v>22302</v>
      </c>
      <c r="J495" s="6">
        <f t="shared" si="22"/>
        <v>24759</v>
      </c>
      <c r="K495" s="6">
        <f t="shared" si="23"/>
        <v>2457</v>
      </c>
    </row>
    <row r="496" spans="1:11" ht="15.6" thickTop="1" thickBot="1" x14ac:dyDescent="0.35">
      <c r="A496" s="4">
        <v>45625</v>
      </c>
      <c r="B496" s="5" t="s">
        <v>27</v>
      </c>
      <c r="C496" s="5" t="s">
        <v>40</v>
      </c>
      <c r="D496" s="5" t="s">
        <v>25</v>
      </c>
      <c r="E496" s="5" t="s">
        <v>14</v>
      </c>
      <c r="F496" s="5">
        <v>27</v>
      </c>
      <c r="G496" s="5">
        <v>573</v>
      </c>
      <c r="H496" s="5">
        <v>1266</v>
      </c>
      <c r="I496" s="6">
        <f t="shared" si="21"/>
        <v>15471</v>
      </c>
      <c r="J496" s="6">
        <f t="shared" si="22"/>
        <v>34182</v>
      </c>
      <c r="K496" s="6">
        <f t="shared" si="23"/>
        <v>18711</v>
      </c>
    </row>
    <row r="497" spans="1:11" ht="15.6" thickTop="1" thickBot="1" x14ac:dyDescent="0.35">
      <c r="A497" s="4">
        <v>45627</v>
      </c>
      <c r="B497" s="5" t="s">
        <v>27</v>
      </c>
      <c r="C497" s="5" t="s">
        <v>40</v>
      </c>
      <c r="D497" s="5" t="s">
        <v>34</v>
      </c>
      <c r="E497" s="5" t="s">
        <v>14</v>
      </c>
      <c r="F497" s="5">
        <v>28</v>
      </c>
      <c r="G497" s="5">
        <v>798</v>
      </c>
      <c r="H497" s="5">
        <v>1131</v>
      </c>
      <c r="I497" s="6">
        <f t="shared" si="21"/>
        <v>22344</v>
      </c>
      <c r="J497" s="6">
        <f t="shared" si="22"/>
        <v>31668</v>
      </c>
      <c r="K497" s="6">
        <f t="shared" si="23"/>
        <v>9324</v>
      </c>
    </row>
    <row r="498" spans="1:11" ht="15.6" thickTop="1" thickBot="1" x14ac:dyDescent="0.35">
      <c r="A498" s="4">
        <v>45628</v>
      </c>
      <c r="B498" s="5" t="s">
        <v>27</v>
      </c>
      <c r="C498" s="5" t="s">
        <v>40</v>
      </c>
      <c r="D498" s="5" t="s">
        <v>34</v>
      </c>
      <c r="E498" s="5" t="s">
        <v>14</v>
      </c>
      <c r="F498" s="5">
        <v>25</v>
      </c>
      <c r="G498" s="5">
        <v>982</v>
      </c>
      <c r="H498" s="5">
        <v>1479</v>
      </c>
      <c r="I498" s="6">
        <f t="shared" si="21"/>
        <v>24550</v>
      </c>
      <c r="J498" s="6">
        <f t="shared" si="22"/>
        <v>36975</v>
      </c>
      <c r="K498" s="6">
        <f t="shared" si="23"/>
        <v>12425</v>
      </c>
    </row>
    <row r="499" spans="1:11" ht="15.6" thickTop="1" thickBot="1" x14ac:dyDescent="0.35">
      <c r="A499" s="4">
        <v>45549</v>
      </c>
      <c r="B499" s="5" t="s">
        <v>11</v>
      </c>
      <c r="C499" s="5" t="s">
        <v>24</v>
      </c>
      <c r="D499" s="5" t="s">
        <v>23</v>
      </c>
      <c r="E499" s="5" t="s">
        <v>14</v>
      </c>
      <c r="F499" s="5">
        <v>19</v>
      </c>
      <c r="G499" s="5">
        <v>938</v>
      </c>
      <c r="H499" s="5">
        <v>1348</v>
      </c>
      <c r="I499" s="6">
        <f t="shared" si="21"/>
        <v>17822</v>
      </c>
      <c r="J499" s="6">
        <f t="shared" si="22"/>
        <v>25612</v>
      </c>
      <c r="K499" s="6">
        <f t="shared" si="23"/>
        <v>7790</v>
      </c>
    </row>
    <row r="500" spans="1:11" ht="15.6" thickTop="1" thickBot="1" x14ac:dyDescent="0.35">
      <c r="A500" s="4">
        <v>45630</v>
      </c>
      <c r="B500" s="5" t="s">
        <v>27</v>
      </c>
      <c r="C500" s="5" t="s">
        <v>40</v>
      </c>
      <c r="D500" s="5" t="s">
        <v>25</v>
      </c>
      <c r="E500" s="5" t="s">
        <v>19</v>
      </c>
      <c r="F500" s="5">
        <v>29</v>
      </c>
      <c r="G500" s="5">
        <v>841</v>
      </c>
      <c r="H500" s="5">
        <v>854</v>
      </c>
      <c r="I500" s="6">
        <f t="shared" si="21"/>
        <v>24389</v>
      </c>
      <c r="J500" s="6">
        <f t="shared" si="22"/>
        <v>24766</v>
      </c>
      <c r="K500" s="6">
        <f t="shared" si="23"/>
        <v>377</v>
      </c>
    </row>
    <row r="501" spans="1:11" ht="15.6" thickTop="1" thickBot="1" x14ac:dyDescent="0.35">
      <c r="A501" s="4">
        <v>45631</v>
      </c>
      <c r="B501" s="5" t="s">
        <v>27</v>
      </c>
      <c r="C501" s="5" t="s">
        <v>40</v>
      </c>
      <c r="D501" s="5" t="s">
        <v>20</v>
      </c>
      <c r="E501" s="5" t="s">
        <v>19</v>
      </c>
      <c r="F501" s="5">
        <v>21</v>
      </c>
      <c r="G501" s="5">
        <v>691</v>
      </c>
      <c r="H501" s="5">
        <v>1142</v>
      </c>
      <c r="I501" s="6">
        <f t="shared" si="21"/>
        <v>14511</v>
      </c>
      <c r="J501" s="6">
        <f t="shared" si="22"/>
        <v>23982</v>
      </c>
      <c r="K501" s="6">
        <f t="shared" si="23"/>
        <v>9471</v>
      </c>
    </row>
    <row r="502" spans="1:11" ht="15.6" thickTop="1" thickBot="1" x14ac:dyDescent="0.35">
      <c r="A502" s="4">
        <v>45632</v>
      </c>
      <c r="B502" s="5" t="s">
        <v>27</v>
      </c>
      <c r="C502" s="5" t="s">
        <v>40</v>
      </c>
      <c r="D502" s="5" t="s">
        <v>39</v>
      </c>
      <c r="E502" s="5" t="s">
        <v>19</v>
      </c>
      <c r="F502" s="5">
        <v>24</v>
      </c>
      <c r="G502" s="5">
        <v>526</v>
      </c>
      <c r="H502" s="5">
        <v>808</v>
      </c>
      <c r="I502" s="6">
        <f t="shared" si="21"/>
        <v>12624</v>
      </c>
      <c r="J502" s="6">
        <f t="shared" si="22"/>
        <v>19392</v>
      </c>
      <c r="K502" s="6">
        <f t="shared" si="23"/>
        <v>6768</v>
      </c>
    </row>
    <row r="503" spans="1:11" ht="15.6" thickTop="1" thickBot="1" x14ac:dyDescent="0.35">
      <c r="A503" s="4">
        <v>45633</v>
      </c>
      <c r="B503" s="5" t="s">
        <v>27</v>
      </c>
      <c r="C503" s="5" t="s">
        <v>40</v>
      </c>
      <c r="D503" s="5" t="s">
        <v>26</v>
      </c>
      <c r="E503" s="5" t="s">
        <v>14</v>
      </c>
      <c r="F503" s="5">
        <v>29</v>
      </c>
      <c r="G503" s="5">
        <v>932</v>
      </c>
      <c r="H503" s="5">
        <v>1316</v>
      </c>
      <c r="I503" s="6">
        <f t="shared" si="21"/>
        <v>27028</v>
      </c>
      <c r="J503" s="6">
        <f t="shared" si="22"/>
        <v>38164</v>
      </c>
      <c r="K503" s="6">
        <f t="shared" si="23"/>
        <v>11136</v>
      </c>
    </row>
    <row r="504" spans="1:11" ht="15.6" thickTop="1" thickBot="1" x14ac:dyDescent="0.35">
      <c r="A504" s="4">
        <v>45554</v>
      </c>
      <c r="B504" s="5" t="s">
        <v>11</v>
      </c>
      <c r="C504" s="5" t="s">
        <v>24</v>
      </c>
      <c r="D504" s="5" t="s">
        <v>25</v>
      </c>
      <c r="E504" s="5" t="s">
        <v>19</v>
      </c>
      <c r="F504" s="5">
        <v>17</v>
      </c>
      <c r="G504" s="5">
        <v>614</v>
      </c>
      <c r="H504" s="5">
        <v>1273</v>
      </c>
      <c r="I504" s="6">
        <f t="shared" si="21"/>
        <v>10438</v>
      </c>
      <c r="J504" s="6">
        <f t="shared" si="22"/>
        <v>21641</v>
      </c>
      <c r="K504" s="6">
        <f t="shared" si="23"/>
        <v>11203</v>
      </c>
    </row>
    <row r="505" spans="1:11" ht="15.6" thickTop="1" thickBot="1" x14ac:dyDescent="0.35">
      <c r="A505" s="4">
        <v>45635</v>
      </c>
      <c r="B505" s="5" t="s">
        <v>27</v>
      </c>
      <c r="C505" s="5" t="s">
        <v>40</v>
      </c>
      <c r="D505" s="5" t="s">
        <v>44</v>
      </c>
      <c r="E505" s="5" t="s">
        <v>19</v>
      </c>
      <c r="F505" s="5">
        <v>22</v>
      </c>
      <c r="G505" s="5">
        <v>603</v>
      </c>
      <c r="H505" s="5">
        <v>794</v>
      </c>
      <c r="I505" s="6">
        <f t="shared" si="21"/>
        <v>13266</v>
      </c>
      <c r="J505" s="6">
        <f t="shared" si="22"/>
        <v>17468</v>
      </c>
      <c r="K505" s="6">
        <f t="shared" si="23"/>
        <v>4202</v>
      </c>
    </row>
    <row r="506" spans="1:11" ht="15.6" thickTop="1" thickBot="1" x14ac:dyDescent="0.35">
      <c r="A506" s="4">
        <v>45689</v>
      </c>
      <c r="B506" s="5" t="s">
        <v>27</v>
      </c>
      <c r="C506" s="5" t="s">
        <v>40</v>
      </c>
      <c r="D506" s="5" t="s">
        <v>26</v>
      </c>
      <c r="E506" s="5" t="s">
        <v>14</v>
      </c>
      <c r="F506" s="5">
        <v>30</v>
      </c>
      <c r="G506" s="5">
        <v>946</v>
      </c>
      <c r="H506" s="5">
        <v>1109</v>
      </c>
      <c r="I506" s="6">
        <f t="shared" si="21"/>
        <v>28380</v>
      </c>
      <c r="J506" s="6">
        <f t="shared" si="22"/>
        <v>33270</v>
      </c>
      <c r="K506" s="6">
        <f t="shared" si="23"/>
        <v>4890</v>
      </c>
    </row>
    <row r="507" spans="1:11" ht="15.6" thickTop="1" thickBot="1" x14ac:dyDescent="0.35">
      <c r="A507" s="4">
        <v>45690</v>
      </c>
      <c r="B507" s="5" t="s">
        <v>27</v>
      </c>
      <c r="C507" s="5" t="s">
        <v>40</v>
      </c>
      <c r="D507" s="5" t="s">
        <v>43</v>
      </c>
      <c r="E507" s="5" t="s">
        <v>14</v>
      </c>
      <c r="F507" s="5">
        <v>24</v>
      </c>
      <c r="G507" s="5">
        <v>580</v>
      </c>
      <c r="H507" s="5">
        <v>809</v>
      </c>
      <c r="I507" s="6">
        <f t="shared" si="21"/>
        <v>13920</v>
      </c>
      <c r="J507" s="6">
        <f t="shared" si="22"/>
        <v>19416</v>
      </c>
      <c r="K507" s="6">
        <f t="shared" si="23"/>
        <v>5496</v>
      </c>
    </row>
    <row r="508" spans="1:11" ht="15.6" thickTop="1" thickBot="1" x14ac:dyDescent="0.35">
      <c r="A508" s="4">
        <v>45691</v>
      </c>
      <c r="B508" s="5" t="s">
        <v>27</v>
      </c>
      <c r="C508" s="5" t="s">
        <v>40</v>
      </c>
      <c r="D508" s="5" t="s">
        <v>44</v>
      </c>
      <c r="E508" s="5" t="s">
        <v>14</v>
      </c>
      <c r="F508" s="5">
        <v>30</v>
      </c>
      <c r="G508" s="5">
        <v>732</v>
      </c>
      <c r="H508" s="5">
        <v>944</v>
      </c>
      <c r="I508" s="6">
        <f t="shared" si="21"/>
        <v>21960</v>
      </c>
      <c r="J508" s="6">
        <f t="shared" si="22"/>
        <v>28320</v>
      </c>
      <c r="K508" s="6">
        <f t="shared" si="23"/>
        <v>6360</v>
      </c>
    </row>
    <row r="509" spans="1:11" ht="15.6" thickTop="1" thickBot="1" x14ac:dyDescent="0.35">
      <c r="A509" s="4">
        <v>45692</v>
      </c>
      <c r="B509" s="5" t="s">
        <v>27</v>
      </c>
      <c r="C509" s="5" t="s">
        <v>40</v>
      </c>
      <c r="D509" s="5" t="s">
        <v>13</v>
      </c>
      <c r="E509" s="5" t="s">
        <v>19</v>
      </c>
      <c r="F509" s="5">
        <v>20</v>
      </c>
      <c r="G509" s="5">
        <v>552</v>
      </c>
      <c r="H509" s="5">
        <v>1261</v>
      </c>
      <c r="I509" s="6">
        <f t="shared" si="21"/>
        <v>11040</v>
      </c>
      <c r="J509" s="6">
        <f t="shared" si="22"/>
        <v>25220</v>
      </c>
      <c r="K509" s="6">
        <f t="shared" si="23"/>
        <v>14180</v>
      </c>
    </row>
    <row r="510" spans="1:11" ht="15.6" thickTop="1" thickBot="1" x14ac:dyDescent="0.35">
      <c r="A510" s="4">
        <v>45693</v>
      </c>
      <c r="B510" s="5" t="s">
        <v>27</v>
      </c>
      <c r="C510" s="5" t="s">
        <v>40</v>
      </c>
      <c r="D510" s="5" t="s">
        <v>15</v>
      </c>
      <c r="E510" s="5" t="s">
        <v>19</v>
      </c>
      <c r="F510" s="5">
        <v>21</v>
      </c>
      <c r="G510" s="5">
        <v>876</v>
      </c>
      <c r="H510" s="5">
        <v>1452</v>
      </c>
      <c r="I510" s="6">
        <f t="shared" si="21"/>
        <v>18396</v>
      </c>
      <c r="J510" s="6">
        <f t="shared" si="22"/>
        <v>30492</v>
      </c>
      <c r="K510" s="6">
        <f t="shared" si="23"/>
        <v>12096</v>
      </c>
    </row>
    <row r="511" spans="1:11" ht="15.6" thickTop="1" thickBot="1" x14ac:dyDescent="0.35">
      <c r="A511" s="4">
        <v>45694</v>
      </c>
      <c r="B511" s="5" t="s">
        <v>27</v>
      </c>
      <c r="C511" s="5" t="s">
        <v>40</v>
      </c>
      <c r="D511" s="5" t="s">
        <v>16</v>
      </c>
      <c r="E511" s="5" t="s">
        <v>19</v>
      </c>
      <c r="F511" s="5">
        <v>27</v>
      </c>
      <c r="G511" s="5">
        <v>636</v>
      </c>
      <c r="H511" s="5">
        <v>1284</v>
      </c>
      <c r="I511" s="6">
        <f t="shared" si="21"/>
        <v>17172</v>
      </c>
      <c r="J511" s="6">
        <f t="shared" si="22"/>
        <v>34668</v>
      </c>
      <c r="K511" s="6">
        <f t="shared" si="23"/>
        <v>17496</v>
      </c>
    </row>
    <row r="512" spans="1:11" ht="15.6" thickTop="1" thickBot="1" x14ac:dyDescent="0.35">
      <c r="A512" s="4">
        <v>45695</v>
      </c>
      <c r="B512" s="5" t="s">
        <v>27</v>
      </c>
      <c r="C512" s="5" t="s">
        <v>40</v>
      </c>
      <c r="D512" s="5" t="s">
        <v>17</v>
      </c>
      <c r="E512" s="5" t="s">
        <v>19</v>
      </c>
      <c r="F512" s="5">
        <v>21</v>
      </c>
      <c r="G512" s="5">
        <v>974</v>
      </c>
      <c r="H512" s="5">
        <v>1363</v>
      </c>
      <c r="I512" s="6">
        <f t="shared" si="21"/>
        <v>20454</v>
      </c>
      <c r="J512" s="6">
        <f t="shared" si="22"/>
        <v>28623</v>
      </c>
      <c r="K512" s="6">
        <f t="shared" si="23"/>
        <v>8169</v>
      </c>
    </row>
    <row r="513" spans="1:11" ht="15.6" thickTop="1" thickBot="1" x14ac:dyDescent="0.35">
      <c r="A513" s="4">
        <v>45563</v>
      </c>
      <c r="B513" s="5" t="s">
        <v>11</v>
      </c>
      <c r="C513" s="5" t="s">
        <v>12</v>
      </c>
      <c r="D513" s="5" t="s">
        <v>25</v>
      </c>
      <c r="E513" s="5" t="s">
        <v>14</v>
      </c>
      <c r="F513" s="5">
        <v>10</v>
      </c>
      <c r="G513" s="5">
        <v>572</v>
      </c>
      <c r="H513" s="5">
        <v>801</v>
      </c>
      <c r="I513" s="6">
        <f t="shared" si="21"/>
        <v>5720</v>
      </c>
      <c r="J513" s="6">
        <f t="shared" si="22"/>
        <v>8010</v>
      </c>
      <c r="K513" s="6">
        <f t="shared" si="23"/>
        <v>2290</v>
      </c>
    </row>
    <row r="514" spans="1:11" ht="15.6" thickTop="1" thickBot="1" x14ac:dyDescent="0.35">
      <c r="A514" s="4">
        <v>45696</v>
      </c>
      <c r="B514" s="5" t="s">
        <v>27</v>
      </c>
      <c r="C514" s="5" t="s">
        <v>40</v>
      </c>
      <c r="D514" s="5" t="s">
        <v>17</v>
      </c>
      <c r="E514" s="5" t="s">
        <v>19</v>
      </c>
      <c r="F514" s="5">
        <v>30</v>
      </c>
      <c r="G514" s="5">
        <v>518</v>
      </c>
      <c r="H514" s="5">
        <v>858</v>
      </c>
      <c r="I514" s="6">
        <f t="shared" ref="I514:I577" si="24">F514*G514</f>
        <v>15540</v>
      </c>
      <c r="J514" s="6">
        <f t="shared" ref="J514:J577" si="25">F514*H514</f>
        <v>25740</v>
      </c>
      <c r="K514" s="6">
        <f t="shared" ref="K514:K577" si="26">J514-I514</f>
        <v>10200</v>
      </c>
    </row>
    <row r="515" spans="1:11" ht="15.6" thickTop="1" thickBot="1" x14ac:dyDescent="0.35">
      <c r="A515" s="4">
        <v>45565</v>
      </c>
      <c r="B515" s="5" t="s">
        <v>11</v>
      </c>
      <c r="C515" s="5" t="s">
        <v>12</v>
      </c>
      <c r="D515" s="5" t="s">
        <v>34</v>
      </c>
      <c r="E515" s="5" t="s">
        <v>14</v>
      </c>
      <c r="F515" s="5">
        <v>12</v>
      </c>
      <c r="G515" s="5">
        <v>674</v>
      </c>
      <c r="H515" s="5">
        <v>1265</v>
      </c>
      <c r="I515" s="6">
        <f t="shared" si="24"/>
        <v>8088</v>
      </c>
      <c r="J515" s="6">
        <f t="shared" si="25"/>
        <v>15180</v>
      </c>
      <c r="K515" s="6">
        <f t="shared" si="26"/>
        <v>7092</v>
      </c>
    </row>
    <row r="516" spans="1:11" ht="15.6" thickTop="1" thickBot="1" x14ac:dyDescent="0.35">
      <c r="A516" s="4">
        <v>45697</v>
      </c>
      <c r="B516" s="5" t="s">
        <v>27</v>
      </c>
      <c r="C516" s="5" t="s">
        <v>40</v>
      </c>
      <c r="D516" s="5" t="s">
        <v>18</v>
      </c>
      <c r="E516" s="5" t="s">
        <v>14</v>
      </c>
      <c r="F516" s="5">
        <v>21</v>
      </c>
      <c r="G516" s="5">
        <v>531</v>
      </c>
      <c r="H516" s="5">
        <v>955</v>
      </c>
      <c r="I516" s="6">
        <f t="shared" si="24"/>
        <v>11151</v>
      </c>
      <c r="J516" s="6">
        <f t="shared" si="25"/>
        <v>20055</v>
      </c>
      <c r="K516" s="6">
        <f t="shared" si="26"/>
        <v>8904</v>
      </c>
    </row>
    <row r="517" spans="1:11" ht="15.6" thickTop="1" thickBot="1" x14ac:dyDescent="0.35">
      <c r="A517" s="4">
        <v>45699</v>
      </c>
      <c r="B517" s="5" t="s">
        <v>27</v>
      </c>
      <c r="C517" s="5" t="s">
        <v>40</v>
      </c>
      <c r="D517" s="5" t="s">
        <v>23</v>
      </c>
      <c r="E517" s="5" t="s">
        <v>14</v>
      </c>
      <c r="F517" s="5">
        <v>26</v>
      </c>
      <c r="G517" s="5">
        <v>842</v>
      </c>
      <c r="H517" s="5">
        <v>1074</v>
      </c>
      <c r="I517" s="6">
        <f t="shared" si="24"/>
        <v>21892</v>
      </c>
      <c r="J517" s="6">
        <f t="shared" si="25"/>
        <v>27924</v>
      </c>
      <c r="K517" s="6">
        <f t="shared" si="26"/>
        <v>6032</v>
      </c>
    </row>
    <row r="518" spans="1:11" ht="15.6" thickTop="1" thickBot="1" x14ac:dyDescent="0.35">
      <c r="A518" s="4">
        <v>45387</v>
      </c>
      <c r="B518" s="5" t="s">
        <v>21</v>
      </c>
      <c r="C518" s="5" t="s">
        <v>22</v>
      </c>
      <c r="D518" s="5" t="s">
        <v>36</v>
      </c>
      <c r="E518" s="5" t="s">
        <v>19</v>
      </c>
      <c r="F518" s="5">
        <v>95</v>
      </c>
      <c r="G518" s="5">
        <v>936</v>
      </c>
      <c r="H518" s="5">
        <v>1350</v>
      </c>
      <c r="I518" s="6">
        <f t="shared" si="24"/>
        <v>88920</v>
      </c>
      <c r="J518" s="6">
        <f t="shared" si="25"/>
        <v>128250</v>
      </c>
      <c r="K518" s="6">
        <f t="shared" si="26"/>
        <v>39330</v>
      </c>
    </row>
    <row r="519" spans="1:11" ht="15.6" thickTop="1" thickBot="1" x14ac:dyDescent="0.35">
      <c r="A519" s="4">
        <v>45388</v>
      </c>
      <c r="B519" s="5" t="s">
        <v>21</v>
      </c>
      <c r="C519" s="5" t="s">
        <v>22</v>
      </c>
      <c r="D519" s="5" t="s">
        <v>37</v>
      </c>
      <c r="E519" s="5" t="s">
        <v>19</v>
      </c>
      <c r="F519" s="5">
        <v>84</v>
      </c>
      <c r="G519" s="5">
        <v>784</v>
      </c>
      <c r="H519" s="5">
        <v>965</v>
      </c>
      <c r="I519" s="6">
        <f t="shared" si="24"/>
        <v>65856</v>
      </c>
      <c r="J519" s="6">
        <f t="shared" si="25"/>
        <v>81060</v>
      </c>
      <c r="K519" s="6">
        <f t="shared" si="26"/>
        <v>15204</v>
      </c>
    </row>
    <row r="520" spans="1:11" ht="15.6" thickTop="1" thickBot="1" x14ac:dyDescent="0.35">
      <c r="A520" s="4">
        <v>45390</v>
      </c>
      <c r="B520" s="5" t="s">
        <v>21</v>
      </c>
      <c r="C520" s="5" t="s">
        <v>22</v>
      </c>
      <c r="D520" s="5" t="s">
        <v>26</v>
      </c>
      <c r="E520" s="5" t="s">
        <v>19</v>
      </c>
      <c r="F520" s="5">
        <v>51</v>
      </c>
      <c r="G520" s="5">
        <v>847</v>
      </c>
      <c r="H520" s="5">
        <v>972</v>
      </c>
      <c r="I520" s="6">
        <f t="shared" si="24"/>
        <v>43197</v>
      </c>
      <c r="J520" s="6">
        <f t="shared" si="25"/>
        <v>49572</v>
      </c>
      <c r="K520" s="6">
        <f t="shared" si="26"/>
        <v>6375</v>
      </c>
    </row>
    <row r="521" spans="1:11" ht="15.6" thickTop="1" thickBot="1" x14ac:dyDescent="0.35">
      <c r="A521" s="4">
        <v>45571</v>
      </c>
      <c r="B521" s="5" t="s">
        <v>21</v>
      </c>
      <c r="C521" s="5" t="s">
        <v>38</v>
      </c>
      <c r="D521" s="5" t="s">
        <v>26</v>
      </c>
      <c r="E521" s="5" t="s">
        <v>14</v>
      </c>
      <c r="F521" s="5">
        <v>52</v>
      </c>
      <c r="G521" s="5">
        <v>546</v>
      </c>
      <c r="H521" s="5">
        <v>1482</v>
      </c>
      <c r="I521" s="6">
        <f t="shared" si="24"/>
        <v>28392</v>
      </c>
      <c r="J521" s="6">
        <f t="shared" si="25"/>
        <v>77064</v>
      </c>
      <c r="K521" s="6">
        <f t="shared" si="26"/>
        <v>48672</v>
      </c>
    </row>
    <row r="522" spans="1:11" ht="15.6" thickTop="1" thickBot="1" x14ac:dyDescent="0.35">
      <c r="A522" s="4">
        <v>45397</v>
      </c>
      <c r="B522" s="5" t="s">
        <v>21</v>
      </c>
      <c r="C522" s="5" t="s">
        <v>45</v>
      </c>
      <c r="D522" s="5" t="s">
        <v>26</v>
      </c>
      <c r="E522" s="5" t="s">
        <v>14</v>
      </c>
      <c r="F522" s="5">
        <v>68</v>
      </c>
      <c r="G522" s="5">
        <v>534</v>
      </c>
      <c r="H522" s="5">
        <v>1085</v>
      </c>
      <c r="I522" s="6">
        <f t="shared" si="24"/>
        <v>36312</v>
      </c>
      <c r="J522" s="6">
        <f t="shared" si="25"/>
        <v>73780</v>
      </c>
      <c r="K522" s="6">
        <f t="shared" si="26"/>
        <v>37468</v>
      </c>
    </row>
    <row r="523" spans="1:11" ht="15.6" thickTop="1" thickBot="1" x14ac:dyDescent="0.35">
      <c r="A523" s="4">
        <v>45398</v>
      </c>
      <c r="B523" s="5" t="s">
        <v>21</v>
      </c>
      <c r="C523" s="5" t="s">
        <v>45</v>
      </c>
      <c r="D523" s="5" t="s">
        <v>29</v>
      </c>
      <c r="E523" s="5" t="s">
        <v>14</v>
      </c>
      <c r="F523" s="5">
        <v>68</v>
      </c>
      <c r="G523" s="5">
        <v>575</v>
      </c>
      <c r="H523" s="5">
        <v>1242</v>
      </c>
      <c r="I523" s="6">
        <f t="shared" si="24"/>
        <v>39100</v>
      </c>
      <c r="J523" s="6">
        <f t="shared" si="25"/>
        <v>84456</v>
      </c>
      <c r="K523" s="6">
        <f t="shared" si="26"/>
        <v>45356</v>
      </c>
    </row>
    <row r="524" spans="1:11" ht="15.6" thickTop="1" thickBot="1" x14ac:dyDescent="0.35">
      <c r="A524" s="4">
        <v>45399</v>
      </c>
      <c r="B524" s="5" t="s">
        <v>21</v>
      </c>
      <c r="C524" s="5" t="s">
        <v>45</v>
      </c>
      <c r="D524" s="5" t="s">
        <v>18</v>
      </c>
      <c r="E524" s="5" t="s">
        <v>14</v>
      </c>
      <c r="F524" s="5">
        <v>79</v>
      </c>
      <c r="G524" s="5">
        <v>537</v>
      </c>
      <c r="H524" s="5">
        <v>850</v>
      </c>
      <c r="I524" s="6">
        <f t="shared" si="24"/>
        <v>42423</v>
      </c>
      <c r="J524" s="6">
        <f t="shared" si="25"/>
        <v>67150</v>
      </c>
      <c r="K524" s="6">
        <f t="shared" si="26"/>
        <v>24727</v>
      </c>
    </row>
    <row r="525" spans="1:11" ht="15.6" thickTop="1" thickBot="1" x14ac:dyDescent="0.35">
      <c r="A525" s="4">
        <v>45400</v>
      </c>
      <c r="B525" s="5" t="s">
        <v>21</v>
      </c>
      <c r="C525" s="5" t="s">
        <v>45</v>
      </c>
      <c r="D525" s="5" t="s">
        <v>30</v>
      </c>
      <c r="E525" s="5" t="s">
        <v>14</v>
      </c>
      <c r="F525" s="5">
        <v>65</v>
      </c>
      <c r="G525" s="5">
        <v>935</v>
      </c>
      <c r="H525" s="5">
        <v>752</v>
      </c>
      <c r="I525" s="6">
        <f t="shared" si="24"/>
        <v>60775</v>
      </c>
      <c r="J525" s="6">
        <f t="shared" si="25"/>
        <v>48880</v>
      </c>
      <c r="K525" s="6">
        <f t="shared" si="26"/>
        <v>-11895</v>
      </c>
    </row>
    <row r="526" spans="1:11" ht="15.6" thickTop="1" thickBot="1" x14ac:dyDescent="0.35">
      <c r="A526" s="4">
        <v>45401</v>
      </c>
      <c r="B526" s="5" t="s">
        <v>21</v>
      </c>
      <c r="C526" s="5" t="s">
        <v>45</v>
      </c>
      <c r="D526" s="5" t="s">
        <v>31</v>
      </c>
      <c r="E526" s="5" t="s">
        <v>14</v>
      </c>
      <c r="F526" s="5">
        <v>66</v>
      </c>
      <c r="G526" s="5">
        <v>709</v>
      </c>
      <c r="H526" s="5">
        <v>1021</v>
      </c>
      <c r="I526" s="6">
        <f t="shared" si="24"/>
        <v>46794</v>
      </c>
      <c r="J526" s="6">
        <f t="shared" si="25"/>
        <v>67386</v>
      </c>
      <c r="K526" s="6">
        <f t="shared" si="26"/>
        <v>20592</v>
      </c>
    </row>
    <row r="527" spans="1:11" ht="15.6" thickTop="1" thickBot="1" x14ac:dyDescent="0.35">
      <c r="A527" s="4">
        <v>45402</v>
      </c>
      <c r="B527" s="5" t="s">
        <v>21</v>
      </c>
      <c r="C527" s="5" t="s">
        <v>45</v>
      </c>
      <c r="D527" s="5" t="s">
        <v>23</v>
      </c>
      <c r="E527" s="5" t="s">
        <v>19</v>
      </c>
      <c r="F527" s="5">
        <v>70</v>
      </c>
      <c r="G527" s="5">
        <v>751</v>
      </c>
      <c r="H527" s="5">
        <v>1485</v>
      </c>
      <c r="I527" s="6">
        <f t="shared" si="24"/>
        <v>52570</v>
      </c>
      <c r="J527" s="6">
        <f t="shared" si="25"/>
        <v>103950</v>
      </c>
      <c r="K527" s="6">
        <f t="shared" si="26"/>
        <v>51380</v>
      </c>
    </row>
    <row r="528" spans="1:11" ht="15.6" thickTop="1" thickBot="1" x14ac:dyDescent="0.35">
      <c r="A528" s="4">
        <v>45578</v>
      </c>
      <c r="B528" s="5" t="s">
        <v>21</v>
      </c>
      <c r="C528" s="5" t="s">
        <v>41</v>
      </c>
      <c r="D528" s="5" t="s">
        <v>17</v>
      </c>
      <c r="E528" s="5" t="s">
        <v>19</v>
      </c>
      <c r="F528" s="5">
        <v>86</v>
      </c>
      <c r="G528" s="5">
        <v>717</v>
      </c>
      <c r="H528" s="5">
        <v>1445</v>
      </c>
      <c r="I528" s="6">
        <f t="shared" si="24"/>
        <v>61662</v>
      </c>
      <c r="J528" s="6">
        <f t="shared" si="25"/>
        <v>124270</v>
      </c>
      <c r="K528" s="6">
        <f t="shared" si="26"/>
        <v>62608</v>
      </c>
    </row>
    <row r="529" spans="1:11" ht="15.6" thickTop="1" thickBot="1" x14ac:dyDescent="0.35">
      <c r="A529" s="4">
        <v>45403</v>
      </c>
      <c r="B529" s="5" t="s">
        <v>21</v>
      </c>
      <c r="C529" s="5" t="s">
        <v>45</v>
      </c>
      <c r="D529" s="5" t="s">
        <v>25</v>
      </c>
      <c r="E529" s="5" t="s">
        <v>19</v>
      </c>
      <c r="F529" s="5">
        <v>75</v>
      </c>
      <c r="G529" s="5">
        <v>686</v>
      </c>
      <c r="H529" s="5">
        <v>1254</v>
      </c>
      <c r="I529" s="6">
        <f t="shared" si="24"/>
        <v>51450</v>
      </c>
      <c r="J529" s="6">
        <f t="shared" si="25"/>
        <v>94050</v>
      </c>
      <c r="K529" s="6">
        <f t="shared" si="26"/>
        <v>42600</v>
      </c>
    </row>
    <row r="530" spans="1:11" ht="15.6" thickTop="1" thickBot="1" x14ac:dyDescent="0.35">
      <c r="A530" s="4">
        <v>45431</v>
      </c>
      <c r="B530" s="5" t="s">
        <v>21</v>
      </c>
      <c r="C530" s="5" t="s">
        <v>38</v>
      </c>
      <c r="D530" s="5" t="s">
        <v>32</v>
      </c>
      <c r="E530" s="5" t="s">
        <v>19</v>
      </c>
      <c r="F530" s="5">
        <v>91</v>
      </c>
      <c r="G530" s="5">
        <v>518</v>
      </c>
      <c r="H530" s="5">
        <v>1465</v>
      </c>
      <c r="I530" s="6">
        <f t="shared" si="24"/>
        <v>47138</v>
      </c>
      <c r="J530" s="6">
        <f t="shared" si="25"/>
        <v>133315</v>
      </c>
      <c r="K530" s="6">
        <f t="shared" si="26"/>
        <v>86177</v>
      </c>
    </row>
    <row r="531" spans="1:11" ht="15.6" thickTop="1" thickBot="1" x14ac:dyDescent="0.35">
      <c r="A531" s="4">
        <v>45433</v>
      </c>
      <c r="B531" s="5" t="s">
        <v>21</v>
      </c>
      <c r="C531" s="5" t="s">
        <v>38</v>
      </c>
      <c r="D531" s="5" t="s">
        <v>25</v>
      </c>
      <c r="E531" s="5" t="s">
        <v>14</v>
      </c>
      <c r="F531" s="5">
        <v>96</v>
      </c>
      <c r="G531" s="5">
        <v>791</v>
      </c>
      <c r="H531" s="5">
        <v>931</v>
      </c>
      <c r="I531" s="6">
        <f t="shared" si="24"/>
        <v>75936</v>
      </c>
      <c r="J531" s="6">
        <f t="shared" si="25"/>
        <v>89376</v>
      </c>
      <c r="K531" s="6">
        <f t="shared" si="26"/>
        <v>13440</v>
      </c>
    </row>
    <row r="532" spans="1:11" ht="15.6" thickTop="1" thickBot="1" x14ac:dyDescent="0.35">
      <c r="A532" s="4">
        <v>45434</v>
      </c>
      <c r="B532" s="5" t="s">
        <v>21</v>
      </c>
      <c r="C532" s="5" t="s">
        <v>38</v>
      </c>
      <c r="D532" s="5" t="s">
        <v>25</v>
      </c>
      <c r="E532" s="5" t="s">
        <v>14</v>
      </c>
      <c r="F532" s="5">
        <v>69</v>
      </c>
      <c r="G532" s="5">
        <v>864</v>
      </c>
      <c r="H532" s="5">
        <v>935</v>
      </c>
      <c r="I532" s="6">
        <f t="shared" si="24"/>
        <v>59616</v>
      </c>
      <c r="J532" s="6">
        <f t="shared" si="25"/>
        <v>64515</v>
      </c>
      <c r="K532" s="6">
        <f t="shared" si="26"/>
        <v>4899</v>
      </c>
    </row>
    <row r="533" spans="1:11" ht="15.6" thickTop="1" thickBot="1" x14ac:dyDescent="0.35">
      <c r="A533" s="4">
        <v>45583</v>
      </c>
      <c r="B533" s="5" t="s">
        <v>11</v>
      </c>
      <c r="C533" s="5" t="s">
        <v>24</v>
      </c>
      <c r="D533" s="5" t="s">
        <v>31</v>
      </c>
      <c r="E533" s="5" t="s">
        <v>14</v>
      </c>
      <c r="F533" s="5">
        <v>20</v>
      </c>
      <c r="G533" s="5">
        <v>784</v>
      </c>
      <c r="H533" s="5">
        <v>1320</v>
      </c>
      <c r="I533" s="6">
        <f t="shared" si="24"/>
        <v>15680</v>
      </c>
      <c r="J533" s="6">
        <f t="shared" si="25"/>
        <v>26400</v>
      </c>
      <c r="K533" s="6">
        <f t="shared" si="26"/>
        <v>10720</v>
      </c>
    </row>
    <row r="534" spans="1:11" ht="15.6" thickTop="1" thickBot="1" x14ac:dyDescent="0.35">
      <c r="A534" s="4">
        <v>45435</v>
      </c>
      <c r="B534" s="5" t="s">
        <v>21</v>
      </c>
      <c r="C534" s="5" t="s">
        <v>38</v>
      </c>
      <c r="D534" s="5" t="s">
        <v>26</v>
      </c>
      <c r="E534" s="5" t="s">
        <v>14</v>
      </c>
      <c r="F534" s="5">
        <v>55</v>
      </c>
      <c r="G534" s="5">
        <v>782</v>
      </c>
      <c r="H534" s="5">
        <v>1335</v>
      </c>
      <c r="I534" s="6">
        <f t="shared" si="24"/>
        <v>43010</v>
      </c>
      <c r="J534" s="6">
        <f t="shared" si="25"/>
        <v>73425</v>
      </c>
      <c r="K534" s="6">
        <f t="shared" si="26"/>
        <v>30415</v>
      </c>
    </row>
    <row r="535" spans="1:11" ht="15.6" thickTop="1" thickBot="1" x14ac:dyDescent="0.35">
      <c r="A535" s="4">
        <v>45436</v>
      </c>
      <c r="B535" s="5" t="s">
        <v>21</v>
      </c>
      <c r="C535" s="5" t="s">
        <v>38</v>
      </c>
      <c r="D535" s="5" t="s">
        <v>18</v>
      </c>
      <c r="E535" s="5" t="s">
        <v>14</v>
      </c>
      <c r="F535" s="5">
        <v>71</v>
      </c>
      <c r="G535" s="5">
        <v>653</v>
      </c>
      <c r="H535" s="5">
        <v>963</v>
      </c>
      <c r="I535" s="6">
        <f t="shared" si="24"/>
        <v>46363</v>
      </c>
      <c r="J535" s="6">
        <f t="shared" si="25"/>
        <v>68373</v>
      </c>
      <c r="K535" s="6">
        <f t="shared" si="26"/>
        <v>22010</v>
      </c>
    </row>
    <row r="536" spans="1:11" ht="15.6" thickTop="1" thickBot="1" x14ac:dyDescent="0.35">
      <c r="A536" s="4">
        <v>45586</v>
      </c>
      <c r="B536" s="5" t="s">
        <v>11</v>
      </c>
      <c r="C536" s="5" t="s">
        <v>24</v>
      </c>
      <c r="D536" s="5" t="s">
        <v>25</v>
      </c>
      <c r="E536" s="5" t="s">
        <v>14</v>
      </c>
      <c r="F536" s="5">
        <v>19</v>
      </c>
      <c r="G536" s="5">
        <v>664</v>
      </c>
      <c r="H536" s="5">
        <v>1091</v>
      </c>
      <c r="I536" s="6">
        <f t="shared" si="24"/>
        <v>12616</v>
      </c>
      <c r="J536" s="6">
        <f t="shared" si="25"/>
        <v>20729</v>
      </c>
      <c r="K536" s="6">
        <f t="shared" si="26"/>
        <v>8113</v>
      </c>
    </row>
    <row r="537" spans="1:11" ht="15.6" thickTop="1" thickBot="1" x14ac:dyDescent="0.35">
      <c r="A537" s="4">
        <v>45437</v>
      </c>
      <c r="B537" s="5" t="s">
        <v>21</v>
      </c>
      <c r="C537" s="5" t="s">
        <v>38</v>
      </c>
      <c r="D537" s="5" t="s">
        <v>26</v>
      </c>
      <c r="E537" s="5" t="s">
        <v>14</v>
      </c>
      <c r="F537" s="5">
        <v>88</v>
      </c>
      <c r="G537" s="5">
        <v>959</v>
      </c>
      <c r="H537" s="5">
        <v>985</v>
      </c>
      <c r="I537" s="6">
        <f t="shared" si="24"/>
        <v>84392</v>
      </c>
      <c r="J537" s="6">
        <f t="shared" si="25"/>
        <v>86680</v>
      </c>
      <c r="K537" s="6">
        <f t="shared" si="26"/>
        <v>2288</v>
      </c>
    </row>
    <row r="538" spans="1:11" ht="15.6" thickTop="1" thickBot="1" x14ac:dyDescent="0.35">
      <c r="A538" s="4">
        <v>45588</v>
      </c>
      <c r="B538" s="5" t="s">
        <v>27</v>
      </c>
      <c r="C538" s="5" t="s">
        <v>28</v>
      </c>
      <c r="D538" s="5" t="s">
        <v>34</v>
      </c>
      <c r="E538" s="5" t="s">
        <v>14</v>
      </c>
      <c r="F538" s="5">
        <v>26</v>
      </c>
      <c r="G538" s="5">
        <v>674</v>
      </c>
      <c r="H538" s="5">
        <v>857</v>
      </c>
      <c r="I538" s="6">
        <f t="shared" si="24"/>
        <v>17524</v>
      </c>
      <c r="J538" s="6">
        <f t="shared" si="25"/>
        <v>22282</v>
      </c>
      <c r="K538" s="6">
        <f t="shared" si="26"/>
        <v>4758</v>
      </c>
    </row>
    <row r="539" spans="1:11" ht="15.6" thickTop="1" thickBot="1" x14ac:dyDescent="0.35">
      <c r="A539" s="4">
        <v>45438</v>
      </c>
      <c r="B539" s="5" t="s">
        <v>21</v>
      </c>
      <c r="C539" s="5" t="s">
        <v>38</v>
      </c>
      <c r="D539" s="5" t="s">
        <v>29</v>
      </c>
      <c r="E539" s="5" t="s">
        <v>14</v>
      </c>
      <c r="F539" s="5">
        <v>72</v>
      </c>
      <c r="G539" s="5">
        <v>805</v>
      </c>
      <c r="H539" s="5">
        <v>826</v>
      </c>
      <c r="I539" s="6">
        <f t="shared" si="24"/>
        <v>57960</v>
      </c>
      <c r="J539" s="6">
        <f t="shared" si="25"/>
        <v>59472</v>
      </c>
      <c r="K539" s="6">
        <f t="shared" si="26"/>
        <v>1512</v>
      </c>
    </row>
    <row r="540" spans="1:11" ht="15.6" thickTop="1" thickBot="1" x14ac:dyDescent="0.35">
      <c r="A540" s="4">
        <v>45590</v>
      </c>
      <c r="B540" s="5" t="s">
        <v>27</v>
      </c>
      <c r="C540" s="5" t="s">
        <v>42</v>
      </c>
      <c r="D540" s="5" t="s">
        <v>25</v>
      </c>
      <c r="E540" s="5" t="s">
        <v>19</v>
      </c>
      <c r="F540" s="5">
        <v>29</v>
      </c>
      <c r="G540" s="5">
        <v>774</v>
      </c>
      <c r="H540" s="5">
        <v>793</v>
      </c>
      <c r="I540" s="6">
        <f t="shared" si="24"/>
        <v>22446</v>
      </c>
      <c r="J540" s="6">
        <f t="shared" si="25"/>
        <v>22997</v>
      </c>
      <c r="K540" s="6">
        <f t="shared" si="26"/>
        <v>551</v>
      </c>
    </row>
    <row r="541" spans="1:11" ht="15.6" thickTop="1" thickBot="1" x14ac:dyDescent="0.35">
      <c r="A541" s="4">
        <v>45439</v>
      </c>
      <c r="B541" s="5" t="s">
        <v>21</v>
      </c>
      <c r="C541" s="5" t="s">
        <v>38</v>
      </c>
      <c r="D541" s="5" t="s">
        <v>18</v>
      </c>
      <c r="E541" s="5" t="s">
        <v>14</v>
      </c>
      <c r="F541" s="5">
        <v>53</v>
      </c>
      <c r="G541" s="5">
        <v>665</v>
      </c>
      <c r="H541" s="5">
        <v>1206</v>
      </c>
      <c r="I541" s="6">
        <f t="shared" si="24"/>
        <v>35245</v>
      </c>
      <c r="J541" s="6">
        <f t="shared" si="25"/>
        <v>63918</v>
      </c>
      <c r="K541" s="6">
        <f t="shared" si="26"/>
        <v>28673</v>
      </c>
    </row>
    <row r="542" spans="1:11" ht="15.6" thickTop="1" thickBot="1" x14ac:dyDescent="0.35">
      <c r="A542" s="4">
        <v>45440</v>
      </c>
      <c r="B542" s="5" t="s">
        <v>21</v>
      </c>
      <c r="C542" s="5" t="s">
        <v>38</v>
      </c>
      <c r="D542" s="5" t="s">
        <v>30</v>
      </c>
      <c r="E542" s="5" t="s">
        <v>19</v>
      </c>
      <c r="F542" s="5">
        <v>88</v>
      </c>
      <c r="G542" s="5">
        <v>607</v>
      </c>
      <c r="H542" s="5">
        <v>1268</v>
      </c>
      <c r="I542" s="6">
        <f t="shared" si="24"/>
        <v>53416</v>
      </c>
      <c r="J542" s="6">
        <f t="shared" si="25"/>
        <v>111584</v>
      </c>
      <c r="K542" s="6">
        <f t="shared" si="26"/>
        <v>58168</v>
      </c>
    </row>
    <row r="543" spans="1:11" ht="15.6" thickTop="1" thickBot="1" x14ac:dyDescent="0.35">
      <c r="A543" s="4">
        <v>45442</v>
      </c>
      <c r="B543" s="5" t="s">
        <v>21</v>
      </c>
      <c r="C543" s="5" t="s">
        <v>38</v>
      </c>
      <c r="D543" s="5" t="s">
        <v>23</v>
      </c>
      <c r="E543" s="5" t="s">
        <v>19</v>
      </c>
      <c r="F543" s="5">
        <v>99</v>
      </c>
      <c r="G543" s="5">
        <v>657</v>
      </c>
      <c r="H543" s="5">
        <v>1033</v>
      </c>
      <c r="I543" s="6">
        <f t="shared" si="24"/>
        <v>65043</v>
      </c>
      <c r="J543" s="6">
        <f t="shared" si="25"/>
        <v>102267</v>
      </c>
      <c r="K543" s="6">
        <f t="shared" si="26"/>
        <v>37224</v>
      </c>
    </row>
    <row r="544" spans="1:11" ht="15.6" thickTop="1" thickBot="1" x14ac:dyDescent="0.35">
      <c r="A544" s="4">
        <v>45443</v>
      </c>
      <c r="B544" s="5" t="s">
        <v>21</v>
      </c>
      <c r="C544" s="5" t="s">
        <v>41</v>
      </c>
      <c r="D544" s="5" t="s">
        <v>25</v>
      </c>
      <c r="E544" s="5" t="s">
        <v>19</v>
      </c>
      <c r="F544" s="5">
        <v>88</v>
      </c>
      <c r="G544" s="5">
        <v>977</v>
      </c>
      <c r="H544" s="5">
        <v>1402</v>
      </c>
      <c r="I544" s="6">
        <f t="shared" si="24"/>
        <v>85976</v>
      </c>
      <c r="J544" s="6">
        <f t="shared" si="25"/>
        <v>123376</v>
      </c>
      <c r="K544" s="6">
        <f t="shared" si="26"/>
        <v>37400</v>
      </c>
    </row>
    <row r="545" spans="1:11" ht="15.6" thickTop="1" thickBot="1" x14ac:dyDescent="0.35">
      <c r="A545" s="4">
        <v>45444</v>
      </c>
      <c r="B545" s="5" t="s">
        <v>21</v>
      </c>
      <c r="C545" s="5" t="s">
        <v>41</v>
      </c>
      <c r="D545" s="5" t="s">
        <v>25</v>
      </c>
      <c r="E545" s="5" t="s">
        <v>14</v>
      </c>
      <c r="F545" s="5">
        <v>81</v>
      </c>
      <c r="G545" s="5">
        <v>528</v>
      </c>
      <c r="H545" s="5">
        <v>872</v>
      </c>
      <c r="I545" s="6">
        <f t="shared" si="24"/>
        <v>42768</v>
      </c>
      <c r="J545" s="6">
        <f t="shared" si="25"/>
        <v>70632</v>
      </c>
      <c r="K545" s="6">
        <f t="shared" si="26"/>
        <v>27864</v>
      </c>
    </row>
    <row r="546" spans="1:11" ht="15.6" thickTop="1" thickBot="1" x14ac:dyDescent="0.35">
      <c r="A546" s="4">
        <v>45445</v>
      </c>
      <c r="B546" s="5" t="s">
        <v>21</v>
      </c>
      <c r="C546" s="5" t="s">
        <v>41</v>
      </c>
      <c r="D546" s="5" t="s">
        <v>34</v>
      </c>
      <c r="E546" s="5" t="s">
        <v>19</v>
      </c>
      <c r="F546" s="5">
        <v>74</v>
      </c>
      <c r="G546" s="5">
        <v>870</v>
      </c>
      <c r="H546" s="5">
        <v>1490</v>
      </c>
      <c r="I546" s="6">
        <f t="shared" si="24"/>
        <v>64380</v>
      </c>
      <c r="J546" s="6">
        <f t="shared" si="25"/>
        <v>110260</v>
      </c>
      <c r="K546" s="6">
        <f t="shared" si="26"/>
        <v>45880</v>
      </c>
    </row>
    <row r="547" spans="1:11" ht="15.6" thickTop="1" thickBot="1" x14ac:dyDescent="0.35">
      <c r="A547" s="4">
        <v>45446</v>
      </c>
      <c r="B547" s="5" t="s">
        <v>21</v>
      </c>
      <c r="C547" s="5" t="s">
        <v>41</v>
      </c>
      <c r="D547" s="5" t="s">
        <v>34</v>
      </c>
      <c r="E547" s="5" t="s">
        <v>19</v>
      </c>
      <c r="F547" s="5">
        <v>83</v>
      </c>
      <c r="G547" s="5">
        <v>655</v>
      </c>
      <c r="H547" s="5">
        <v>1422</v>
      </c>
      <c r="I547" s="6">
        <f t="shared" si="24"/>
        <v>54365</v>
      </c>
      <c r="J547" s="6">
        <f t="shared" si="25"/>
        <v>118026</v>
      </c>
      <c r="K547" s="6">
        <f t="shared" si="26"/>
        <v>63661</v>
      </c>
    </row>
    <row r="548" spans="1:11" ht="15.6" thickTop="1" thickBot="1" x14ac:dyDescent="0.35">
      <c r="A548" s="4">
        <v>45447</v>
      </c>
      <c r="B548" s="5" t="s">
        <v>21</v>
      </c>
      <c r="C548" s="5" t="s">
        <v>41</v>
      </c>
      <c r="D548" s="5" t="s">
        <v>32</v>
      </c>
      <c r="E548" s="5" t="s">
        <v>19</v>
      </c>
      <c r="F548" s="5">
        <v>99</v>
      </c>
      <c r="G548" s="5">
        <v>649</v>
      </c>
      <c r="H548" s="5">
        <v>1415</v>
      </c>
      <c r="I548" s="6">
        <f t="shared" si="24"/>
        <v>64251</v>
      </c>
      <c r="J548" s="6">
        <f t="shared" si="25"/>
        <v>140085</v>
      </c>
      <c r="K548" s="6">
        <f t="shared" si="26"/>
        <v>75834</v>
      </c>
    </row>
    <row r="549" spans="1:11" ht="15.6" thickTop="1" thickBot="1" x14ac:dyDescent="0.35">
      <c r="A549" s="4">
        <v>45448</v>
      </c>
      <c r="B549" s="5" t="s">
        <v>21</v>
      </c>
      <c r="C549" s="5" t="s">
        <v>41</v>
      </c>
      <c r="D549" s="5" t="s">
        <v>25</v>
      </c>
      <c r="E549" s="5" t="s">
        <v>19</v>
      </c>
      <c r="F549" s="5">
        <v>97</v>
      </c>
      <c r="G549" s="5">
        <v>917</v>
      </c>
      <c r="H549" s="5">
        <v>844</v>
      </c>
      <c r="I549" s="6">
        <f t="shared" si="24"/>
        <v>88949</v>
      </c>
      <c r="J549" s="6">
        <f t="shared" si="25"/>
        <v>81868</v>
      </c>
      <c r="K549" s="6">
        <f t="shared" si="26"/>
        <v>-7081</v>
      </c>
    </row>
    <row r="550" spans="1:11" ht="15.6" thickTop="1" thickBot="1" x14ac:dyDescent="0.35">
      <c r="A550" s="4">
        <v>45449</v>
      </c>
      <c r="B550" s="5" t="s">
        <v>21</v>
      </c>
      <c r="C550" s="5" t="s">
        <v>41</v>
      </c>
      <c r="D550" s="5" t="s">
        <v>20</v>
      </c>
      <c r="E550" s="5" t="s">
        <v>14</v>
      </c>
      <c r="F550" s="5">
        <v>57</v>
      </c>
      <c r="G550" s="5">
        <v>793</v>
      </c>
      <c r="H550" s="5">
        <v>761</v>
      </c>
      <c r="I550" s="6">
        <f t="shared" si="24"/>
        <v>45201</v>
      </c>
      <c r="J550" s="6">
        <f t="shared" si="25"/>
        <v>43377</v>
      </c>
      <c r="K550" s="6">
        <f t="shared" si="26"/>
        <v>-1824</v>
      </c>
    </row>
    <row r="551" spans="1:11" ht="15.6" thickTop="1" thickBot="1" x14ac:dyDescent="0.35">
      <c r="A551" s="4">
        <v>45450</v>
      </c>
      <c r="B551" s="5" t="s">
        <v>21</v>
      </c>
      <c r="C551" s="5" t="s">
        <v>41</v>
      </c>
      <c r="D551" s="5" t="s">
        <v>39</v>
      </c>
      <c r="E551" s="5" t="s">
        <v>14</v>
      </c>
      <c r="F551" s="5">
        <v>84</v>
      </c>
      <c r="G551" s="5">
        <v>931</v>
      </c>
      <c r="H551" s="5">
        <v>1475</v>
      </c>
      <c r="I551" s="6">
        <f t="shared" si="24"/>
        <v>78204</v>
      </c>
      <c r="J551" s="6">
        <f t="shared" si="25"/>
        <v>123900</v>
      </c>
      <c r="K551" s="6">
        <f t="shared" si="26"/>
        <v>45696</v>
      </c>
    </row>
    <row r="552" spans="1:11" ht="15.6" thickTop="1" thickBot="1" x14ac:dyDescent="0.35">
      <c r="A552" s="4">
        <v>45602</v>
      </c>
      <c r="B552" s="5" t="s">
        <v>21</v>
      </c>
      <c r="C552" s="5" t="s">
        <v>45</v>
      </c>
      <c r="D552" s="5" t="s">
        <v>20</v>
      </c>
      <c r="E552" s="5" t="s">
        <v>14</v>
      </c>
      <c r="F552" s="5">
        <v>74</v>
      </c>
      <c r="G552" s="5">
        <v>714</v>
      </c>
      <c r="H552" s="5">
        <v>1148</v>
      </c>
      <c r="I552" s="6">
        <f t="shared" si="24"/>
        <v>52836</v>
      </c>
      <c r="J552" s="6">
        <f t="shared" si="25"/>
        <v>84952</v>
      </c>
      <c r="K552" s="6">
        <f t="shared" si="26"/>
        <v>32116</v>
      </c>
    </row>
    <row r="553" spans="1:11" ht="15.6" thickTop="1" thickBot="1" x14ac:dyDescent="0.35">
      <c r="A553" s="4">
        <v>45451</v>
      </c>
      <c r="B553" s="5" t="s">
        <v>21</v>
      </c>
      <c r="C553" s="5" t="s">
        <v>41</v>
      </c>
      <c r="D553" s="5" t="s">
        <v>26</v>
      </c>
      <c r="E553" s="5" t="s">
        <v>14</v>
      </c>
      <c r="F553" s="5">
        <v>76</v>
      </c>
      <c r="G553" s="5">
        <v>901</v>
      </c>
      <c r="H553" s="5">
        <v>1471</v>
      </c>
      <c r="I553" s="6">
        <f t="shared" si="24"/>
        <v>68476</v>
      </c>
      <c r="J553" s="6">
        <f t="shared" si="25"/>
        <v>111796</v>
      </c>
      <c r="K553" s="6">
        <f t="shared" si="26"/>
        <v>43320</v>
      </c>
    </row>
    <row r="554" spans="1:11" ht="15.6" thickTop="1" thickBot="1" x14ac:dyDescent="0.35">
      <c r="A554" s="4">
        <v>45452</v>
      </c>
      <c r="B554" s="5" t="s">
        <v>21</v>
      </c>
      <c r="C554" s="5" t="s">
        <v>41</v>
      </c>
      <c r="D554" s="5" t="s">
        <v>43</v>
      </c>
      <c r="E554" s="5" t="s">
        <v>14</v>
      </c>
      <c r="F554" s="5">
        <v>93</v>
      </c>
      <c r="G554" s="5">
        <v>658</v>
      </c>
      <c r="H554" s="5">
        <v>1303</v>
      </c>
      <c r="I554" s="6">
        <f t="shared" si="24"/>
        <v>61194</v>
      </c>
      <c r="J554" s="6">
        <f t="shared" si="25"/>
        <v>121179</v>
      </c>
      <c r="K554" s="6">
        <f t="shared" si="26"/>
        <v>59985</v>
      </c>
    </row>
    <row r="555" spans="1:11" ht="15.6" thickTop="1" thickBot="1" x14ac:dyDescent="0.35">
      <c r="A555" s="4">
        <v>45605</v>
      </c>
      <c r="B555" s="5" t="s">
        <v>21</v>
      </c>
      <c r="C555" s="5" t="s">
        <v>45</v>
      </c>
      <c r="D555" s="5" t="s">
        <v>35</v>
      </c>
      <c r="E555" s="5" t="s">
        <v>14</v>
      </c>
      <c r="F555" s="5">
        <v>73</v>
      </c>
      <c r="G555" s="5">
        <v>957</v>
      </c>
      <c r="H555" s="5">
        <v>814</v>
      </c>
      <c r="I555" s="6">
        <f t="shared" si="24"/>
        <v>69861</v>
      </c>
      <c r="J555" s="6">
        <f t="shared" si="25"/>
        <v>59422</v>
      </c>
      <c r="K555" s="6">
        <f t="shared" si="26"/>
        <v>-10439</v>
      </c>
    </row>
    <row r="556" spans="1:11" ht="15.6" thickTop="1" thickBot="1" x14ac:dyDescent="0.35">
      <c r="A556" s="4">
        <v>45453</v>
      </c>
      <c r="B556" s="5" t="s">
        <v>21</v>
      </c>
      <c r="C556" s="5" t="s">
        <v>41</v>
      </c>
      <c r="D556" s="5" t="s">
        <v>44</v>
      </c>
      <c r="E556" s="5" t="s">
        <v>14</v>
      </c>
      <c r="F556" s="5">
        <v>68</v>
      </c>
      <c r="G556" s="5">
        <v>651</v>
      </c>
      <c r="H556" s="5">
        <v>1061</v>
      </c>
      <c r="I556" s="6">
        <f t="shared" si="24"/>
        <v>44268</v>
      </c>
      <c r="J556" s="6">
        <f t="shared" si="25"/>
        <v>72148</v>
      </c>
      <c r="K556" s="6">
        <f t="shared" si="26"/>
        <v>27880</v>
      </c>
    </row>
    <row r="557" spans="1:11" ht="15.6" thickTop="1" thickBot="1" x14ac:dyDescent="0.35">
      <c r="A557" s="4">
        <v>45461</v>
      </c>
      <c r="B557" s="5" t="s">
        <v>21</v>
      </c>
      <c r="C557" s="5" t="s">
        <v>38</v>
      </c>
      <c r="D557" s="5" t="s">
        <v>17</v>
      </c>
      <c r="E557" s="5" t="s">
        <v>19</v>
      </c>
      <c r="F557" s="5">
        <v>98</v>
      </c>
      <c r="G557" s="5">
        <v>596</v>
      </c>
      <c r="H557" s="5">
        <v>1155</v>
      </c>
      <c r="I557" s="6">
        <f t="shared" si="24"/>
        <v>58408</v>
      </c>
      <c r="J557" s="6">
        <f t="shared" si="25"/>
        <v>113190</v>
      </c>
      <c r="K557" s="6">
        <f t="shared" si="26"/>
        <v>54782</v>
      </c>
    </row>
    <row r="558" spans="1:11" ht="15.6" thickTop="1" thickBot="1" x14ac:dyDescent="0.35">
      <c r="A558" s="4">
        <v>45462</v>
      </c>
      <c r="B558" s="5" t="s">
        <v>21</v>
      </c>
      <c r="C558" s="5" t="s">
        <v>38</v>
      </c>
      <c r="D558" s="5" t="s">
        <v>36</v>
      </c>
      <c r="E558" s="5" t="s">
        <v>19</v>
      </c>
      <c r="F558" s="5">
        <v>84</v>
      </c>
      <c r="G558" s="5">
        <v>911</v>
      </c>
      <c r="H558" s="5">
        <v>1370</v>
      </c>
      <c r="I558" s="6">
        <f t="shared" si="24"/>
        <v>76524</v>
      </c>
      <c r="J558" s="6">
        <f t="shared" si="25"/>
        <v>115080</v>
      </c>
      <c r="K558" s="6">
        <f t="shared" si="26"/>
        <v>38556</v>
      </c>
    </row>
    <row r="559" spans="1:11" ht="15.6" thickTop="1" thickBot="1" x14ac:dyDescent="0.35">
      <c r="A559" s="4">
        <v>45463</v>
      </c>
      <c r="B559" s="5" t="s">
        <v>21</v>
      </c>
      <c r="C559" s="5" t="s">
        <v>38</v>
      </c>
      <c r="D559" s="5" t="s">
        <v>35</v>
      </c>
      <c r="E559" s="5" t="s">
        <v>19</v>
      </c>
      <c r="F559" s="5">
        <v>81</v>
      </c>
      <c r="G559" s="5">
        <v>702</v>
      </c>
      <c r="H559" s="5">
        <v>1494</v>
      </c>
      <c r="I559" s="6">
        <f t="shared" si="24"/>
        <v>56862</v>
      </c>
      <c r="J559" s="6">
        <f t="shared" si="25"/>
        <v>121014</v>
      </c>
      <c r="K559" s="6">
        <f t="shared" si="26"/>
        <v>64152</v>
      </c>
    </row>
    <row r="560" spans="1:11" ht="15.6" thickTop="1" thickBot="1" x14ac:dyDescent="0.35">
      <c r="A560" s="4">
        <v>45610</v>
      </c>
      <c r="B560" s="5" t="s">
        <v>27</v>
      </c>
      <c r="C560" s="5" t="s">
        <v>33</v>
      </c>
      <c r="D560" s="5" t="s">
        <v>37</v>
      </c>
      <c r="E560" s="5" t="s">
        <v>19</v>
      </c>
      <c r="F560" s="5">
        <v>24</v>
      </c>
      <c r="G560" s="5">
        <v>553</v>
      </c>
      <c r="H560" s="5">
        <v>964</v>
      </c>
      <c r="I560" s="6">
        <f t="shared" si="24"/>
        <v>13272</v>
      </c>
      <c r="J560" s="6">
        <f t="shared" si="25"/>
        <v>23136</v>
      </c>
      <c r="K560" s="6">
        <f t="shared" si="26"/>
        <v>9864</v>
      </c>
    </row>
    <row r="561" spans="1:11" ht="15.6" thickTop="1" thickBot="1" x14ac:dyDescent="0.35">
      <c r="A561" s="4">
        <v>45465</v>
      </c>
      <c r="B561" s="5" t="s">
        <v>21</v>
      </c>
      <c r="C561" s="5" t="s">
        <v>38</v>
      </c>
      <c r="D561" s="5" t="s">
        <v>17</v>
      </c>
      <c r="E561" s="5" t="s">
        <v>14</v>
      </c>
      <c r="F561" s="5">
        <v>58</v>
      </c>
      <c r="G561" s="5">
        <v>510</v>
      </c>
      <c r="H561" s="5">
        <v>1456</v>
      </c>
      <c r="I561" s="6">
        <f t="shared" si="24"/>
        <v>29580</v>
      </c>
      <c r="J561" s="6">
        <f t="shared" si="25"/>
        <v>84448</v>
      </c>
      <c r="K561" s="6">
        <f t="shared" si="26"/>
        <v>54868</v>
      </c>
    </row>
    <row r="562" spans="1:11" ht="15.6" thickTop="1" thickBot="1" x14ac:dyDescent="0.35">
      <c r="A562" s="4">
        <v>45466</v>
      </c>
      <c r="B562" s="5" t="s">
        <v>21</v>
      </c>
      <c r="C562" s="5" t="s">
        <v>41</v>
      </c>
      <c r="D562" s="5" t="s">
        <v>34</v>
      </c>
      <c r="E562" s="5" t="s">
        <v>14</v>
      </c>
      <c r="F562" s="5">
        <v>59</v>
      </c>
      <c r="G562" s="5">
        <v>506</v>
      </c>
      <c r="H562" s="5">
        <v>1498</v>
      </c>
      <c r="I562" s="6">
        <f t="shared" si="24"/>
        <v>29854</v>
      </c>
      <c r="J562" s="6">
        <f t="shared" si="25"/>
        <v>88382</v>
      </c>
      <c r="K562" s="6">
        <f t="shared" si="26"/>
        <v>58528</v>
      </c>
    </row>
    <row r="563" spans="1:11" ht="15.6" thickTop="1" thickBot="1" x14ac:dyDescent="0.35">
      <c r="A563" s="4">
        <v>45467</v>
      </c>
      <c r="B563" s="5" t="s">
        <v>21</v>
      </c>
      <c r="C563" s="5" t="s">
        <v>41</v>
      </c>
      <c r="D563" s="5" t="s">
        <v>36</v>
      </c>
      <c r="E563" s="5" t="s">
        <v>19</v>
      </c>
      <c r="F563" s="5">
        <v>51</v>
      </c>
      <c r="G563" s="5">
        <v>868</v>
      </c>
      <c r="H563" s="5">
        <v>938</v>
      </c>
      <c r="I563" s="6">
        <f t="shared" si="24"/>
        <v>44268</v>
      </c>
      <c r="J563" s="6">
        <f t="shared" si="25"/>
        <v>47838</v>
      </c>
      <c r="K563" s="6">
        <f t="shared" si="26"/>
        <v>3570</v>
      </c>
    </row>
    <row r="564" spans="1:11" ht="15.6" thickTop="1" thickBot="1" x14ac:dyDescent="0.35">
      <c r="A564" s="4">
        <v>45614</v>
      </c>
      <c r="B564" s="5" t="s">
        <v>27</v>
      </c>
      <c r="C564" s="5" t="s">
        <v>33</v>
      </c>
      <c r="D564" s="5" t="s">
        <v>23</v>
      </c>
      <c r="E564" s="5" t="s">
        <v>14</v>
      </c>
      <c r="F564" s="5">
        <v>22</v>
      </c>
      <c r="G564" s="5">
        <v>688</v>
      </c>
      <c r="H564" s="5">
        <v>985</v>
      </c>
      <c r="I564" s="6">
        <f t="shared" si="24"/>
        <v>15136</v>
      </c>
      <c r="J564" s="6">
        <f t="shared" si="25"/>
        <v>21670</v>
      </c>
      <c r="K564" s="6">
        <f t="shared" si="26"/>
        <v>6534</v>
      </c>
    </row>
    <row r="565" spans="1:11" ht="15.6" thickTop="1" thickBot="1" x14ac:dyDescent="0.35">
      <c r="A565" s="4">
        <v>45468</v>
      </c>
      <c r="B565" s="5" t="s">
        <v>21</v>
      </c>
      <c r="C565" s="5" t="s">
        <v>41</v>
      </c>
      <c r="D565" s="5" t="s">
        <v>37</v>
      </c>
      <c r="E565" s="5" t="s">
        <v>19</v>
      </c>
      <c r="F565" s="5">
        <v>76</v>
      </c>
      <c r="G565" s="5">
        <v>602</v>
      </c>
      <c r="H565" s="5">
        <v>1356</v>
      </c>
      <c r="I565" s="6">
        <f t="shared" si="24"/>
        <v>45752</v>
      </c>
      <c r="J565" s="6">
        <f t="shared" si="25"/>
        <v>103056</v>
      </c>
      <c r="K565" s="6">
        <f t="shared" si="26"/>
        <v>57304</v>
      </c>
    </row>
    <row r="566" spans="1:11" ht="15.6" thickTop="1" thickBot="1" x14ac:dyDescent="0.35">
      <c r="A566" s="4">
        <v>45616</v>
      </c>
      <c r="B566" s="5" t="s">
        <v>27</v>
      </c>
      <c r="C566" s="5" t="s">
        <v>33</v>
      </c>
      <c r="D566" s="5" t="s">
        <v>25</v>
      </c>
      <c r="E566" s="5" t="s">
        <v>14</v>
      </c>
      <c r="F566" s="5">
        <v>27</v>
      </c>
      <c r="G566" s="5">
        <v>933</v>
      </c>
      <c r="H566" s="5">
        <v>983</v>
      </c>
      <c r="I566" s="6">
        <f t="shared" si="24"/>
        <v>25191</v>
      </c>
      <c r="J566" s="6">
        <f t="shared" si="25"/>
        <v>26541</v>
      </c>
      <c r="K566" s="6">
        <f t="shared" si="26"/>
        <v>1350</v>
      </c>
    </row>
    <row r="567" spans="1:11" ht="15.6" thickTop="1" thickBot="1" x14ac:dyDescent="0.35">
      <c r="A567" s="4">
        <v>45469</v>
      </c>
      <c r="B567" s="5" t="s">
        <v>21</v>
      </c>
      <c r="C567" s="5" t="s">
        <v>41</v>
      </c>
      <c r="D567" s="5" t="s">
        <v>23</v>
      </c>
      <c r="E567" s="5" t="s">
        <v>19</v>
      </c>
      <c r="F567" s="5">
        <v>55</v>
      </c>
      <c r="G567" s="5">
        <v>928</v>
      </c>
      <c r="H567" s="5">
        <v>1264</v>
      </c>
      <c r="I567" s="6">
        <f t="shared" si="24"/>
        <v>51040</v>
      </c>
      <c r="J567" s="6">
        <f t="shared" si="25"/>
        <v>69520</v>
      </c>
      <c r="K567" s="6">
        <f t="shared" si="26"/>
        <v>18480</v>
      </c>
    </row>
    <row r="568" spans="1:11" ht="15.6" thickTop="1" thickBot="1" x14ac:dyDescent="0.35">
      <c r="A568" s="4">
        <v>45470</v>
      </c>
      <c r="B568" s="5" t="s">
        <v>21</v>
      </c>
      <c r="C568" s="5" t="s">
        <v>41</v>
      </c>
      <c r="D568" s="5" t="s">
        <v>26</v>
      </c>
      <c r="E568" s="5" t="s">
        <v>19</v>
      </c>
      <c r="F568" s="5">
        <v>74</v>
      </c>
      <c r="G568" s="5">
        <v>758</v>
      </c>
      <c r="H568" s="5">
        <v>765</v>
      </c>
      <c r="I568" s="6">
        <f t="shared" si="24"/>
        <v>56092</v>
      </c>
      <c r="J568" s="6">
        <f t="shared" si="25"/>
        <v>56610</v>
      </c>
      <c r="K568" s="6">
        <f t="shared" si="26"/>
        <v>518</v>
      </c>
    </row>
    <row r="569" spans="1:11" ht="15.6" thickTop="1" thickBot="1" x14ac:dyDescent="0.35">
      <c r="A569" s="4">
        <v>45471</v>
      </c>
      <c r="B569" s="5" t="s">
        <v>21</v>
      </c>
      <c r="C569" s="5" t="s">
        <v>41</v>
      </c>
      <c r="D569" s="5" t="s">
        <v>32</v>
      </c>
      <c r="E569" s="5" t="s">
        <v>19</v>
      </c>
      <c r="F569" s="5">
        <v>88</v>
      </c>
      <c r="G569" s="5">
        <v>566</v>
      </c>
      <c r="H569" s="5">
        <v>1093</v>
      </c>
      <c r="I569" s="6">
        <f t="shared" si="24"/>
        <v>49808</v>
      </c>
      <c r="J569" s="6">
        <f t="shared" si="25"/>
        <v>96184</v>
      </c>
      <c r="K569" s="6">
        <f t="shared" si="26"/>
        <v>46376</v>
      </c>
    </row>
    <row r="570" spans="1:11" ht="15.6" thickTop="1" thickBot="1" x14ac:dyDescent="0.35">
      <c r="A570" s="4">
        <v>45495</v>
      </c>
      <c r="B570" s="5" t="s">
        <v>21</v>
      </c>
      <c r="C570" s="5" t="s">
        <v>38</v>
      </c>
      <c r="D570" s="5" t="s">
        <v>15</v>
      </c>
      <c r="E570" s="5" t="s">
        <v>14</v>
      </c>
      <c r="F570" s="5">
        <v>58</v>
      </c>
      <c r="G570" s="5">
        <v>898</v>
      </c>
      <c r="H570" s="5">
        <v>1068</v>
      </c>
      <c r="I570" s="6">
        <f t="shared" si="24"/>
        <v>52084</v>
      </c>
      <c r="J570" s="6">
        <f t="shared" si="25"/>
        <v>61944</v>
      </c>
      <c r="K570" s="6">
        <f t="shared" si="26"/>
        <v>9860</v>
      </c>
    </row>
    <row r="571" spans="1:11" ht="15.6" thickTop="1" thickBot="1" x14ac:dyDescent="0.35">
      <c r="A571" s="4">
        <v>45496</v>
      </c>
      <c r="B571" s="5" t="s">
        <v>21</v>
      </c>
      <c r="C571" s="5" t="s">
        <v>38</v>
      </c>
      <c r="D571" s="5" t="s">
        <v>16</v>
      </c>
      <c r="E571" s="5" t="s">
        <v>14</v>
      </c>
      <c r="F571" s="5">
        <v>83</v>
      </c>
      <c r="G571" s="5">
        <v>943</v>
      </c>
      <c r="H571" s="5">
        <v>867</v>
      </c>
      <c r="I571" s="6">
        <f t="shared" si="24"/>
        <v>78269</v>
      </c>
      <c r="J571" s="6">
        <f t="shared" si="25"/>
        <v>71961</v>
      </c>
      <c r="K571" s="6">
        <f t="shared" si="26"/>
        <v>-6308</v>
      </c>
    </row>
    <row r="572" spans="1:11" ht="15.6" thickTop="1" thickBot="1" x14ac:dyDescent="0.35">
      <c r="A572" s="4">
        <v>45497</v>
      </c>
      <c r="B572" s="5" t="s">
        <v>21</v>
      </c>
      <c r="C572" s="5" t="s">
        <v>38</v>
      </c>
      <c r="D572" s="5" t="s">
        <v>17</v>
      </c>
      <c r="E572" s="5" t="s">
        <v>14</v>
      </c>
      <c r="F572" s="5">
        <v>85</v>
      </c>
      <c r="G572" s="5">
        <v>641</v>
      </c>
      <c r="H572" s="5">
        <v>892</v>
      </c>
      <c r="I572" s="6">
        <f t="shared" si="24"/>
        <v>54485</v>
      </c>
      <c r="J572" s="6">
        <f t="shared" si="25"/>
        <v>75820</v>
      </c>
      <c r="K572" s="6">
        <f t="shared" si="26"/>
        <v>21335</v>
      </c>
    </row>
    <row r="573" spans="1:11" ht="15.6" thickTop="1" thickBot="1" x14ac:dyDescent="0.35">
      <c r="A573" s="4">
        <v>45498</v>
      </c>
      <c r="B573" s="5" t="s">
        <v>21</v>
      </c>
      <c r="C573" s="5" t="s">
        <v>38</v>
      </c>
      <c r="D573" s="5" t="s">
        <v>17</v>
      </c>
      <c r="E573" s="5" t="s">
        <v>14</v>
      </c>
      <c r="F573" s="5">
        <v>57</v>
      </c>
      <c r="G573" s="5">
        <v>784</v>
      </c>
      <c r="H573" s="5">
        <v>859</v>
      </c>
      <c r="I573" s="6">
        <f t="shared" si="24"/>
        <v>44688</v>
      </c>
      <c r="J573" s="6">
        <f t="shared" si="25"/>
        <v>48963</v>
      </c>
      <c r="K573" s="6">
        <f t="shared" si="26"/>
        <v>4275</v>
      </c>
    </row>
    <row r="574" spans="1:11" ht="15.6" thickTop="1" thickBot="1" x14ac:dyDescent="0.35">
      <c r="A574" s="4">
        <v>45499</v>
      </c>
      <c r="B574" s="5" t="s">
        <v>21</v>
      </c>
      <c r="C574" s="5" t="s">
        <v>38</v>
      </c>
      <c r="D574" s="5" t="s">
        <v>18</v>
      </c>
      <c r="E574" s="5" t="s">
        <v>14</v>
      </c>
      <c r="F574" s="5">
        <v>98</v>
      </c>
      <c r="G574" s="5">
        <v>579</v>
      </c>
      <c r="H574" s="5">
        <v>1046</v>
      </c>
      <c r="I574" s="6">
        <f t="shared" si="24"/>
        <v>56742</v>
      </c>
      <c r="J574" s="6">
        <f t="shared" si="25"/>
        <v>102508</v>
      </c>
      <c r="K574" s="6">
        <f t="shared" si="26"/>
        <v>45766</v>
      </c>
    </row>
    <row r="575" spans="1:11" ht="15.6" thickTop="1" thickBot="1" x14ac:dyDescent="0.35">
      <c r="A575" s="4">
        <v>45500</v>
      </c>
      <c r="B575" s="5" t="s">
        <v>21</v>
      </c>
      <c r="C575" s="5" t="s">
        <v>38</v>
      </c>
      <c r="D575" s="5" t="s">
        <v>20</v>
      </c>
      <c r="E575" s="5" t="s">
        <v>14</v>
      </c>
      <c r="F575" s="5">
        <v>98</v>
      </c>
      <c r="G575" s="5">
        <v>605</v>
      </c>
      <c r="H575" s="5">
        <v>1155</v>
      </c>
      <c r="I575" s="6">
        <f t="shared" si="24"/>
        <v>59290</v>
      </c>
      <c r="J575" s="6">
        <f t="shared" si="25"/>
        <v>113190</v>
      </c>
      <c r="K575" s="6">
        <f t="shared" si="26"/>
        <v>53900</v>
      </c>
    </row>
    <row r="576" spans="1:11" ht="15.6" thickTop="1" thickBot="1" x14ac:dyDescent="0.35">
      <c r="A576" s="4">
        <v>45626</v>
      </c>
      <c r="B576" s="5" t="s">
        <v>27</v>
      </c>
      <c r="C576" s="5" t="s">
        <v>40</v>
      </c>
      <c r="D576" s="5" t="s">
        <v>25</v>
      </c>
      <c r="E576" s="5" t="s">
        <v>14</v>
      </c>
      <c r="F576" s="5">
        <v>20</v>
      </c>
      <c r="G576" s="5">
        <v>989</v>
      </c>
      <c r="H576" s="5">
        <v>1298</v>
      </c>
      <c r="I576" s="6">
        <f t="shared" si="24"/>
        <v>19780</v>
      </c>
      <c r="J576" s="6">
        <f t="shared" si="25"/>
        <v>25960</v>
      </c>
      <c r="K576" s="6">
        <f t="shared" si="26"/>
        <v>6180</v>
      </c>
    </row>
    <row r="577" spans="1:11" ht="15.6" thickTop="1" thickBot="1" x14ac:dyDescent="0.35">
      <c r="A577" s="4">
        <v>45501</v>
      </c>
      <c r="B577" s="5" t="s">
        <v>21</v>
      </c>
      <c r="C577" s="5" t="s">
        <v>38</v>
      </c>
      <c r="D577" s="5" t="s">
        <v>17</v>
      </c>
      <c r="E577" s="5" t="s">
        <v>14</v>
      </c>
      <c r="F577" s="5">
        <v>63</v>
      </c>
      <c r="G577" s="5">
        <v>952</v>
      </c>
      <c r="H577" s="5">
        <v>824</v>
      </c>
      <c r="I577" s="6">
        <f t="shared" si="24"/>
        <v>59976</v>
      </c>
      <c r="J577" s="6">
        <f t="shared" si="25"/>
        <v>51912</v>
      </c>
      <c r="K577" s="6">
        <f t="shared" si="26"/>
        <v>-8064</v>
      </c>
    </row>
    <row r="578" spans="1:11" ht="15.6" thickTop="1" thickBot="1" x14ac:dyDescent="0.35">
      <c r="A578" s="4">
        <v>45502</v>
      </c>
      <c r="B578" s="5" t="s">
        <v>21</v>
      </c>
      <c r="C578" s="5" t="s">
        <v>38</v>
      </c>
      <c r="D578" s="5" t="s">
        <v>36</v>
      </c>
      <c r="E578" s="5" t="s">
        <v>14</v>
      </c>
      <c r="F578" s="5">
        <v>91</v>
      </c>
      <c r="G578" s="5">
        <v>938</v>
      </c>
      <c r="H578" s="5">
        <v>1156</v>
      </c>
      <c r="I578" s="6">
        <f t="shared" ref="I578:I641" si="27">F578*G578</f>
        <v>85358</v>
      </c>
      <c r="J578" s="6">
        <f t="shared" ref="J578:J641" si="28">F578*H578</f>
        <v>105196</v>
      </c>
      <c r="K578" s="6">
        <f t="shared" ref="K578:K641" si="29">J578-I578</f>
        <v>19838</v>
      </c>
    </row>
    <row r="579" spans="1:11" ht="15.6" thickTop="1" thickBot="1" x14ac:dyDescent="0.35">
      <c r="A579" s="4">
        <v>45629</v>
      </c>
      <c r="B579" s="5" t="s">
        <v>27</v>
      </c>
      <c r="C579" s="5" t="s">
        <v>40</v>
      </c>
      <c r="D579" s="5" t="s">
        <v>32</v>
      </c>
      <c r="E579" s="5" t="s">
        <v>19</v>
      </c>
      <c r="F579" s="5">
        <v>26</v>
      </c>
      <c r="G579" s="5">
        <v>870</v>
      </c>
      <c r="H579" s="5">
        <v>1123</v>
      </c>
      <c r="I579" s="6">
        <f t="shared" si="27"/>
        <v>22620</v>
      </c>
      <c r="J579" s="6">
        <f t="shared" si="28"/>
        <v>29198</v>
      </c>
      <c r="K579" s="6">
        <f t="shared" si="29"/>
        <v>6578</v>
      </c>
    </row>
    <row r="580" spans="1:11" ht="15.6" thickTop="1" thickBot="1" x14ac:dyDescent="0.35">
      <c r="A580" s="4">
        <v>45503</v>
      </c>
      <c r="B580" s="5" t="s">
        <v>21</v>
      </c>
      <c r="C580" s="5" t="s">
        <v>38</v>
      </c>
      <c r="D580" s="5" t="s">
        <v>35</v>
      </c>
      <c r="E580" s="5" t="s">
        <v>19</v>
      </c>
      <c r="F580" s="5">
        <v>66</v>
      </c>
      <c r="G580" s="5">
        <v>512</v>
      </c>
      <c r="H580" s="5">
        <v>1208</v>
      </c>
      <c r="I580" s="6">
        <f t="shared" si="27"/>
        <v>33792</v>
      </c>
      <c r="J580" s="6">
        <f t="shared" si="28"/>
        <v>79728</v>
      </c>
      <c r="K580" s="6">
        <f t="shared" si="29"/>
        <v>45936</v>
      </c>
    </row>
    <row r="581" spans="1:11" ht="15.6" thickTop="1" thickBot="1" x14ac:dyDescent="0.35">
      <c r="A581" s="4">
        <v>45504</v>
      </c>
      <c r="B581" s="5" t="s">
        <v>21</v>
      </c>
      <c r="C581" s="5" t="s">
        <v>38</v>
      </c>
      <c r="D581" s="5" t="s">
        <v>26</v>
      </c>
      <c r="E581" s="5" t="s">
        <v>19</v>
      </c>
      <c r="F581" s="5">
        <v>88</v>
      </c>
      <c r="G581" s="5">
        <v>691</v>
      </c>
      <c r="H581" s="5">
        <v>1394</v>
      </c>
      <c r="I581" s="6">
        <f t="shared" si="27"/>
        <v>60808</v>
      </c>
      <c r="J581" s="6">
        <f t="shared" si="28"/>
        <v>122672</v>
      </c>
      <c r="K581" s="6">
        <f t="shared" si="29"/>
        <v>61864</v>
      </c>
    </row>
    <row r="582" spans="1:11" ht="15.6" thickTop="1" thickBot="1" x14ac:dyDescent="0.35">
      <c r="A582" s="4">
        <v>45505</v>
      </c>
      <c r="B582" s="5" t="s">
        <v>21</v>
      </c>
      <c r="C582" s="5" t="s">
        <v>38</v>
      </c>
      <c r="D582" s="5" t="s">
        <v>17</v>
      </c>
      <c r="E582" s="5" t="s">
        <v>19</v>
      </c>
      <c r="F582" s="5">
        <v>54</v>
      </c>
      <c r="G582" s="5">
        <v>518</v>
      </c>
      <c r="H582" s="5">
        <v>1106</v>
      </c>
      <c r="I582" s="6">
        <f t="shared" si="27"/>
        <v>27972</v>
      </c>
      <c r="J582" s="6">
        <f t="shared" si="28"/>
        <v>59724</v>
      </c>
      <c r="K582" s="6">
        <f t="shared" si="29"/>
        <v>31752</v>
      </c>
    </row>
    <row r="583" spans="1:11" ht="15.6" thickTop="1" thickBot="1" x14ac:dyDescent="0.35">
      <c r="A583" s="4">
        <v>45506</v>
      </c>
      <c r="B583" s="5" t="s">
        <v>21</v>
      </c>
      <c r="C583" s="5" t="s">
        <v>38</v>
      </c>
      <c r="D583" s="5" t="s">
        <v>34</v>
      </c>
      <c r="E583" s="5" t="s">
        <v>19</v>
      </c>
      <c r="F583" s="5">
        <v>67</v>
      </c>
      <c r="G583" s="5">
        <v>780</v>
      </c>
      <c r="H583" s="5">
        <v>864</v>
      </c>
      <c r="I583" s="6">
        <f t="shared" si="27"/>
        <v>52260</v>
      </c>
      <c r="J583" s="6">
        <f t="shared" si="28"/>
        <v>57888</v>
      </c>
      <c r="K583" s="6">
        <f t="shared" si="29"/>
        <v>5628</v>
      </c>
    </row>
    <row r="584" spans="1:11" ht="15.6" thickTop="1" thickBot="1" x14ac:dyDescent="0.35">
      <c r="A584" s="4">
        <v>45634</v>
      </c>
      <c r="B584" s="5" t="s">
        <v>27</v>
      </c>
      <c r="C584" s="5" t="s">
        <v>40</v>
      </c>
      <c r="D584" s="5" t="s">
        <v>43</v>
      </c>
      <c r="E584" s="5" t="s">
        <v>19</v>
      </c>
      <c r="F584" s="5">
        <v>23</v>
      </c>
      <c r="G584" s="5">
        <v>945</v>
      </c>
      <c r="H584" s="5">
        <v>1268</v>
      </c>
      <c r="I584" s="6">
        <f t="shared" si="27"/>
        <v>21735</v>
      </c>
      <c r="J584" s="6">
        <f t="shared" si="28"/>
        <v>29164</v>
      </c>
      <c r="K584" s="6">
        <f t="shared" si="29"/>
        <v>7429</v>
      </c>
    </row>
    <row r="585" spans="1:11" ht="15.6" thickTop="1" thickBot="1" x14ac:dyDescent="0.35">
      <c r="A585" s="4">
        <v>45508</v>
      </c>
      <c r="B585" s="5" t="s">
        <v>21</v>
      </c>
      <c r="C585" s="5" t="s">
        <v>41</v>
      </c>
      <c r="D585" s="5" t="s">
        <v>37</v>
      </c>
      <c r="E585" s="5" t="s">
        <v>14</v>
      </c>
      <c r="F585" s="5">
        <v>85</v>
      </c>
      <c r="G585" s="5">
        <v>853</v>
      </c>
      <c r="H585" s="5">
        <v>1453</v>
      </c>
      <c r="I585" s="6">
        <f t="shared" si="27"/>
        <v>72505</v>
      </c>
      <c r="J585" s="6">
        <f t="shared" si="28"/>
        <v>123505</v>
      </c>
      <c r="K585" s="6">
        <f t="shared" si="29"/>
        <v>51000</v>
      </c>
    </row>
    <row r="586" spans="1:11" ht="15.6" thickTop="1" thickBot="1" x14ac:dyDescent="0.35">
      <c r="A586" s="4">
        <v>45509</v>
      </c>
      <c r="B586" s="5" t="s">
        <v>21</v>
      </c>
      <c r="C586" s="5" t="s">
        <v>41</v>
      </c>
      <c r="D586" s="5" t="s">
        <v>23</v>
      </c>
      <c r="E586" s="5" t="s">
        <v>14</v>
      </c>
      <c r="F586" s="5">
        <v>69</v>
      </c>
      <c r="G586" s="5">
        <v>745</v>
      </c>
      <c r="H586" s="5">
        <v>1075</v>
      </c>
      <c r="I586" s="6">
        <f t="shared" si="27"/>
        <v>51405</v>
      </c>
      <c r="J586" s="6">
        <f t="shared" si="28"/>
        <v>74175</v>
      </c>
      <c r="K586" s="6">
        <f t="shared" si="29"/>
        <v>22770</v>
      </c>
    </row>
    <row r="587" spans="1:11" ht="15.6" thickTop="1" thickBot="1" x14ac:dyDescent="0.35">
      <c r="A587" s="4">
        <v>45637</v>
      </c>
      <c r="B587" s="5" t="s">
        <v>21</v>
      </c>
      <c r="C587" s="5" t="s">
        <v>38</v>
      </c>
      <c r="D587" s="5" t="s">
        <v>15</v>
      </c>
      <c r="E587" s="5" t="s">
        <v>19</v>
      </c>
      <c r="F587" s="5">
        <v>78</v>
      </c>
      <c r="G587" s="5">
        <v>522</v>
      </c>
      <c r="H587" s="5">
        <v>1064</v>
      </c>
      <c r="I587" s="6">
        <f t="shared" si="27"/>
        <v>40716</v>
      </c>
      <c r="J587" s="6">
        <f t="shared" si="28"/>
        <v>82992</v>
      </c>
      <c r="K587" s="6">
        <f t="shared" si="29"/>
        <v>42276</v>
      </c>
    </row>
    <row r="588" spans="1:11" ht="15.6" thickTop="1" thickBot="1" x14ac:dyDescent="0.35">
      <c r="A588" s="4">
        <v>45528</v>
      </c>
      <c r="B588" s="5" t="s">
        <v>21</v>
      </c>
      <c r="C588" s="5" t="s">
        <v>38</v>
      </c>
      <c r="D588" s="5" t="s">
        <v>25</v>
      </c>
      <c r="E588" s="5" t="s">
        <v>14</v>
      </c>
      <c r="F588" s="5">
        <v>63</v>
      </c>
      <c r="G588" s="5">
        <v>525</v>
      </c>
      <c r="H588" s="5">
        <v>1182</v>
      </c>
      <c r="I588" s="6">
        <f t="shared" si="27"/>
        <v>33075</v>
      </c>
      <c r="J588" s="6">
        <f t="shared" si="28"/>
        <v>74466</v>
      </c>
      <c r="K588" s="6">
        <f t="shared" si="29"/>
        <v>41391</v>
      </c>
    </row>
    <row r="589" spans="1:11" ht="15.6" thickTop="1" thickBot="1" x14ac:dyDescent="0.35">
      <c r="A589" s="4">
        <v>45529</v>
      </c>
      <c r="B589" s="5" t="s">
        <v>21</v>
      </c>
      <c r="C589" s="5" t="s">
        <v>38</v>
      </c>
      <c r="D589" s="5" t="s">
        <v>20</v>
      </c>
      <c r="E589" s="5" t="s">
        <v>14</v>
      </c>
      <c r="F589" s="5">
        <v>73</v>
      </c>
      <c r="G589" s="5">
        <v>709</v>
      </c>
      <c r="H589" s="5">
        <v>1344</v>
      </c>
      <c r="I589" s="6">
        <f t="shared" si="27"/>
        <v>51757</v>
      </c>
      <c r="J589" s="6">
        <f t="shared" si="28"/>
        <v>98112</v>
      </c>
      <c r="K589" s="6">
        <f t="shared" si="29"/>
        <v>46355</v>
      </c>
    </row>
    <row r="590" spans="1:11" ht="15.6" thickTop="1" thickBot="1" x14ac:dyDescent="0.35">
      <c r="A590" s="4">
        <v>45530</v>
      </c>
      <c r="B590" s="5" t="s">
        <v>21</v>
      </c>
      <c r="C590" s="5" t="s">
        <v>38</v>
      </c>
      <c r="D590" s="5" t="s">
        <v>39</v>
      </c>
      <c r="E590" s="5" t="s">
        <v>14</v>
      </c>
      <c r="F590" s="5">
        <v>74</v>
      </c>
      <c r="G590" s="5">
        <v>914</v>
      </c>
      <c r="H590" s="5">
        <v>1031</v>
      </c>
      <c r="I590" s="6">
        <f t="shared" si="27"/>
        <v>67636</v>
      </c>
      <c r="J590" s="6">
        <f t="shared" si="28"/>
        <v>76294</v>
      </c>
      <c r="K590" s="6">
        <f t="shared" si="29"/>
        <v>8658</v>
      </c>
    </row>
    <row r="591" spans="1:11" ht="15.6" thickTop="1" thickBot="1" x14ac:dyDescent="0.35">
      <c r="A591" s="4">
        <v>45531</v>
      </c>
      <c r="B591" s="5" t="s">
        <v>21</v>
      </c>
      <c r="C591" s="5" t="s">
        <v>38</v>
      </c>
      <c r="D591" s="5" t="s">
        <v>26</v>
      </c>
      <c r="E591" s="5" t="s">
        <v>14</v>
      </c>
      <c r="F591" s="5">
        <v>84</v>
      </c>
      <c r="G591" s="5">
        <v>558</v>
      </c>
      <c r="H591" s="5">
        <v>1477</v>
      </c>
      <c r="I591" s="6">
        <f t="shared" si="27"/>
        <v>46872</v>
      </c>
      <c r="J591" s="6">
        <f t="shared" si="28"/>
        <v>124068</v>
      </c>
      <c r="K591" s="6">
        <f t="shared" si="29"/>
        <v>77196</v>
      </c>
    </row>
    <row r="592" spans="1:11" ht="15.6" thickTop="1" thickBot="1" x14ac:dyDescent="0.35">
      <c r="A592" s="4">
        <v>45642</v>
      </c>
      <c r="B592" s="5" t="s">
        <v>21</v>
      </c>
      <c r="C592" s="5" t="s">
        <v>38</v>
      </c>
      <c r="D592" s="5" t="s">
        <v>25</v>
      </c>
      <c r="E592" s="5" t="s">
        <v>14</v>
      </c>
      <c r="F592" s="5">
        <v>60</v>
      </c>
      <c r="G592" s="5">
        <v>642</v>
      </c>
      <c r="H592" s="5">
        <v>1110</v>
      </c>
      <c r="I592" s="6">
        <f t="shared" si="27"/>
        <v>38520</v>
      </c>
      <c r="J592" s="6">
        <f t="shared" si="28"/>
        <v>66600</v>
      </c>
      <c r="K592" s="6">
        <f t="shared" si="29"/>
        <v>28080</v>
      </c>
    </row>
    <row r="593" spans="1:11" ht="15.6" thickTop="1" thickBot="1" x14ac:dyDescent="0.35">
      <c r="A593" s="4">
        <v>45532</v>
      </c>
      <c r="B593" s="5" t="s">
        <v>21</v>
      </c>
      <c r="C593" s="5" t="s">
        <v>38</v>
      </c>
      <c r="D593" s="5" t="s">
        <v>43</v>
      </c>
      <c r="E593" s="5" t="s">
        <v>14</v>
      </c>
      <c r="F593" s="5">
        <v>99</v>
      </c>
      <c r="G593" s="5">
        <v>934</v>
      </c>
      <c r="H593" s="5">
        <v>1318</v>
      </c>
      <c r="I593" s="6">
        <f t="shared" si="27"/>
        <v>92466</v>
      </c>
      <c r="J593" s="6">
        <f t="shared" si="28"/>
        <v>130482</v>
      </c>
      <c r="K593" s="6">
        <f t="shared" si="29"/>
        <v>38016</v>
      </c>
    </row>
    <row r="594" spans="1:11" ht="15.6" thickTop="1" thickBot="1" x14ac:dyDescent="0.35">
      <c r="A594" s="4">
        <v>45533</v>
      </c>
      <c r="B594" s="5" t="s">
        <v>21</v>
      </c>
      <c r="C594" s="5" t="s">
        <v>38</v>
      </c>
      <c r="D594" s="5" t="s">
        <v>44</v>
      </c>
      <c r="E594" s="5" t="s">
        <v>14</v>
      </c>
      <c r="F594" s="5">
        <v>52</v>
      </c>
      <c r="G594" s="5">
        <v>576</v>
      </c>
      <c r="H594" s="5">
        <v>1419</v>
      </c>
      <c r="I594" s="6">
        <f t="shared" si="27"/>
        <v>29952</v>
      </c>
      <c r="J594" s="6">
        <f t="shared" si="28"/>
        <v>73788</v>
      </c>
      <c r="K594" s="6">
        <f t="shared" si="29"/>
        <v>43836</v>
      </c>
    </row>
    <row r="595" spans="1:11" ht="15.6" thickTop="1" thickBot="1" x14ac:dyDescent="0.35">
      <c r="A595" s="4">
        <v>45534</v>
      </c>
      <c r="B595" s="5" t="s">
        <v>21</v>
      </c>
      <c r="C595" s="5" t="s">
        <v>38</v>
      </c>
      <c r="D595" s="5" t="s">
        <v>13</v>
      </c>
      <c r="E595" s="5" t="s">
        <v>19</v>
      </c>
      <c r="F595" s="5">
        <v>98</v>
      </c>
      <c r="G595" s="5">
        <v>769</v>
      </c>
      <c r="H595" s="5">
        <v>1277</v>
      </c>
      <c r="I595" s="6">
        <f t="shared" si="27"/>
        <v>75362</v>
      </c>
      <c r="J595" s="6">
        <f t="shared" si="28"/>
        <v>125146</v>
      </c>
      <c r="K595" s="6">
        <f t="shared" si="29"/>
        <v>49784</v>
      </c>
    </row>
    <row r="596" spans="1:11" ht="15.6" thickTop="1" thickBot="1" x14ac:dyDescent="0.35">
      <c r="A596" s="4">
        <v>45646</v>
      </c>
      <c r="B596" s="5" t="s">
        <v>21</v>
      </c>
      <c r="C596" s="5" t="s">
        <v>38</v>
      </c>
      <c r="D596" s="5" t="s">
        <v>25</v>
      </c>
      <c r="E596" s="5" t="s">
        <v>14</v>
      </c>
      <c r="F596" s="5">
        <v>86</v>
      </c>
      <c r="G596" s="5">
        <v>668</v>
      </c>
      <c r="H596" s="5">
        <v>1278</v>
      </c>
      <c r="I596" s="6">
        <f t="shared" si="27"/>
        <v>57448</v>
      </c>
      <c r="J596" s="6">
        <f t="shared" si="28"/>
        <v>109908</v>
      </c>
      <c r="K596" s="6">
        <f t="shared" si="29"/>
        <v>52460</v>
      </c>
    </row>
    <row r="597" spans="1:11" ht="15.6" thickTop="1" thickBot="1" x14ac:dyDescent="0.35">
      <c r="A597" s="4">
        <v>45536</v>
      </c>
      <c r="B597" s="5" t="s">
        <v>21</v>
      </c>
      <c r="C597" s="5" t="s">
        <v>38</v>
      </c>
      <c r="D597" s="5" t="s">
        <v>16</v>
      </c>
      <c r="E597" s="5" t="s">
        <v>19</v>
      </c>
      <c r="F597" s="5">
        <v>73</v>
      </c>
      <c r="G597" s="5">
        <v>627</v>
      </c>
      <c r="H597" s="5">
        <v>769</v>
      </c>
      <c r="I597" s="6">
        <f t="shared" si="27"/>
        <v>45771</v>
      </c>
      <c r="J597" s="6">
        <f t="shared" si="28"/>
        <v>56137</v>
      </c>
      <c r="K597" s="6">
        <f t="shared" si="29"/>
        <v>10366</v>
      </c>
    </row>
    <row r="598" spans="1:11" ht="15.6" thickTop="1" thickBot="1" x14ac:dyDescent="0.35">
      <c r="A598" s="4">
        <v>45648</v>
      </c>
      <c r="B598" s="5" t="s">
        <v>21</v>
      </c>
      <c r="C598" s="5" t="s">
        <v>41</v>
      </c>
      <c r="D598" s="5" t="s">
        <v>39</v>
      </c>
      <c r="E598" s="5" t="s">
        <v>14</v>
      </c>
      <c r="F598" s="5">
        <v>57</v>
      </c>
      <c r="G598" s="5">
        <v>995</v>
      </c>
      <c r="H598" s="5">
        <v>912</v>
      </c>
      <c r="I598" s="6">
        <f t="shared" si="27"/>
        <v>56715</v>
      </c>
      <c r="J598" s="6">
        <f t="shared" si="28"/>
        <v>51984</v>
      </c>
      <c r="K598" s="6">
        <f t="shared" si="29"/>
        <v>-4731</v>
      </c>
    </row>
    <row r="599" spans="1:11" ht="15.6" thickTop="1" thickBot="1" x14ac:dyDescent="0.35">
      <c r="A599" s="4">
        <v>45537</v>
      </c>
      <c r="B599" s="5" t="s">
        <v>21</v>
      </c>
      <c r="C599" s="5" t="s">
        <v>41</v>
      </c>
      <c r="D599" s="5" t="s">
        <v>17</v>
      </c>
      <c r="E599" s="5" t="s">
        <v>19</v>
      </c>
      <c r="F599" s="5">
        <v>93</v>
      </c>
      <c r="G599" s="5">
        <v>847</v>
      </c>
      <c r="H599" s="5">
        <v>1258</v>
      </c>
      <c r="I599" s="6">
        <f t="shared" si="27"/>
        <v>78771</v>
      </c>
      <c r="J599" s="6">
        <f t="shared" si="28"/>
        <v>116994</v>
      </c>
      <c r="K599" s="6">
        <f t="shared" si="29"/>
        <v>38223</v>
      </c>
    </row>
    <row r="600" spans="1:11" ht="15.6" thickTop="1" thickBot="1" x14ac:dyDescent="0.35">
      <c r="A600" s="4">
        <v>45538</v>
      </c>
      <c r="B600" s="5" t="s">
        <v>21</v>
      </c>
      <c r="C600" s="5" t="s">
        <v>41</v>
      </c>
      <c r="D600" s="5" t="s">
        <v>17</v>
      </c>
      <c r="E600" s="5" t="s">
        <v>19</v>
      </c>
      <c r="F600" s="5">
        <v>84</v>
      </c>
      <c r="G600" s="5">
        <v>522</v>
      </c>
      <c r="H600" s="5">
        <v>929</v>
      </c>
      <c r="I600" s="6">
        <f t="shared" si="27"/>
        <v>43848</v>
      </c>
      <c r="J600" s="6">
        <f t="shared" si="28"/>
        <v>78036</v>
      </c>
      <c r="K600" s="6">
        <f t="shared" si="29"/>
        <v>34188</v>
      </c>
    </row>
    <row r="601" spans="1:11" ht="15.6" thickTop="1" thickBot="1" x14ac:dyDescent="0.35">
      <c r="A601" s="4">
        <v>45539</v>
      </c>
      <c r="B601" s="5" t="s">
        <v>21</v>
      </c>
      <c r="C601" s="5" t="s">
        <v>41</v>
      </c>
      <c r="D601" s="5" t="s">
        <v>18</v>
      </c>
      <c r="E601" s="5" t="s">
        <v>14</v>
      </c>
      <c r="F601" s="5">
        <v>85</v>
      </c>
      <c r="G601" s="5">
        <v>564</v>
      </c>
      <c r="H601" s="5">
        <v>1049</v>
      </c>
      <c r="I601" s="6">
        <f t="shared" si="27"/>
        <v>47940</v>
      </c>
      <c r="J601" s="6">
        <f t="shared" si="28"/>
        <v>89165</v>
      </c>
      <c r="K601" s="6">
        <f t="shared" si="29"/>
        <v>41225</v>
      </c>
    </row>
    <row r="602" spans="1:11" ht="15.6" thickTop="1" thickBot="1" x14ac:dyDescent="0.35">
      <c r="A602" s="4">
        <v>45541</v>
      </c>
      <c r="B602" s="5" t="s">
        <v>21</v>
      </c>
      <c r="C602" s="5" t="s">
        <v>41</v>
      </c>
      <c r="D602" s="5" t="s">
        <v>17</v>
      </c>
      <c r="E602" s="5" t="s">
        <v>14</v>
      </c>
      <c r="F602" s="5">
        <v>93</v>
      </c>
      <c r="G602" s="5">
        <v>579</v>
      </c>
      <c r="H602" s="5">
        <v>1402</v>
      </c>
      <c r="I602" s="6">
        <f t="shared" si="27"/>
        <v>53847</v>
      </c>
      <c r="J602" s="6">
        <f t="shared" si="28"/>
        <v>130386</v>
      </c>
      <c r="K602" s="6">
        <f t="shared" si="29"/>
        <v>76539</v>
      </c>
    </row>
    <row r="603" spans="1:11" ht="15.6" thickTop="1" thickBot="1" x14ac:dyDescent="0.35">
      <c r="A603" s="4">
        <v>45653</v>
      </c>
      <c r="B603" s="5" t="s">
        <v>21</v>
      </c>
      <c r="C603" s="5" t="s">
        <v>41</v>
      </c>
      <c r="D603" s="5" t="s">
        <v>15</v>
      </c>
      <c r="E603" s="5" t="s">
        <v>19</v>
      </c>
      <c r="F603" s="5">
        <v>93</v>
      </c>
      <c r="G603" s="5">
        <v>886</v>
      </c>
      <c r="H603" s="5">
        <v>1199</v>
      </c>
      <c r="I603" s="6">
        <f t="shared" si="27"/>
        <v>82398</v>
      </c>
      <c r="J603" s="6">
        <f t="shared" si="28"/>
        <v>111507</v>
      </c>
      <c r="K603" s="6">
        <f t="shared" si="29"/>
        <v>29109</v>
      </c>
    </row>
    <row r="604" spans="1:11" ht="15.6" thickTop="1" thickBot="1" x14ac:dyDescent="0.35">
      <c r="A604" s="4">
        <v>45542</v>
      </c>
      <c r="B604" s="5" t="s">
        <v>21</v>
      </c>
      <c r="C604" s="5" t="s">
        <v>41</v>
      </c>
      <c r="D604" s="5" t="s">
        <v>36</v>
      </c>
      <c r="E604" s="5" t="s">
        <v>19</v>
      </c>
      <c r="F604" s="5">
        <v>56</v>
      </c>
      <c r="G604" s="5">
        <v>724</v>
      </c>
      <c r="H604" s="5">
        <v>1391</v>
      </c>
      <c r="I604" s="6">
        <f t="shared" si="27"/>
        <v>40544</v>
      </c>
      <c r="J604" s="6">
        <f t="shared" si="28"/>
        <v>77896</v>
      </c>
      <c r="K604" s="6">
        <f t="shared" si="29"/>
        <v>37352</v>
      </c>
    </row>
    <row r="605" spans="1:11" ht="15.6" thickTop="1" thickBot="1" x14ac:dyDescent="0.35">
      <c r="A605" s="4">
        <v>45555</v>
      </c>
      <c r="B605" s="5" t="s">
        <v>21</v>
      </c>
      <c r="C605" s="5" t="s">
        <v>41</v>
      </c>
      <c r="D605" s="5" t="s">
        <v>26</v>
      </c>
      <c r="E605" s="5" t="s">
        <v>19</v>
      </c>
      <c r="F605" s="5">
        <v>60</v>
      </c>
      <c r="G605" s="5">
        <v>783</v>
      </c>
      <c r="H605" s="5">
        <v>881</v>
      </c>
      <c r="I605" s="6">
        <f t="shared" si="27"/>
        <v>46980</v>
      </c>
      <c r="J605" s="6">
        <f t="shared" si="28"/>
        <v>52860</v>
      </c>
      <c r="K605" s="6">
        <f t="shared" si="29"/>
        <v>5880</v>
      </c>
    </row>
    <row r="606" spans="1:11" ht="15.6" thickTop="1" thickBot="1" x14ac:dyDescent="0.35">
      <c r="A606" s="4">
        <v>45556</v>
      </c>
      <c r="B606" s="5" t="s">
        <v>21</v>
      </c>
      <c r="C606" s="5" t="s">
        <v>41</v>
      </c>
      <c r="D606" s="5" t="s">
        <v>18</v>
      </c>
      <c r="E606" s="5" t="s">
        <v>19</v>
      </c>
      <c r="F606" s="5">
        <v>81</v>
      </c>
      <c r="G606" s="5">
        <v>948</v>
      </c>
      <c r="H606" s="5">
        <v>904</v>
      </c>
      <c r="I606" s="6">
        <f t="shared" si="27"/>
        <v>76788</v>
      </c>
      <c r="J606" s="6">
        <f t="shared" si="28"/>
        <v>73224</v>
      </c>
      <c r="K606" s="6">
        <f t="shared" si="29"/>
        <v>-3564</v>
      </c>
    </row>
    <row r="607" spans="1:11" ht="15.6" thickTop="1" thickBot="1" x14ac:dyDescent="0.35">
      <c r="A607" s="4">
        <v>45557</v>
      </c>
      <c r="B607" s="5" t="s">
        <v>21</v>
      </c>
      <c r="C607" s="5" t="s">
        <v>41</v>
      </c>
      <c r="D607" s="5" t="s">
        <v>26</v>
      </c>
      <c r="E607" s="5" t="s">
        <v>19</v>
      </c>
      <c r="F607" s="5">
        <v>80</v>
      </c>
      <c r="G607" s="5">
        <v>771</v>
      </c>
      <c r="H607" s="5">
        <v>1090</v>
      </c>
      <c r="I607" s="6">
        <f t="shared" si="27"/>
        <v>61680</v>
      </c>
      <c r="J607" s="6">
        <f t="shared" si="28"/>
        <v>87200</v>
      </c>
      <c r="K607" s="6">
        <f t="shared" si="29"/>
        <v>25520</v>
      </c>
    </row>
    <row r="608" spans="1:11" ht="15.6" thickTop="1" thickBot="1" x14ac:dyDescent="0.35">
      <c r="A608" s="4">
        <v>45558</v>
      </c>
      <c r="B608" s="5" t="s">
        <v>21</v>
      </c>
      <c r="C608" s="5" t="s">
        <v>41</v>
      </c>
      <c r="D608" s="5" t="s">
        <v>29</v>
      </c>
      <c r="E608" s="5" t="s">
        <v>14</v>
      </c>
      <c r="F608" s="5">
        <v>88</v>
      </c>
      <c r="G608" s="5">
        <v>943</v>
      </c>
      <c r="H608" s="5">
        <v>1082</v>
      </c>
      <c r="I608" s="6">
        <f t="shared" si="27"/>
        <v>82984</v>
      </c>
      <c r="J608" s="6">
        <f t="shared" si="28"/>
        <v>95216</v>
      </c>
      <c r="K608" s="6">
        <f t="shared" si="29"/>
        <v>12232</v>
      </c>
    </row>
    <row r="609" spans="1:11" ht="15.6" thickTop="1" thickBot="1" x14ac:dyDescent="0.35">
      <c r="A609" s="4">
        <v>45559</v>
      </c>
      <c r="B609" s="5" t="s">
        <v>21</v>
      </c>
      <c r="C609" s="5" t="s">
        <v>41</v>
      </c>
      <c r="D609" s="5" t="s">
        <v>18</v>
      </c>
      <c r="E609" s="5" t="s">
        <v>19</v>
      </c>
      <c r="F609" s="5">
        <v>68</v>
      </c>
      <c r="G609" s="5">
        <v>909</v>
      </c>
      <c r="H609" s="5">
        <v>1329</v>
      </c>
      <c r="I609" s="6">
        <f t="shared" si="27"/>
        <v>61812</v>
      </c>
      <c r="J609" s="6">
        <f t="shared" si="28"/>
        <v>90372</v>
      </c>
      <c r="K609" s="6">
        <f t="shared" si="29"/>
        <v>28560</v>
      </c>
    </row>
    <row r="610" spans="1:11" ht="15.6" thickTop="1" thickBot="1" x14ac:dyDescent="0.35">
      <c r="A610" s="4">
        <v>45660</v>
      </c>
      <c r="B610" s="5" t="s">
        <v>11</v>
      </c>
      <c r="C610" s="5" t="s">
        <v>12</v>
      </c>
      <c r="D610" s="5" t="s">
        <v>36</v>
      </c>
      <c r="E610" s="5" t="s">
        <v>14</v>
      </c>
      <c r="F610" s="5">
        <v>11</v>
      </c>
      <c r="G610" s="5">
        <v>676</v>
      </c>
      <c r="H610" s="5">
        <v>1050</v>
      </c>
      <c r="I610" s="6">
        <f t="shared" si="27"/>
        <v>7436</v>
      </c>
      <c r="J610" s="6">
        <f t="shared" si="28"/>
        <v>11550</v>
      </c>
      <c r="K610" s="6">
        <f t="shared" si="29"/>
        <v>4114</v>
      </c>
    </row>
    <row r="611" spans="1:11" ht="15.6" thickTop="1" thickBot="1" x14ac:dyDescent="0.35">
      <c r="A611" s="4">
        <v>45560</v>
      </c>
      <c r="B611" s="5" t="s">
        <v>21</v>
      </c>
      <c r="C611" s="5" t="s">
        <v>41</v>
      </c>
      <c r="D611" s="5" t="s">
        <v>30</v>
      </c>
      <c r="E611" s="5" t="s">
        <v>19</v>
      </c>
      <c r="F611" s="5">
        <v>65</v>
      </c>
      <c r="G611" s="5">
        <v>568</v>
      </c>
      <c r="H611" s="5">
        <v>1482</v>
      </c>
      <c r="I611" s="6">
        <f t="shared" si="27"/>
        <v>36920</v>
      </c>
      <c r="J611" s="6">
        <f t="shared" si="28"/>
        <v>96330</v>
      </c>
      <c r="K611" s="6">
        <f t="shared" si="29"/>
        <v>59410</v>
      </c>
    </row>
    <row r="612" spans="1:11" ht="15.6" thickTop="1" thickBot="1" x14ac:dyDescent="0.35">
      <c r="A612" s="4">
        <v>45662</v>
      </c>
      <c r="B612" s="5" t="s">
        <v>11</v>
      </c>
      <c r="C612" s="5" t="s">
        <v>12</v>
      </c>
      <c r="D612" s="5" t="s">
        <v>26</v>
      </c>
      <c r="E612" s="5" t="s">
        <v>14</v>
      </c>
      <c r="F612" s="5">
        <v>13</v>
      </c>
      <c r="G612" s="5">
        <v>521</v>
      </c>
      <c r="H612" s="5">
        <v>1433</v>
      </c>
      <c r="I612" s="6">
        <f t="shared" si="27"/>
        <v>6773</v>
      </c>
      <c r="J612" s="6">
        <f t="shared" si="28"/>
        <v>18629</v>
      </c>
      <c r="K612" s="6">
        <f t="shared" si="29"/>
        <v>11856</v>
      </c>
    </row>
    <row r="613" spans="1:11" ht="15.6" thickTop="1" thickBot="1" x14ac:dyDescent="0.35">
      <c r="A613" s="4">
        <v>45561</v>
      </c>
      <c r="B613" s="5" t="s">
        <v>21</v>
      </c>
      <c r="C613" s="5" t="s">
        <v>41</v>
      </c>
      <c r="D613" s="5" t="s">
        <v>31</v>
      </c>
      <c r="E613" s="5" t="s">
        <v>19</v>
      </c>
      <c r="F613" s="5">
        <v>58</v>
      </c>
      <c r="G613" s="5">
        <v>758</v>
      </c>
      <c r="H613" s="5">
        <v>1241</v>
      </c>
      <c r="I613" s="6">
        <f t="shared" si="27"/>
        <v>43964</v>
      </c>
      <c r="J613" s="6">
        <f t="shared" si="28"/>
        <v>71978</v>
      </c>
      <c r="K613" s="6">
        <f t="shared" si="29"/>
        <v>28014</v>
      </c>
    </row>
    <row r="614" spans="1:11" ht="15.6" thickTop="1" thickBot="1" x14ac:dyDescent="0.35">
      <c r="A614" s="4">
        <v>45664</v>
      </c>
      <c r="B614" s="5" t="s">
        <v>11</v>
      </c>
      <c r="C614" s="5" t="s">
        <v>12</v>
      </c>
      <c r="D614" s="5" t="s">
        <v>16</v>
      </c>
      <c r="E614" s="5" t="s">
        <v>14</v>
      </c>
      <c r="F614" s="5">
        <v>16</v>
      </c>
      <c r="G614" s="5">
        <v>887</v>
      </c>
      <c r="H614" s="5">
        <v>1059</v>
      </c>
      <c r="I614" s="6">
        <f t="shared" si="27"/>
        <v>14192</v>
      </c>
      <c r="J614" s="6">
        <f t="shared" si="28"/>
        <v>16944</v>
      </c>
      <c r="K614" s="6">
        <f t="shared" si="29"/>
        <v>2752</v>
      </c>
    </row>
    <row r="615" spans="1:11" ht="15.6" thickTop="1" thickBot="1" x14ac:dyDescent="0.35">
      <c r="A615" s="4">
        <v>45569</v>
      </c>
      <c r="B615" s="5" t="s">
        <v>21</v>
      </c>
      <c r="C615" s="5" t="s">
        <v>38</v>
      </c>
      <c r="D615" s="5" t="s">
        <v>20</v>
      </c>
      <c r="E615" s="5" t="s">
        <v>14</v>
      </c>
      <c r="F615" s="5">
        <v>61</v>
      </c>
      <c r="G615" s="5">
        <v>604</v>
      </c>
      <c r="H615" s="5">
        <v>1251</v>
      </c>
      <c r="I615" s="6">
        <f t="shared" si="27"/>
        <v>36844</v>
      </c>
      <c r="J615" s="6">
        <f t="shared" si="28"/>
        <v>76311</v>
      </c>
      <c r="K615" s="6">
        <f t="shared" si="29"/>
        <v>39467</v>
      </c>
    </row>
    <row r="616" spans="1:11" ht="15.6" thickTop="1" thickBot="1" x14ac:dyDescent="0.35">
      <c r="A616" s="4">
        <v>45570</v>
      </c>
      <c r="B616" s="5" t="s">
        <v>21</v>
      </c>
      <c r="C616" s="5" t="s">
        <v>38</v>
      </c>
      <c r="D616" s="5" t="s">
        <v>39</v>
      </c>
      <c r="E616" s="5" t="s">
        <v>14</v>
      </c>
      <c r="F616" s="5">
        <v>62</v>
      </c>
      <c r="G616" s="5">
        <v>641</v>
      </c>
      <c r="H616" s="5">
        <v>869</v>
      </c>
      <c r="I616" s="6">
        <f t="shared" si="27"/>
        <v>39742</v>
      </c>
      <c r="J616" s="6">
        <f t="shared" si="28"/>
        <v>53878</v>
      </c>
      <c r="K616" s="6">
        <f t="shared" si="29"/>
        <v>14136</v>
      </c>
    </row>
    <row r="617" spans="1:11" ht="15.6" thickTop="1" thickBot="1" x14ac:dyDescent="0.35">
      <c r="A617" s="4">
        <v>45572</v>
      </c>
      <c r="B617" s="5" t="s">
        <v>21</v>
      </c>
      <c r="C617" s="5" t="s">
        <v>38</v>
      </c>
      <c r="D617" s="5" t="s">
        <v>43</v>
      </c>
      <c r="E617" s="5" t="s">
        <v>14</v>
      </c>
      <c r="F617" s="5">
        <v>53</v>
      </c>
      <c r="G617" s="5">
        <v>913</v>
      </c>
      <c r="H617" s="5">
        <v>1369</v>
      </c>
      <c r="I617" s="6">
        <f t="shared" si="27"/>
        <v>48389</v>
      </c>
      <c r="J617" s="6">
        <f t="shared" si="28"/>
        <v>72557</v>
      </c>
      <c r="K617" s="6">
        <f t="shared" si="29"/>
        <v>24168</v>
      </c>
    </row>
    <row r="618" spans="1:11" ht="15.6" thickTop="1" thickBot="1" x14ac:dyDescent="0.35">
      <c r="A618" s="4">
        <v>45573</v>
      </c>
      <c r="B618" s="5" t="s">
        <v>21</v>
      </c>
      <c r="C618" s="5" t="s">
        <v>38</v>
      </c>
      <c r="D618" s="5" t="s">
        <v>44</v>
      </c>
      <c r="E618" s="5" t="s">
        <v>14</v>
      </c>
      <c r="F618" s="5">
        <v>56</v>
      </c>
      <c r="G618" s="5">
        <v>840</v>
      </c>
      <c r="H618" s="5">
        <v>1353</v>
      </c>
      <c r="I618" s="6">
        <f t="shared" si="27"/>
        <v>47040</v>
      </c>
      <c r="J618" s="6">
        <f t="shared" si="28"/>
        <v>75768</v>
      </c>
      <c r="K618" s="6">
        <f t="shared" si="29"/>
        <v>28728</v>
      </c>
    </row>
    <row r="619" spans="1:11" ht="15.6" thickTop="1" thickBot="1" x14ac:dyDescent="0.35">
      <c r="A619" s="4">
        <v>45574</v>
      </c>
      <c r="B619" s="5" t="s">
        <v>21</v>
      </c>
      <c r="C619" s="5" t="s">
        <v>41</v>
      </c>
      <c r="D619" s="5" t="s">
        <v>13</v>
      </c>
      <c r="E619" s="5" t="s">
        <v>14</v>
      </c>
      <c r="F619" s="5">
        <v>85</v>
      </c>
      <c r="G619" s="5">
        <v>541</v>
      </c>
      <c r="H619" s="5">
        <v>1331</v>
      </c>
      <c r="I619" s="6">
        <f t="shared" si="27"/>
        <v>45985</v>
      </c>
      <c r="J619" s="6">
        <f t="shared" si="28"/>
        <v>113135</v>
      </c>
      <c r="K619" s="6">
        <f t="shared" si="29"/>
        <v>67150</v>
      </c>
    </row>
    <row r="620" spans="1:11" ht="15.6" thickTop="1" thickBot="1" x14ac:dyDescent="0.35">
      <c r="A620" s="4">
        <v>45575</v>
      </c>
      <c r="B620" s="5" t="s">
        <v>21</v>
      </c>
      <c r="C620" s="5" t="s">
        <v>41</v>
      </c>
      <c r="D620" s="5" t="s">
        <v>15</v>
      </c>
      <c r="E620" s="5" t="s">
        <v>14</v>
      </c>
      <c r="F620" s="5">
        <v>56</v>
      </c>
      <c r="G620" s="5">
        <v>611</v>
      </c>
      <c r="H620" s="5">
        <v>1240</v>
      </c>
      <c r="I620" s="6">
        <f t="shared" si="27"/>
        <v>34216</v>
      </c>
      <c r="J620" s="6">
        <f t="shared" si="28"/>
        <v>69440</v>
      </c>
      <c r="K620" s="6">
        <f t="shared" si="29"/>
        <v>35224</v>
      </c>
    </row>
    <row r="621" spans="1:11" ht="15.6" thickTop="1" thickBot="1" x14ac:dyDescent="0.35">
      <c r="A621" s="4">
        <v>45671</v>
      </c>
      <c r="B621" s="5" t="s">
        <v>21</v>
      </c>
      <c r="C621" s="5" t="s">
        <v>41</v>
      </c>
      <c r="D621" s="5" t="s">
        <v>32</v>
      </c>
      <c r="E621" s="5" t="s">
        <v>19</v>
      </c>
      <c r="F621" s="5">
        <v>90</v>
      </c>
      <c r="G621" s="5">
        <v>554</v>
      </c>
      <c r="H621" s="5">
        <v>940</v>
      </c>
      <c r="I621" s="6">
        <f t="shared" si="27"/>
        <v>49860</v>
      </c>
      <c r="J621" s="6">
        <f t="shared" si="28"/>
        <v>84600</v>
      </c>
      <c r="K621" s="6">
        <f t="shared" si="29"/>
        <v>34740</v>
      </c>
    </row>
    <row r="622" spans="1:11" ht="15.6" thickTop="1" thickBot="1" x14ac:dyDescent="0.35">
      <c r="A622" s="4">
        <v>45576</v>
      </c>
      <c r="B622" s="5" t="s">
        <v>21</v>
      </c>
      <c r="C622" s="5" t="s">
        <v>41</v>
      </c>
      <c r="D622" s="5" t="s">
        <v>16</v>
      </c>
      <c r="E622" s="5" t="s">
        <v>14</v>
      </c>
      <c r="F622" s="5">
        <v>91</v>
      </c>
      <c r="G622" s="5">
        <v>867</v>
      </c>
      <c r="H622" s="5">
        <v>957</v>
      </c>
      <c r="I622" s="6">
        <f t="shared" si="27"/>
        <v>78897</v>
      </c>
      <c r="J622" s="6">
        <f t="shared" si="28"/>
        <v>87087</v>
      </c>
      <c r="K622" s="6">
        <f t="shared" si="29"/>
        <v>8190</v>
      </c>
    </row>
    <row r="623" spans="1:11" ht="15.6" thickTop="1" thickBot="1" x14ac:dyDescent="0.35">
      <c r="A623" s="4">
        <v>45577</v>
      </c>
      <c r="B623" s="5" t="s">
        <v>21</v>
      </c>
      <c r="C623" s="5" t="s">
        <v>41</v>
      </c>
      <c r="D623" s="5" t="s">
        <v>17</v>
      </c>
      <c r="E623" s="5" t="s">
        <v>14</v>
      </c>
      <c r="F623" s="5">
        <v>95</v>
      </c>
      <c r="G623" s="5">
        <v>508</v>
      </c>
      <c r="H623" s="5">
        <v>783</v>
      </c>
      <c r="I623" s="6">
        <f t="shared" si="27"/>
        <v>48260</v>
      </c>
      <c r="J623" s="6">
        <f t="shared" si="28"/>
        <v>74385</v>
      </c>
      <c r="K623" s="6">
        <f t="shared" si="29"/>
        <v>26125</v>
      </c>
    </row>
    <row r="624" spans="1:11" ht="15.6" thickTop="1" thickBot="1" x14ac:dyDescent="0.35">
      <c r="A624" s="4">
        <v>45579</v>
      </c>
      <c r="B624" s="5" t="s">
        <v>21</v>
      </c>
      <c r="C624" s="5" t="s">
        <v>41</v>
      </c>
      <c r="D624" s="5" t="s">
        <v>18</v>
      </c>
      <c r="E624" s="5" t="s">
        <v>19</v>
      </c>
      <c r="F624" s="5">
        <v>75</v>
      </c>
      <c r="G624" s="5">
        <v>549</v>
      </c>
      <c r="H624" s="5">
        <v>1108</v>
      </c>
      <c r="I624" s="6">
        <f t="shared" si="27"/>
        <v>41175</v>
      </c>
      <c r="J624" s="6">
        <f t="shared" si="28"/>
        <v>83100</v>
      </c>
      <c r="K624" s="6">
        <f t="shared" si="29"/>
        <v>41925</v>
      </c>
    </row>
    <row r="625" spans="1:11" ht="15.6" thickTop="1" thickBot="1" x14ac:dyDescent="0.35">
      <c r="A625" s="4">
        <v>45592</v>
      </c>
      <c r="B625" s="5" t="s">
        <v>21</v>
      </c>
      <c r="C625" s="5" t="s">
        <v>22</v>
      </c>
      <c r="D625" s="5" t="s">
        <v>39</v>
      </c>
      <c r="E625" s="5" t="s">
        <v>19</v>
      </c>
      <c r="F625" s="5">
        <v>95</v>
      </c>
      <c r="G625" s="5">
        <v>845</v>
      </c>
      <c r="H625" s="5">
        <v>1102</v>
      </c>
      <c r="I625" s="6">
        <f t="shared" si="27"/>
        <v>80275</v>
      </c>
      <c r="J625" s="6">
        <f t="shared" si="28"/>
        <v>104690</v>
      </c>
      <c r="K625" s="6">
        <f t="shared" si="29"/>
        <v>24415</v>
      </c>
    </row>
    <row r="626" spans="1:11" ht="15.6" thickTop="1" thickBot="1" x14ac:dyDescent="0.35">
      <c r="A626" s="4">
        <v>45593</v>
      </c>
      <c r="B626" s="5" t="s">
        <v>21</v>
      </c>
      <c r="C626" s="5" t="s">
        <v>22</v>
      </c>
      <c r="D626" s="5" t="s">
        <v>26</v>
      </c>
      <c r="E626" s="5" t="s">
        <v>19</v>
      </c>
      <c r="F626" s="5">
        <v>86</v>
      </c>
      <c r="G626" s="5">
        <v>949</v>
      </c>
      <c r="H626" s="5">
        <v>924</v>
      </c>
      <c r="I626" s="6">
        <f t="shared" si="27"/>
        <v>81614</v>
      </c>
      <c r="J626" s="6">
        <f t="shared" si="28"/>
        <v>79464</v>
      </c>
      <c r="K626" s="6">
        <f t="shared" si="29"/>
        <v>-2150</v>
      </c>
    </row>
    <row r="627" spans="1:11" ht="15.6" thickTop="1" thickBot="1" x14ac:dyDescent="0.35">
      <c r="A627" s="4">
        <v>45677</v>
      </c>
      <c r="B627" s="5" t="s">
        <v>11</v>
      </c>
      <c r="C627" s="5" t="s">
        <v>24</v>
      </c>
      <c r="D627" s="5" t="s">
        <v>44</v>
      </c>
      <c r="E627" s="5" t="s">
        <v>14</v>
      </c>
      <c r="F627" s="5">
        <v>11</v>
      </c>
      <c r="G627" s="5">
        <v>587</v>
      </c>
      <c r="H627" s="5">
        <v>1386</v>
      </c>
      <c r="I627" s="6">
        <f t="shared" si="27"/>
        <v>6457</v>
      </c>
      <c r="J627" s="6">
        <f t="shared" si="28"/>
        <v>15246</v>
      </c>
      <c r="K627" s="6">
        <f t="shared" si="29"/>
        <v>8789</v>
      </c>
    </row>
    <row r="628" spans="1:11" ht="15.6" thickTop="1" thickBot="1" x14ac:dyDescent="0.35">
      <c r="A628" s="4">
        <v>45594</v>
      </c>
      <c r="B628" s="5" t="s">
        <v>21</v>
      </c>
      <c r="C628" s="5" t="s">
        <v>22</v>
      </c>
      <c r="D628" s="5" t="s">
        <v>43</v>
      </c>
      <c r="E628" s="5" t="s">
        <v>14</v>
      </c>
      <c r="F628" s="5">
        <v>73</v>
      </c>
      <c r="G628" s="5">
        <v>801</v>
      </c>
      <c r="H628" s="5">
        <v>1092</v>
      </c>
      <c r="I628" s="6">
        <f t="shared" si="27"/>
        <v>58473</v>
      </c>
      <c r="J628" s="6">
        <f t="shared" si="28"/>
        <v>79716</v>
      </c>
      <c r="K628" s="6">
        <f t="shared" si="29"/>
        <v>21243</v>
      </c>
    </row>
    <row r="629" spans="1:11" ht="15.6" thickTop="1" thickBot="1" x14ac:dyDescent="0.35">
      <c r="A629" s="4">
        <v>45595</v>
      </c>
      <c r="B629" s="5" t="s">
        <v>21</v>
      </c>
      <c r="C629" s="5" t="s">
        <v>22</v>
      </c>
      <c r="D629" s="5" t="s">
        <v>44</v>
      </c>
      <c r="E629" s="5" t="s">
        <v>19</v>
      </c>
      <c r="F629" s="5">
        <v>70</v>
      </c>
      <c r="G629" s="5">
        <v>699</v>
      </c>
      <c r="H629" s="5">
        <v>1090</v>
      </c>
      <c r="I629" s="6">
        <f t="shared" si="27"/>
        <v>48930</v>
      </c>
      <c r="J629" s="6">
        <f t="shared" si="28"/>
        <v>76300</v>
      </c>
      <c r="K629" s="6">
        <f t="shared" si="29"/>
        <v>27370</v>
      </c>
    </row>
    <row r="630" spans="1:11" ht="15.6" thickTop="1" thickBot="1" x14ac:dyDescent="0.35">
      <c r="A630" s="4">
        <v>45603</v>
      </c>
      <c r="B630" s="5" t="s">
        <v>21</v>
      </c>
      <c r="C630" s="5" t="s">
        <v>45</v>
      </c>
      <c r="D630" s="5" t="s">
        <v>17</v>
      </c>
      <c r="E630" s="5" t="s">
        <v>14</v>
      </c>
      <c r="F630" s="5">
        <v>67</v>
      </c>
      <c r="G630" s="5">
        <v>674</v>
      </c>
      <c r="H630" s="5">
        <v>1413</v>
      </c>
      <c r="I630" s="6">
        <f t="shared" si="27"/>
        <v>45158</v>
      </c>
      <c r="J630" s="6">
        <f t="shared" si="28"/>
        <v>94671</v>
      </c>
      <c r="K630" s="6">
        <f t="shared" si="29"/>
        <v>49513</v>
      </c>
    </row>
    <row r="631" spans="1:11" ht="15.6" thickTop="1" thickBot="1" x14ac:dyDescent="0.35">
      <c r="A631" s="4">
        <v>45604</v>
      </c>
      <c r="B631" s="5" t="s">
        <v>21</v>
      </c>
      <c r="C631" s="5" t="s">
        <v>45</v>
      </c>
      <c r="D631" s="5" t="s">
        <v>36</v>
      </c>
      <c r="E631" s="5" t="s">
        <v>14</v>
      </c>
      <c r="F631" s="5">
        <v>55</v>
      </c>
      <c r="G631" s="5">
        <v>599</v>
      </c>
      <c r="H631" s="5">
        <v>1482</v>
      </c>
      <c r="I631" s="6">
        <f t="shared" si="27"/>
        <v>32945</v>
      </c>
      <c r="J631" s="6">
        <f t="shared" si="28"/>
        <v>81510</v>
      </c>
      <c r="K631" s="6">
        <f t="shared" si="29"/>
        <v>48565</v>
      </c>
    </row>
    <row r="632" spans="1:11" ht="15.6" thickTop="1" thickBot="1" x14ac:dyDescent="0.35">
      <c r="A632" s="4">
        <v>45606</v>
      </c>
      <c r="B632" s="5" t="s">
        <v>21</v>
      </c>
      <c r="C632" s="5" t="s">
        <v>45</v>
      </c>
      <c r="D632" s="5" t="s">
        <v>26</v>
      </c>
      <c r="E632" s="5" t="s">
        <v>14</v>
      </c>
      <c r="F632" s="5">
        <v>90</v>
      </c>
      <c r="G632" s="5">
        <v>962</v>
      </c>
      <c r="H632" s="5">
        <v>1495</v>
      </c>
      <c r="I632" s="6">
        <f t="shared" si="27"/>
        <v>86580</v>
      </c>
      <c r="J632" s="6">
        <f t="shared" si="28"/>
        <v>134550</v>
      </c>
      <c r="K632" s="6">
        <f t="shared" si="29"/>
        <v>47970</v>
      </c>
    </row>
    <row r="633" spans="1:11" ht="15.6" thickTop="1" thickBot="1" x14ac:dyDescent="0.35">
      <c r="A633" s="4">
        <v>45683</v>
      </c>
      <c r="B633" s="5" t="s">
        <v>11</v>
      </c>
      <c r="C633" s="5" t="s">
        <v>24</v>
      </c>
      <c r="D633" s="5" t="s">
        <v>18</v>
      </c>
      <c r="E633" s="5" t="s">
        <v>14</v>
      </c>
      <c r="F633" s="5">
        <v>18</v>
      </c>
      <c r="G633" s="5">
        <v>910</v>
      </c>
      <c r="H633" s="5">
        <v>1065</v>
      </c>
      <c r="I633" s="6">
        <f t="shared" si="27"/>
        <v>16380</v>
      </c>
      <c r="J633" s="6">
        <f t="shared" si="28"/>
        <v>19170</v>
      </c>
      <c r="K633" s="6">
        <f t="shared" si="29"/>
        <v>2790</v>
      </c>
    </row>
    <row r="634" spans="1:11" ht="15.6" thickTop="1" thickBot="1" x14ac:dyDescent="0.35">
      <c r="A634" s="4">
        <v>45607</v>
      </c>
      <c r="B634" s="5" t="s">
        <v>21</v>
      </c>
      <c r="C634" s="5" t="s">
        <v>45</v>
      </c>
      <c r="D634" s="5" t="s">
        <v>17</v>
      </c>
      <c r="E634" s="5" t="s">
        <v>14</v>
      </c>
      <c r="F634" s="5">
        <v>71</v>
      </c>
      <c r="G634" s="5">
        <v>739</v>
      </c>
      <c r="H634" s="5">
        <v>1353</v>
      </c>
      <c r="I634" s="6">
        <f t="shared" si="27"/>
        <v>52469</v>
      </c>
      <c r="J634" s="6">
        <f t="shared" si="28"/>
        <v>96063</v>
      </c>
      <c r="K634" s="6">
        <f t="shared" si="29"/>
        <v>43594</v>
      </c>
    </row>
    <row r="635" spans="1:11" ht="15.6" thickTop="1" thickBot="1" x14ac:dyDescent="0.35">
      <c r="A635" s="4">
        <v>45608</v>
      </c>
      <c r="B635" s="5" t="s">
        <v>21</v>
      </c>
      <c r="C635" s="5" t="s">
        <v>45</v>
      </c>
      <c r="D635" s="5" t="s">
        <v>34</v>
      </c>
      <c r="E635" s="5" t="s">
        <v>14</v>
      </c>
      <c r="F635" s="5">
        <v>63</v>
      </c>
      <c r="G635" s="5">
        <v>691</v>
      </c>
      <c r="H635" s="5">
        <v>1058</v>
      </c>
      <c r="I635" s="6">
        <f t="shared" si="27"/>
        <v>43533</v>
      </c>
      <c r="J635" s="6">
        <f t="shared" si="28"/>
        <v>66654</v>
      </c>
      <c r="K635" s="6">
        <f t="shared" si="29"/>
        <v>23121</v>
      </c>
    </row>
    <row r="636" spans="1:11" ht="15.6" thickTop="1" thickBot="1" x14ac:dyDescent="0.35">
      <c r="A636" s="4">
        <v>45636</v>
      </c>
      <c r="B636" s="5" t="s">
        <v>21</v>
      </c>
      <c r="C636" s="5" t="s">
        <v>38</v>
      </c>
      <c r="D636" s="5" t="s">
        <v>13</v>
      </c>
      <c r="E636" s="5" t="s">
        <v>19</v>
      </c>
      <c r="F636" s="5">
        <v>99</v>
      </c>
      <c r="G636" s="5">
        <v>705</v>
      </c>
      <c r="H636" s="5">
        <v>1356</v>
      </c>
      <c r="I636" s="6">
        <f t="shared" si="27"/>
        <v>69795</v>
      </c>
      <c r="J636" s="6">
        <f t="shared" si="28"/>
        <v>134244</v>
      </c>
      <c r="K636" s="6">
        <f t="shared" si="29"/>
        <v>64449</v>
      </c>
    </row>
    <row r="637" spans="1:11" ht="15.6" thickTop="1" thickBot="1" x14ac:dyDescent="0.35">
      <c r="A637" s="4">
        <v>45687</v>
      </c>
      <c r="B637" s="5" t="s">
        <v>11</v>
      </c>
      <c r="C637" s="5" t="s">
        <v>24</v>
      </c>
      <c r="D637" s="5" t="s">
        <v>20</v>
      </c>
      <c r="E637" s="5" t="s">
        <v>19</v>
      </c>
      <c r="F637" s="5">
        <v>11</v>
      </c>
      <c r="G637" s="5">
        <v>543</v>
      </c>
      <c r="H637" s="5">
        <v>1153</v>
      </c>
      <c r="I637" s="6">
        <f t="shared" si="27"/>
        <v>5973</v>
      </c>
      <c r="J637" s="6">
        <f t="shared" si="28"/>
        <v>12683</v>
      </c>
      <c r="K637" s="6">
        <f t="shared" si="29"/>
        <v>6710</v>
      </c>
    </row>
    <row r="638" spans="1:11" ht="15.6" thickTop="1" thickBot="1" x14ac:dyDescent="0.35">
      <c r="A638" s="4">
        <v>45638</v>
      </c>
      <c r="B638" s="5" t="s">
        <v>21</v>
      </c>
      <c r="C638" s="5" t="s">
        <v>38</v>
      </c>
      <c r="D638" s="5" t="s">
        <v>16</v>
      </c>
      <c r="E638" s="5" t="s">
        <v>14</v>
      </c>
      <c r="F638" s="5">
        <v>74</v>
      </c>
      <c r="G638" s="5">
        <v>922</v>
      </c>
      <c r="H638" s="5">
        <v>970</v>
      </c>
      <c r="I638" s="6">
        <f t="shared" si="27"/>
        <v>68228</v>
      </c>
      <c r="J638" s="6">
        <f t="shared" si="28"/>
        <v>71780</v>
      </c>
      <c r="K638" s="6">
        <f t="shared" si="29"/>
        <v>3552</v>
      </c>
    </row>
    <row r="639" spans="1:11" ht="15.6" thickTop="1" thickBot="1" x14ac:dyDescent="0.35">
      <c r="A639" s="4">
        <v>45639</v>
      </c>
      <c r="B639" s="5" t="s">
        <v>21</v>
      </c>
      <c r="C639" s="5" t="s">
        <v>38</v>
      </c>
      <c r="D639" s="5" t="s">
        <v>17</v>
      </c>
      <c r="E639" s="5" t="s">
        <v>14</v>
      </c>
      <c r="F639" s="5">
        <v>72</v>
      </c>
      <c r="G639" s="5">
        <v>560</v>
      </c>
      <c r="H639" s="5">
        <v>918</v>
      </c>
      <c r="I639" s="6">
        <f t="shared" si="27"/>
        <v>40320</v>
      </c>
      <c r="J639" s="6">
        <f t="shared" si="28"/>
        <v>66096</v>
      </c>
      <c r="K639" s="6">
        <f t="shared" si="29"/>
        <v>25776</v>
      </c>
    </row>
    <row r="640" spans="1:11" ht="15.6" thickTop="1" thickBot="1" x14ac:dyDescent="0.35">
      <c r="A640" s="4">
        <v>45640</v>
      </c>
      <c r="B640" s="5" t="s">
        <v>21</v>
      </c>
      <c r="C640" s="5" t="s">
        <v>38</v>
      </c>
      <c r="D640" s="5" t="s">
        <v>23</v>
      </c>
      <c r="E640" s="5" t="s">
        <v>14</v>
      </c>
      <c r="F640" s="5">
        <v>59</v>
      </c>
      <c r="G640" s="5">
        <v>834</v>
      </c>
      <c r="H640" s="5">
        <v>951</v>
      </c>
      <c r="I640" s="6">
        <f t="shared" si="27"/>
        <v>49206</v>
      </c>
      <c r="J640" s="6">
        <f t="shared" si="28"/>
        <v>56109</v>
      </c>
      <c r="K640" s="6">
        <f t="shared" si="29"/>
        <v>6903</v>
      </c>
    </row>
    <row r="641" spans="1:11" ht="15.6" thickTop="1" thickBot="1" x14ac:dyDescent="0.35">
      <c r="A641" s="4">
        <v>45641</v>
      </c>
      <c r="B641" s="5" t="s">
        <v>21</v>
      </c>
      <c r="C641" s="5" t="s">
        <v>38</v>
      </c>
      <c r="D641" s="5" t="s">
        <v>25</v>
      </c>
      <c r="E641" s="5" t="s">
        <v>14</v>
      </c>
      <c r="F641" s="5">
        <v>83</v>
      </c>
      <c r="G641" s="5">
        <v>840</v>
      </c>
      <c r="H641" s="5">
        <v>828</v>
      </c>
      <c r="I641" s="6">
        <f t="shared" si="27"/>
        <v>69720</v>
      </c>
      <c r="J641" s="6">
        <f t="shared" si="28"/>
        <v>68724</v>
      </c>
      <c r="K641" s="6">
        <f t="shared" si="29"/>
        <v>-996</v>
      </c>
    </row>
    <row r="642" spans="1:11" ht="15.6" thickTop="1" thickBot="1" x14ac:dyDescent="0.35">
      <c r="A642" s="4">
        <v>45643</v>
      </c>
      <c r="B642" s="5" t="s">
        <v>21</v>
      </c>
      <c r="C642" s="5" t="s">
        <v>38</v>
      </c>
      <c r="D642" s="5" t="s">
        <v>34</v>
      </c>
      <c r="E642" s="5" t="s">
        <v>14</v>
      </c>
      <c r="F642" s="5">
        <v>64</v>
      </c>
      <c r="G642" s="5">
        <v>965</v>
      </c>
      <c r="H642" s="5">
        <v>1357</v>
      </c>
      <c r="I642" s="6">
        <f t="shared" ref="I642:I705" si="30">F642*G642</f>
        <v>61760</v>
      </c>
      <c r="J642" s="6">
        <f t="shared" ref="J642:J705" si="31">F642*H642</f>
        <v>86848</v>
      </c>
      <c r="K642" s="6">
        <f t="shared" ref="K642:K705" si="32">J642-I642</f>
        <v>25088</v>
      </c>
    </row>
    <row r="643" spans="1:11" ht="15.6" thickTop="1" thickBot="1" x14ac:dyDescent="0.35">
      <c r="A643" s="4">
        <v>45644</v>
      </c>
      <c r="B643" s="5" t="s">
        <v>21</v>
      </c>
      <c r="C643" s="5" t="s">
        <v>38</v>
      </c>
      <c r="D643" s="5" t="s">
        <v>34</v>
      </c>
      <c r="E643" s="5" t="s">
        <v>14</v>
      </c>
      <c r="F643" s="5">
        <v>59</v>
      </c>
      <c r="G643" s="5">
        <v>671</v>
      </c>
      <c r="H643" s="5">
        <v>1410</v>
      </c>
      <c r="I643" s="6">
        <f t="shared" si="30"/>
        <v>39589</v>
      </c>
      <c r="J643" s="6">
        <f t="shared" si="31"/>
        <v>83190</v>
      </c>
      <c r="K643" s="6">
        <f t="shared" si="32"/>
        <v>43601</v>
      </c>
    </row>
    <row r="644" spans="1:11" ht="15.6" thickTop="1" thickBot="1" x14ac:dyDescent="0.35">
      <c r="A644" s="4">
        <v>45645</v>
      </c>
      <c r="B644" s="5" t="s">
        <v>21</v>
      </c>
      <c r="C644" s="5" t="s">
        <v>38</v>
      </c>
      <c r="D644" s="5" t="s">
        <v>32</v>
      </c>
      <c r="E644" s="5" t="s">
        <v>14</v>
      </c>
      <c r="F644" s="5">
        <v>85</v>
      </c>
      <c r="G644" s="5">
        <v>761</v>
      </c>
      <c r="H644" s="5">
        <v>926</v>
      </c>
      <c r="I644" s="6">
        <f t="shared" si="30"/>
        <v>64685</v>
      </c>
      <c r="J644" s="6">
        <f t="shared" si="31"/>
        <v>78710</v>
      </c>
      <c r="K644" s="6">
        <f t="shared" si="32"/>
        <v>14025</v>
      </c>
    </row>
    <row r="645" spans="1:11" ht="15.6" thickTop="1" thickBot="1" x14ac:dyDescent="0.35">
      <c r="A645" s="4">
        <v>45647</v>
      </c>
      <c r="B645" s="5" t="s">
        <v>21</v>
      </c>
      <c r="C645" s="5" t="s">
        <v>38</v>
      </c>
      <c r="D645" s="5" t="s">
        <v>20</v>
      </c>
      <c r="E645" s="5" t="s">
        <v>14</v>
      </c>
      <c r="F645" s="5">
        <v>81</v>
      </c>
      <c r="G645" s="5">
        <v>522</v>
      </c>
      <c r="H645" s="5">
        <v>1238</v>
      </c>
      <c r="I645" s="6">
        <f t="shared" si="30"/>
        <v>42282</v>
      </c>
      <c r="J645" s="6">
        <f t="shared" si="31"/>
        <v>100278</v>
      </c>
      <c r="K645" s="6">
        <f t="shared" si="32"/>
        <v>57996</v>
      </c>
    </row>
    <row r="646" spans="1:11" ht="15.6" thickTop="1" thickBot="1" x14ac:dyDescent="0.35">
      <c r="A646" s="4">
        <v>45649</v>
      </c>
      <c r="B646" s="5" t="s">
        <v>21</v>
      </c>
      <c r="C646" s="5" t="s">
        <v>41</v>
      </c>
      <c r="D646" s="5" t="s">
        <v>26</v>
      </c>
      <c r="E646" s="5" t="s">
        <v>14</v>
      </c>
      <c r="F646" s="5">
        <v>72</v>
      </c>
      <c r="G646" s="5">
        <v>943</v>
      </c>
      <c r="H646" s="5">
        <v>1233</v>
      </c>
      <c r="I646" s="6">
        <f t="shared" si="30"/>
        <v>67896</v>
      </c>
      <c r="J646" s="6">
        <f t="shared" si="31"/>
        <v>88776</v>
      </c>
      <c r="K646" s="6">
        <f t="shared" si="32"/>
        <v>20880</v>
      </c>
    </row>
    <row r="647" spans="1:11" ht="15.6" thickTop="1" thickBot="1" x14ac:dyDescent="0.35">
      <c r="A647" s="4">
        <v>45650</v>
      </c>
      <c r="B647" s="5" t="s">
        <v>21</v>
      </c>
      <c r="C647" s="5" t="s">
        <v>41</v>
      </c>
      <c r="D647" s="5" t="s">
        <v>43</v>
      </c>
      <c r="E647" s="5" t="s">
        <v>14</v>
      </c>
      <c r="F647" s="5">
        <v>67</v>
      </c>
      <c r="G647" s="5">
        <v>801</v>
      </c>
      <c r="H647" s="5">
        <v>1220</v>
      </c>
      <c r="I647" s="6">
        <f t="shared" si="30"/>
        <v>53667</v>
      </c>
      <c r="J647" s="6">
        <f t="shared" si="31"/>
        <v>81740</v>
      </c>
      <c r="K647" s="6">
        <f t="shared" si="32"/>
        <v>28073</v>
      </c>
    </row>
    <row r="648" spans="1:11" ht="15.6" thickTop="1" thickBot="1" x14ac:dyDescent="0.35">
      <c r="A648" s="4">
        <v>45698</v>
      </c>
      <c r="B648" s="5" t="s">
        <v>27</v>
      </c>
      <c r="C648" s="5" t="s">
        <v>40</v>
      </c>
      <c r="D648" s="5" t="s">
        <v>20</v>
      </c>
      <c r="E648" s="5" t="s">
        <v>14</v>
      </c>
      <c r="F648" s="5">
        <v>29</v>
      </c>
      <c r="G648" s="5">
        <v>725</v>
      </c>
      <c r="H648" s="5">
        <v>792</v>
      </c>
      <c r="I648" s="6">
        <f t="shared" si="30"/>
        <v>21025</v>
      </c>
      <c r="J648" s="6">
        <f t="shared" si="31"/>
        <v>22968</v>
      </c>
      <c r="K648" s="6">
        <f t="shared" si="32"/>
        <v>1943</v>
      </c>
    </row>
    <row r="649" spans="1:11" ht="15.6" thickTop="1" thickBot="1" x14ac:dyDescent="0.35">
      <c r="A649" s="4">
        <v>45651</v>
      </c>
      <c r="B649" s="5" t="s">
        <v>21</v>
      </c>
      <c r="C649" s="5" t="s">
        <v>41</v>
      </c>
      <c r="D649" s="5" t="s">
        <v>44</v>
      </c>
      <c r="E649" s="5" t="s">
        <v>14</v>
      </c>
      <c r="F649" s="5">
        <v>57</v>
      </c>
      <c r="G649" s="5">
        <v>647</v>
      </c>
      <c r="H649" s="5">
        <v>905</v>
      </c>
      <c r="I649" s="6">
        <f t="shared" si="30"/>
        <v>36879</v>
      </c>
      <c r="J649" s="6">
        <f t="shared" si="31"/>
        <v>51585</v>
      </c>
      <c r="K649" s="6">
        <f t="shared" si="32"/>
        <v>14706</v>
      </c>
    </row>
    <row r="650" spans="1:11" ht="15.6" thickTop="1" thickBot="1" x14ac:dyDescent="0.35">
      <c r="A650" s="4">
        <v>45652</v>
      </c>
      <c r="B650" s="5" t="s">
        <v>21</v>
      </c>
      <c r="C650" s="5" t="s">
        <v>41</v>
      </c>
      <c r="D650" s="5" t="s">
        <v>13</v>
      </c>
      <c r="E650" s="5" t="s">
        <v>14</v>
      </c>
      <c r="F650" s="5">
        <v>91</v>
      </c>
      <c r="G650" s="5">
        <v>906</v>
      </c>
      <c r="H650" s="5">
        <v>925</v>
      </c>
      <c r="I650" s="6">
        <f t="shared" si="30"/>
        <v>82446</v>
      </c>
      <c r="J650" s="6">
        <f t="shared" si="31"/>
        <v>84175</v>
      </c>
      <c r="K650" s="6">
        <f t="shared" si="32"/>
        <v>1729</v>
      </c>
    </row>
    <row r="651" spans="1:11" ht="15.6" thickTop="1" thickBot="1" x14ac:dyDescent="0.35">
      <c r="A651" s="4">
        <v>45654</v>
      </c>
      <c r="B651" s="5" t="s">
        <v>21</v>
      </c>
      <c r="C651" s="5" t="s">
        <v>41</v>
      </c>
      <c r="D651" s="5" t="s">
        <v>16</v>
      </c>
      <c r="E651" s="5" t="s">
        <v>19</v>
      </c>
      <c r="F651" s="5">
        <v>82</v>
      </c>
      <c r="G651" s="5">
        <v>955</v>
      </c>
      <c r="H651" s="5">
        <v>1218</v>
      </c>
      <c r="I651" s="6">
        <f t="shared" si="30"/>
        <v>78310</v>
      </c>
      <c r="J651" s="6">
        <f t="shared" si="31"/>
        <v>99876</v>
      </c>
      <c r="K651" s="6">
        <f t="shared" si="32"/>
        <v>21566</v>
      </c>
    </row>
    <row r="652" spans="1:11" ht="15.6" thickTop="1" thickBot="1" x14ac:dyDescent="0.35">
      <c r="A652" s="4">
        <v>45702</v>
      </c>
      <c r="B652" s="5" t="s">
        <v>21</v>
      </c>
      <c r="C652" s="5" t="s">
        <v>38</v>
      </c>
      <c r="D652" s="5" t="s">
        <v>34</v>
      </c>
      <c r="E652" s="5" t="s">
        <v>14</v>
      </c>
      <c r="F652" s="5">
        <v>59</v>
      </c>
      <c r="G652" s="5">
        <v>725</v>
      </c>
      <c r="H652" s="5">
        <v>1113</v>
      </c>
      <c r="I652" s="6">
        <f t="shared" si="30"/>
        <v>42775</v>
      </c>
      <c r="J652" s="6">
        <f t="shared" si="31"/>
        <v>65667</v>
      </c>
      <c r="K652" s="6">
        <f t="shared" si="32"/>
        <v>22892</v>
      </c>
    </row>
    <row r="653" spans="1:11" ht="15.6" thickTop="1" thickBot="1" x14ac:dyDescent="0.35">
      <c r="A653" s="4">
        <v>45655</v>
      </c>
      <c r="B653" s="5" t="s">
        <v>21</v>
      </c>
      <c r="C653" s="5" t="s">
        <v>41</v>
      </c>
      <c r="D653" s="5" t="s">
        <v>17</v>
      </c>
      <c r="E653" s="5" t="s">
        <v>19</v>
      </c>
      <c r="F653" s="5">
        <v>72</v>
      </c>
      <c r="G653" s="5">
        <v>829</v>
      </c>
      <c r="H653" s="5">
        <v>1165</v>
      </c>
      <c r="I653" s="6">
        <f t="shared" si="30"/>
        <v>59688</v>
      </c>
      <c r="J653" s="6">
        <f t="shared" si="31"/>
        <v>83880</v>
      </c>
      <c r="K653" s="6">
        <f t="shared" si="32"/>
        <v>24192</v>
      </c>
    </row>
    <row r="654" spans="1:11" ht="15.6" thickTop="1" thickBot="1" x14ac:dyDescent="0.35">
      <c r="A654" s="4">
        <v>45656</v>
      </c>
      <c r="B654" s="5" t="s">
        <v>21</v>
      </c>
      <c r="C654" s="5" t="s">
        <v>41</v>
      </c>
      <c r="D654" s="5" t="s">
        <v>17</v>
      </c>
      <c r="E654" s="5" t="s">
        <v>19</v>
      </c>
      <c r="F654" s="5">
        <v>62</v>
      </c>
      <c r="G654" s="5">
        <v>680</v>
      </c>
      <c r="H654" s="5">
        <v>912</v>
      </c>
      <c r="I654" s="6">
        <f t="shared" si="30"/>
        <v>42160</v>
      </c>
      <c r="J654" s="6">
        <f t="shared" si="31"/>
        <v>56544</v>
      </c>
      <c r="K654" s="6">
        <f t="shared" si="32"/>
        <v>14384</v>
      </c>
    </row>
    <row r="655" spans="1:11" ht="15.6" thickTop="1" thickBot="1" x14ac:dyDescent="0.35">
      <c r="A655" s="4">
        <v>45657</v>
      </c>
      <c r="B655" s="5" t="s">
        <v>21</v>
      </c>
      <c r="C655" s="5" t="s">
        <v>41</v>
      </c>
      <c r="D655" s="5" t="s">
        <v>18</v>
      </c>
      <c r="E655" s="5" t="s">
        <v>19</v>
      </c>
      <c r="F655" s="5">
        <v>67</v>
      </c>
      <c r="G655" s="5">
        <v>600</v>
      </c>
      <c r="H655" s="5">
        <v>1328</v>
      </c>
      <c r="I655" s="6">
        <f t="shared" si="30"/>
        <v>40200</v>
      </c>
      <c r="J655" s="6">
        <f t="shared" si="31"/>
        <v>88976</v>
      </c>
      <c r="K655" s="6">
        <f t="shared" si="32"/>
        <v>48776</v>
      </c>
    </row>
    <row r="656" spans="1:11" ht="15.6" thickTop="1" thickBot="1" x14ac:dyDescent="0.35">
      <c r="A656" s="4">
        <v>45658</v>
      </c>
      <c r="B656" s="5" t="s">
        <v>21</v>
      </c>
      <c r="C656" s="5" t="s">
        <v>41</v>
      </c>
      <c r="D656" s="5" t="s">
        <v>20</v>
      </c>
      <c r="E656" s="5" t="s">
        <v>14</v>
      </c>
      <c r="F656" s="5">
        <v>97</v>
      </c>
      <c r="G656" s="5">
        <v>946</v>
      </c>
      <c r="H656" s="5">
        <v>1297</v>
      </c>
      <c r="I656" s="6">
        <f t="shared" si="30"/>
        <v>91762</v>
      </c>
      <c r="J656" s="6">
        <f t="shared" si="31"/>
        <v>125809</v>
      </c>
      <c r="K656" s="6">
        <f t="shared" si="32"/>
        <v>34047</v>
      </c>
    </row>
    <row r="657" spans="1:11" ht="15.6" thickTop="1" thickBot="1" x14ac:dyDescent="0.35">
      <c r="A657" s="4">
        <v>45666</v>
      </c>
      <c r="B657" s="5" t="s">
        <v>21</v>
      </c>
      <c r="C657" s="5" t="s">
        <v>38</v>
      </c>
      <c r="D657" s="5" t="s">
        <v>23</v>
      </c>
      <c r="E657" s="5" t="s">
        <v>19</v>
      </c>
      <c r="F657" s="5">
        <v>62</v>
      </c>
      <c r="G657" s="5">
        <v>800</v>
      </c>
      <c r="H657" s="5">
        <v>882</v>
      </c>
      <c r="I657" s="6">
        <f t="shared" si="30"/>
        <v>49600</v>
      </c>
      <c r="J657" s="6">
        <f t="shared" si="31"/>
        <v>54684</v>
      </c>
      <c r="K657" s="6">
        <f t="shared" si="32"/>
        <v>5084</v>
      </c>
    </row>
    <row r="658" spans="1:11" ht="15.6" thickTop="1" thickBot="1" x14ac:dyDescent="0.35">
      <c r="A658" s="4">
        <v>45667</v>
      </c>
      <c r="B658" s="5" t="s">
        <v>21</v>
      </c>
      <c r="C658" s="5" t="s">
        <v>38</v>
      </c>
      <c r="D658" s="5" t="s">
        <v>25</v>
      </c>
      <c r="E658" s="5" t="s">
        <v>19</v>
      </c>
      <c r="F658" s="5">
        <v>65</v>
      </c>
      <c r="G658" s="5">
        <v>875</v>
      </c>
      <c r="H658" s="5">
        <v>1361</v>
      </c>
      <c r="I658" s="6">
        <f t="shared" si="30"/>
        <v>56875</v>
      </c>
      <c r="J658" s="6">
        <f t="shared" si="31"/>
        <v>88465</v>
      </c>
      <c r="K658" s="6">
        <f t="shared" si="32"/>
        <v>31590</v>
      </c>
    </row>
    <row r="659" spans="1:11" ht="15.6" thickTop="1" thickBot="1" x14ac:dyDescent="0.35">
      <c r="A659" s="4">
        <v>45709</v>
      </c>
      <c r="B659" s="5" t="s">
        <v>21</v>
      </c>
      <c r="C659" s="5" t="s">
        <v>38</v>
      </c>
      <c r="D659" s="5" t="s">
        <v>43</v>
      </c>
      <c r="E659" s="5" t="s">
        <v>19</v>
      </c>
      <c r="F659" s="5">
        <v>100</v>
      </c>
      <c r="G659" s="5">
        <v>831</v>
      </c>
      <c r="H659" s="5">
        <v>1466</v>
      </c>
      <c r="I659" s="6">
        <f t="shared" si="30"/>
        <v>83100</v>
      </c>
      <c r="J659" s="6">
        <f t="shared" si="31"/>
        <v>146600</v>
      </c>
      <c r="K659" s="6">
        <f t="shared" si="32"/>
        <v>63500</v>
      </c>
    </row>
    <row r="660" spans="1:11" ht="15.6" thickTop="1" thickBot="1" x14ac:dyDescent="0.35">
      <c r="A660" s="4">
        <v>45668</v>
      </c>
      <c r="B660" s="5" t="s">
        <v>21</v>
      </c>
      <c r="C660" s="5" t="s">
        <v>38</v>
      </c>
      <c r="D660" s="5" t="s">
        <v>25</v>
      </c>
      <c r="E660" s="5" t="s">
        <v>19</v>
      </c>
      <c r="F660" s="5">
        <v>88</v>
      </c>
      <c r="G660" s="5">
        <v>823</v>
      </c>
      <c r="H660" s="5">
        <v>1026</v>
      </c>
      <c r="I660" s="6">
        <f t="shared" si="30"/>
        <v>72424</v>
      </c>
      <c r="J660" s="6">
        <f t="shared" si="31"/>
        <v>90288</v>
      </c>
      <c r="K660" s="6">
        <f t="shared" si="32"/>
        <v>17864</v>
      </c>
    </row>
    <row r="661" spans="1:11" ht="15.6" thickTop="1" thickBot="1" x14ac:dyDescent="0.35">
      <c r="A661" s="4">
        <v>45669</v>
      </c>
      <c r="B661" s="5" t="s">
        <v>21</v>
      </c>
      <c r="C661" s="5" t="s">
        <v>38</v>
      </c>
      <c r="D661" s="5" t="s">
        <v>34</v>
      </c>
      <c r="E661" s="5" t="s">
        <v>14</v>
      </c>
      <c r="F661" s="5">
        <v>54</v>
      </c>
      <c r="G661" s="5">
        <v>664</v>
      </c>
      <c r="H661" s="5">
        <v>761</v>
      </c>
      <c r="I661" s="6">
        <f t="shared" si="30"/>
        <v>35856</v>
      </c>
      <c r="J661" s="6">
        <f t="shared" si="31"/>
        <v>41094</v>
      </c>
      <c r="K661" s="6">
        <f t="shared" si="32"/>
        <v>5238</v>
      </c>
    </row>
    <row r="662" spans="1:11" ht="15.6" thickTop="1" thickBot="1" x14ac:dyDescent="0.35">
      <c r="A662" s="4">
        <v>45670</v>
      </c>
      <c r="B662" s="7" t="s">
        <v>21</v>
      </c>
      <c r="C662" s="7" t="s">
        <v>38</v>
      </c>
      <c r="D662" s="7" t="s">
        <v>34</v>
      </c>
      <c r="E662" s="5" t="s">
        <v>19</v>
      </c>
      <c r="F662" s="5">
        <v>52</v>
      </c>
      <c r="G662" s="5">
        <v>538</v>
      </c>
      <c r="H662" s="5">
        <v>1257</v>
      </c>
      <c r="I662" s="6">
        <f t="shared" si="30"/>
        <v>27976</v>
      </c>
      <c r="J662" s="6">
        <f t="shared" si="31"/>
        <v>65364</v>
      </c>
      <c r="K662" s="6">
        <f t="shared" si="32"/>
        <v>37388</v>
      </c>
    </row>
    <row r="663" spans="1:11" ht="15.6" thickTop="1" thickBot="1" x14ac:dyDescent="0.35">
      <c r="A663" s="4">
        <v>45672</v>
      </c>
      <c r="B663" s="7" t="s">
        <v>21</v>
      </c>
      <c r="C663" s="8" t="s">
        <v>41</v>
      </c>
      <c r="D663" s="7" t="s">
        <v>25</v>
      </c>
      <c r="E663" s="5" t="s">
        <v>19</v>
      </c>
      <c r="F663" s="5">
        <v>81</v>
      </c>
      <c r="G663" s="5">
        <v>556</v>
      </c>
      <c r="H663" s="5">
        <v>1345</v>
      </c>
      <c r="I663" s="6">
        <f t="shared" si="30"/>
        <v>45036</v>
      </c>
      <c r="J663" s="6">
        <f t="shared" si="31"/>
        <v>108945</v>
      </c>
      <c r="K663" s="6">
        <f t="shared" si="32"/>
        <v>63909</v>
      </c>
    </row>
    <row r="664" spans="1:11" ht="15.6" thickTop="1" thickBot="1" x14ac:dyDescent="0.35">
      <c r="A664" s="4">
        <v>45673</v>
      </c>
      <c r="B664" s="5" t="s">
        <v>21</v>
      </c>
      <c r="C664" s="5" t="s">
        <v>41</v>
      </c>
      <c r="D664" s="5" t="s">
        <v>20</v>
      </c>
      <c r="E664" s="5" t="s">
        <v>19</v>
      </c>
      <c r="F664" s="5">
        <v>72</v>
      </c>
      <c r="G664" s="5">
        <v>608</v>
      </c>
      <c r="H664" s="5">
        <v>1209</v>
      </c>
      <c r="I664" s="6">
        <f t="shared" si="30"/>
        <v>43776</v>
      </c>
      <c r="J664" s="6">
        <f t="shared" si="31"/>
        <v>87048</v>
      </c>
      <c r="K664" s="6">
        <f t="shared" si="32"/>
        <v>43272</v>
      </c>
    </row>
    <row r="665" spans="1:11" ht="15.6" thickTop="1" thickBot="1" x14ac:dyDescent="0.35">
      <c r="A665" s="4">
        <v>45674</v>
      </c>
      <c r="B665" s="5" t="s">
        <v>21</v>
      </c>
      <c r="C665" s="5" t="s">
        <v>41</v>
      </c>
      <c r="D665" s="5" t="s">
        <v>39</v>
      </c>
      <c r="E665" s="5" t="s">
        <v>14</v>
      </c>
      <c r="F665" s="5">
        <v>61</v>
      </c>
      <c r="G665" s="5">
        <v>994</v>
      </c>
      <c r="H665" s="5">
        <v>886</v>
      </c>
      <c r="I665" s="6">
        <f t="shared" si="30"/>
        <v>60634</v>
      </c>
      <c r="J665" s="6">
        <f t="shared" si="31"/>
        <v>54046</v>
      </c>
      <c r="K665" s="6">
        <f t="shared" si="32"/>
        <v>-6588</v>
      </c>
    </row>
    <row r="666" spans="1:11" ht="15.6" thickTop="1" thickBot="1" x14ac:dyDescent="0.35">
      <c r="A666" s="4">
        <v>45675</v>
      </c>
      <c r="B666" s="5" t="s">
        <v>21</v>
      </c>
      <c r="C666" s="5" t="s">
        <v>41</v>
      </c>
      <c r="D666" s="5" t="s">
        <v>26</v>
      </c>
      <c r="E666" s="5" t="s">
        <v>14</v>
      </c>
      <c r="F666" s="5">
        <v>57</v>
      </c>
      <c r="G666" s="5">
        <v>566</v>
      </c>
      <c r="H666" s="5">
        <v>830</v>
      </c>
      <c r="I666" s="6">
        <f t="shared" si="30"/>
        <v>32262</v>
      </c>
      <c r="J666" s="6">
        <f t="shared" si="31"/>
        <v>47310</v>
      </c>
      <c r="K666" s="6">
        <f t="shared" si="32"/>
        <v>15048</v>
      </c>
    </row>
    <row r="667" spans="1:11" ht="15.6" thickTop="1" thickBot="1" x14ac:dyDescent="0.35">
      <c r="A667" s="4">
        <v>45676</v>
      </c>
      <c r="B667" s="5" t="s">
        <v>21</v>
      </c>
      <c r="C667" s="5" t="s">
        <v>41</v>
      </c>
      <c r="D667" s="5" t="s">
        <v>43</v>
      </c>
      <c r="E667" s="5" t="s">
        <v>14</v>
      </c>
      <c r="F667" s="5">
        <v>50</v>
      </c>
      <c r="G667" s="5">
        <v>714</v>
      </c>
      <c r="H667" s="5">
        <v>1071</v>
      </c>
      <c r="I667" s="6">
        <f t="shared" si="30"/>
        <v>35700</v>
      </c>
      <c r="J667" s="6">
        <f t="shared" si="31"/>
        <v>53550</v>
      </c>
      <c r="K667" s="6">
        <f t="shared" si="32"/>
        <v>17850</v>
      </c>
    </row>
    <row r="668" spans="1:11" ht="15.6" thickTop="1" thickBot="1" x14ac:dyDescent="0.35">
      <c r="A668" s="4">
        <v>45700</v>
      </c>
      <c r="B668" s="5" t="s">
        <v>21</v>
      </c>
      <c r="C668" s="5" t="s">
        <v>38</v>
      </c>
      <c r="D668" s="5" t="s">
        <v>25</v>
      </c>
      <c r="E668" s="5" t="s">
        <v>14</v>
      </c>
      <c r="F668" s="5">
        <v>80</v>
      </c>
      <c r="G668" s="5">
        <v>636</v>
      </c>
      <c r="H668" s="5">
        <v>1259</v>
      </c>
      <c r="I668" s="6">
        <f t="shared" si="30"/>
        <v>50880</v>
      </c>
      <c r="J668" s="6">
        <f t="shared" si="31"/>
        <v>100720</v>
      </c>
      <c r="K668" s="6">
        <f t="shared" si="32"/>
        <v>49840</v>
      </c>
    </row>
    <row r="669" spans="1:11" ht="15.6" thickTop="1" thickBot="1" x14ac:dyDescent="0.35">
      <c r="A669" s="4">
        <v>45701</v>
      </c>
      <c r="B669" s="5" t="s">
        <v>21</v>
      </c>
      <c r="C669" s="5" t="s">
        <v>38</v>
      </c>
      <c r="D669" s="5" t="s">
        <v>25</v>
      </c>
      <c r="E669" s="5" t="s">
        <v>14</v>
      </c>
      <c r="F669" s="5">
        <v>50</v>
      </c>
      <c r="G669" s="5">
        <v>581</v>
      </c>
      <c r="H669" s="5">
        <v>1380</v>
      </c>
      <c r="I669" s="6">
        <f t="shared" si="30"/>
        <v>29050</v>
      </c>
      <c r="J669" s="6">
        <f t="shared" si="31"/>
        <v>69000</v>
      </c>
      <c r="K669" s="6">
        <f t="shared" si="32"/>
        <v>39950</v>
      </c>
    </row>
    <row r="670" spans="1:11" ht="15.6" thickTop="1" thickBot="1" x14ac:dyDescent="0.35">
      <c r="A670" s="4">
        <v>45389</v>
      </c>
      <c r="B670" s="5" t="s">
        <v>21</v>
      </c>
      <c r="C670" s="5" t="s">
        <v>22</v>
      </c>
      <c r="D670" s="5" t="s">
        <v>23</v>
      </c>
      <c r="E670" s="5" t="s">
        <v>19</v>
      </c>
      <c r="F670" s="5">
        <v>78</v>
      </c>
      <c r="G670" s="5">
        <v>655</v>
      </c>
      <c r="H670" s="5">
        <v>790</v>
      </c>
      <c r="I670" s="6">
        <f t="shared" si="30"/>
        <v>51090</v>
      </c>
      <c r="J670" s="6">
        <f t="shared" si="31"/>
        <v>61620</v>
      </c>
      <c r="K670" s="6">
        <f t="shared" si="32"/>
        <v>10530</v>
      </c>
    </row>
    <row r="671" spans="1:11" ht="15.6" thickTop="1" thickBot="1" x14ac:dyDescent="0.35">
      <c r="A671" s="4">
        <v>45703</v>
      </c>
      <c r="B671" s="5" t="s">
        <v>21</v>
      </c>
      <c r="C671" s="5" t="s">
        <v>38</v>
      </c>
      <c r="D671" s="5" t="s">
        <v>34</v>
      </c>
      <c r="E671" s="5" t="s">
        <v>14</v>
      </c>
      <c r="F671" s="5">
        <v>78</v>
      </c>
      <c r="G671" s="5">
        <v>964</v>
      </c>
      <c r="H671" s="5">
        <v>1264</v>
      </c>
      <c r="I671" s="6">
        <f t="shared" si="30"/>
        <v>75192</v>
      </c>
      <c r="J671" s="6">
        <f t="shared" si="31"/>
        <v>98592</v>
      </c>
      <c r="K671" s="6">
        <f t="shared" si="32"/>
        <v>23400</v>
      </c>
    </row>
    <row r="672" spans="1:11" ht="15.6" thickTop="1" thickBot="1" x14ac:dyDescent="0.35">
      <c r="A672" s="4">
        <v>45704</v>
      </c>
      <c r="B672" s="5" t="s">
        <v>21</v>
      </c>
      <c r="C672" s="5" t="s">
        <v>38</v>
      </c>
      <c r="D672" s="5" t="s">
        <v>32</v>
      </c>
      <c r="E672" s="5" t="s">
        <v>19</v>
      </c>
      <c r="F672" s="5">
        <v>97</v>
      </c>
      <c r="G672" s="5">
        <v>982</v>
      </c>
      <c r="H672" s="5">
        <v>1243</v>
      </c>
      <c r="I672" s="6">
        <f t="shared" si="30"/>
        <v>95254</v>
      </c>
      <c r="J672" s="6">
        <f t="shared" si="31"/>
        <v>120571</v>
      </c>
      <c r="K672" s="6">
        <f t="shared" si="32"/>
        <v>25317</v>
      </c>
    </row>
    <row r="673" spans="1:11" ht="15.6" thickTop="1" thickBot="1" x14ac:dyDescent="0.35">
      <c r="A673" s="4">
        <v>45705</v>
      </c>
      <c r="B673" s="5" t="s">
        <v>21</v>
      </c>
      <c r="C673" s="5" t="s">
        <v>38</v>
      </c>
      <c r="D673" s="5" t="s">
        <v>25</v>
      </c>
      <c r="E673" s="5" t="s">
        <v>19</v>
      </c>
      <c r="F673" s="5">
        <v>93</v>
      </c>
      <c r="G673" s="5">
        <v>736</v>
      </c>
      <c r="H673" s="5">
        <v>864</v>
      </c>
      <c r="I673" s="6">
        <f t="shared" si="30"/>
        <v>68448</v>
      </c>
      <c r="J673" s="6">
        <f t="shared" si="31"/>
        <v>80352</v>
      </c>
      <c r="K673" s="6">
        <f t="shared" si="32"/>
        <v>11904</v>
      </c>
    </row>
    <row r="674" spans="1:11" ht="15.6" thickTop="1" thickBot="1" x14ac:dyDescent="0.35">
      <c r="A674" s="4">
        <v>45706</v>
      </c>
      <c r="B674" s="5" t="s">
        <v>21</v>
      </c>
      <c r="C674" s="5" t="s">
        <v>38</v>
      </c>
      <c r="D674" s="5" t="s">
        <v>20</v>
      </c>
      <c r="E674" s="5" t="s">
        <v>19</v>
      </c>
      <c r="F674" s="5">
        <v>51</v>
      </c>
      <c r="G674" s="5">
        <v>608</v>
      </c>
      <c r="H674" s="5">
        <v>1179</v>
      </c>
      <c r="I674" s="6">
        <f t="shared" si="30"/>
        <v>31008</v>
      </c>
      <c r="J674" s="6">
        <f t="shared" si="31"/>
        <v>60129</v>
      </c>
      <c r="K674" s="6">
        <f t="shared" si="32"/>
        <v>29121</v>
      </c>
    </row>
    <row r="675" spans="1:11" ht="15.6" thickTop="1" thickBot="1" x14ac:dyDescent="0.35">
      <c r="A675" s="4">
        <v>45707</v>
      </c>
      <c r="B675" s="5" t="s">
        <v>21</v>
      </c>
      <c r="C675" s="5" t="s">
        <v>38</v>
      </c>
      <c r="D675" s="5" t="s">
        <v>39</v>
      </c>
      <c r="E675" s="5" t="s">
        <v>19</v>
      </c>
      <c r="F675" s="5">
        <v>95</v>
      </c>
      <c r="G675" s="5">
        <v>642</v>
      </c>
      <c r="H675" s="5">
        <v>796</v>
      </c>
      <c r="I675" s="6">
        <f t="shared" si="30"/>
        <v>60990</v>
      </c>
      <c r="J675" s="6">
        <f t="shared" si="31"/>
        <v>75620</v>
      </c>
      <c r="K675" s="6">
        <f t="shared" si="32"/>
        <v>14630</v>
      </c>
    </row>
    <row r="676" spans="1:11" ht="15.6" thickTop="1" thickBot="1" x14ac:dyDescent="0.35">
      <c r="A676" s="4">
        <v>45395</v>
      </c>
      <c r="B676" s="5" t="s">
        <v>27</v>
      </c>
      <c r="C676" s="5" t="s">
        <v>28</v>
      </c>
      <c r="D676" s="5" t="s">
        <v>26</v>
      </c>
      <c r="E676" s="5" t="s">
        <v>14</v>
      </c>
      <c r="F676" s="5">
        <v>22</v>
      </c>
      <c r="G676" s="5">
        <v>755</v>
      </c>
      <c r="H676" s="5">
        <v>996</v>
      </c>
      <c r="I676" s="6">
        <f t="shared" si="30"/>
        <v>16610</v>
      </c>
      <c r="J676" s="6">
        <f t="shared" si="31"/>
        <v>21912</v>
      </c>
      <c r="K676" s="6">
        <f t="shared" si="32"/>
        <v>5302</v>
      </c>
    </row>
    <row r="677" spans="1:11" ht="15.6" thickTop="1" thickBot="1" x14ac:dyDescent="0.35">
      <c r="A677" s="4">
        <v>45708</v>
      </c>
      <c r="B677" s="5" t="s">
        <v>21</v>
      </c>
      <c r="C677" s="5" t="s">
        <v>38</v>
      </c>
      <c r="D677" s="5" t="s">
        <v>26</v>
      </c>
      <c r="E677" s="5" t="s">
        <v>14</v>
      </c>
      <c r="F677" s="5">
        <v>90</v>
      </c>
      <c r="G677" s="5">
        <v>713</v>
      </c>
      <c r="H677" s="5">
        <v>1148</v>
      </c>
      <c r="I677" s="6">
        <f t="shared" si="30"/>
        <v>64170</v>
      </c>
      <c r="J677" s="6">
        <f t="shared" si="31"/>
        <v>103320</v>
      </c>
      <c r="K677" s="6">
        <f t="shared" si="32"/>
        <v>39150</v>
      </c>
    </row>
    <row r="678" spans="1:11" ht="15.6" thickTop="1" thickBot="1" x14ac:dyDescent="0.35">
      <c r="A678" s="4">
        <v>45710</v>
      </c>
      <c r="B678" s="5" t="s">
        <v>21</v>
      </c>
      <c r="C678" s="5" t="s">
        <v>38</v>
      </c>
      <c r="D678" s="5" t="s">
        <v>44</v>
      </c>
      <c r="E678" s="5" t="s">
        <v>19</v>
      </c>
      <c r="F678" s="5">
        <v>81</v>
      </c>
      <c r="G678" s="5">
        <v>813</v>
      </c>
      <c r="H678" s="5">
        <v>1428</v>
      </c>
      <c r="I678" s="6">
        <f t="shared" si="30"/>
        <v>65853</v>
      </c>
      <c r="J678" s="6">
        <f t="shared" si="31"/>
        <v>115668</v>
      </c>
      <c r="K678" s="6">
        <f t="shared" si="32"/>
        <v>49815</v>
      </c>
    </row>
    <row r="679" spans="1:11" ht="15.6" thickTop="1" thickBot="1" x14ac:dyDescent="0.35">
      <c r="A679" s="4">
        <v>45711</v>
      </c>
      <c r="B679" s="5" t="s">
        <v>21</v>
      </c>
      <c r="C679" s="5" t="s">
        <v>38</v>
      </c>
      <c r="D679" s="5" t="s">
        <v>13</v>
      </c>
      <c r="E679" s="5" t="s">
        <v>19</v>
      </c>
      <c r="F679" s="5">
        <v>57</v>
      </c>
      <c r="G679" s="5">
        <v>912</v>
      </c>
      <c r="H679" s="5">
        <v>1246</v>
      </c>
      <c r="I679" s="6">
        <f t="shared" si="30"/>
        <v>51984</v>
      </c>
      <c r="J679" s="6">
        <f t="shared" si="31"/>
        <v>71022</v>
      </c>
      <c r="K679" s="6">
        <f t="shared" si="32"/>
        <v>19038</v>
      </c>
    </row>
    <row r="680" spans="1:11" ht="15.6" thickTop="1" thickBot="1" x14ac:dyDescent="0.35">
      <c r="A680" s="4">
        <v>45712</v>
      </c>
      <c r="B680" s="5" t="s">
        <v>21</v>
      </c>
      <c r="C680" s="5" t="s">
        <v>41</v>
      </c>
      <c r="D680" s="5" t="s">
        <v>15</v>
      </c>
      <c r="E680" s="5" t="s">
        <v>19</v>
      </c>
      <c r="F680" s="5">
        <v>61</v>
      </c>
      <c r="G680" s="5">
        <v>565</v>
      </c>
      <c r="H680" s="5">
        <v>1212</v>
      </c>
      <c r="I680" s="6">
        <f t="shared" si="30"/>
        <v>34465</v>
      </c>
      <c r="J680" s="6">
        <f t="shared" si="31"/>
        <v>73932</v>
      </c>
      <c r="K680" s="6">
        <f t="shared" si="32"/>
        <v>39467</v>
      </c>
    </row>
    <row r="681" spans="1:11" ht="15.6" thickTop="1" thickBot="1" x14ac:dyDescent="0.35">
      <c r="A681" s="4">
        <v>45713</v>
      </c>
      <c r="B681" s="5" t="s">
        <v>21</v>
      </c>
      <c r="C681" s="5" t="s">
        <v>46</v>
      </c>
      <c r="D681" s="5" t="s">
        <v>15</v>
      </c>
      <c r="E681" s="5" t="s">
        <v>19</v>
      </c>
      <c r="F681" s="5">
        <v>62</v>
      </c>
      <c r="G681" s="5">
        <v>805</v>
      </c>
      <c r="H681" s="5">
        <v>1163</v>
      </c>
      <c r="I681" s="6">
        <f t="shared" si="30"/>
        <v>49910</v>
      </c>
      <c r="J681" s="6">
        <f t="shared" si="31"/>
        <v>72106</v>
      </c>
      <c r="K681" s="6">
        <f t="shared" si="32"/>
        <v>22196</v>
      </c>
    </row>
    <row r="682" spans="1:11" ht="15.6" thickTop="1" thickBot="1" x14ac:dyDescent="0.35">
      <c r="A682" s="4">
        <v>45387</v>
      </c>
      <c r="B682" s="5" t="s">
        <v>21</v>
      </c>
      <c r="C682" s="5" t="s">
        <v>22</v>
      </c>
      <c r="D682" s="5" t="s">
        <v>36</v>
      </c>
      <c r="E682" s="5" t="s">
        <v>19</v>
      </c>
      <c r="F682" s="5">
        <v>74</v>
      </c>
      <c r="G682" s="5">
        <v>743</v>
      </c>
      <c r="H682" s="5">
        <v>1265</v>
      </c>
      <c r="I682" s="6">
        <f t="shared" si="30"/>
        <v>54982</v>
      </c>
      <c r="J682" s="6">
        <f t="shared" si="31"/>
        <v>93610</v>
      </c>
      <c r="K682" s="6">
        <f t="shared" si="32"/>
        <v>38628</v>
      </c>
    </row>
    <row r="683" spans="1:11" ht="15.6" thickTop="1" thickBot="1" x14ac:dyDescent="0.35">
      <c r="A683" s="4">
        <v>45388</v>
      </c>
      <c r="B683" s="5" t="s">
        <v>21</v>
      </c>
      <c r="C683" s="5" t="s">
        <v>22</v>
      </c>
      <c r="D683" s="5" t="s">
        <v>37</v>
      </c>
      <c r="E683" s="5" t="s">
        <v>19</v>
      </c>
      <c r="F683" s="5">
        <v>83</v>
      </c>
      <c r="G683" s="5">
        <v>594</v>
      </c>
      <c r="H683" s="5">
        <v>852</v>
      </c>
      <c r="I683" s="6">
        <f t="shared" si="30"/>
        <v>49302</v>
      </c>
      <c r="J683" s="6">
        <f t="shared" si="31"/>
        <v>70716</v>
      </c>
      <c r="K683" s="6">
        <f t="shared" si="32"/>
        <v>21414</v>
      </c>
    </row>
    <row r="684" spans="1:11" ht="15.6" thickTop="1" thickBot="1" x14ac:dyDescent="0.35">
      <c r="A684" s="4">
        <v>45390</v>
      </c>
      <c r="B684" s="5" t="s">
        <v>21</v>
      </c>
      <c r="C684" s="5" t="s">
        <v>22</v>
      </c>
      <c r="D684" s="5" t="s">
        <v>26</v>
      </c>
      <c r="E684" s="5" t="s">
        <v>19</v>
      </c>
      <c r="F684" s="5">
        <v>70</v>
      </c>
      <c r="G684" s="5">
        <v>878</v>
      </c>
      <c r="H684" s="5">
        <v>844</v>
      </c>
      <c r="I684" s="6">
        <f t="shared" si="30"/>
        <v>61460</v>
      </c>
      <c r="J684" s="6">
        <f t="shared" si="31"/>
        <v>59080</v>
      </c>
      <c r="K684" s="6">
        <f t="shared" si="32"/>
        <v>-2380</v>
      </c>
    </row>
    <row r="685" spans="1:11" ht="15.6" thickTop="1" thickBot="1" x14ac:dyDescent="0.35">
      <c r="A685" s="4">
        <v>45397</v>
      </c>
      <c r="B685" s="5" t="s">
        <v>21</v>
      </c>
      <c r="C685" s="5" t="s">
        <v>45</v>
      </c>
      <c r="D685" s="5" t="s">
        <v>26</v>
      </c>
      <c r="E685" s="5" t="s">
        <v>14</v>
      </c>
      <c r="F685" s="5">
        <v>57</v>
      </c>
      <c r="G685" s="5">
        <v>724</v>
      </c>
      <c r="H685" s="5">
        <v>839</v>
      </c>
      <c r="I685" s="6">
        <f t="shared" si="30"/>
        <v>41268</v>
      </c>
      <c r="J685" s="6">
        <f t="shared" si="31"/>
        <v>47823</v>
      </c>
      <c r="K685" s="6">
        <f t="shared" si="32"/>
        <v>6555</v>
      </c>
    </row>
    <row r="686" spans="1:11" ht="15.6" thickTop="1" thickBot="1" x14ac:dyDescent="0.35">
      <c r="A686" s="4">
        <v>45405</v>
      </c>
      <c r="B686" s="5" t="s">
        <v>27</v>
      </c>
      <c r="C686" s="5" t="s">
        <v>33</v>
      </c>
      <c r="D686" s="5" t="s">
        <v>34</v>
      </c>
      <c r="E686" s="5" t="s">
        <v>19</v>
      </c>
      <c r="F686" s="5">
        <v>23</v>
      </c>
      <c r="G686" s="5">
        <v>627</v>
      </c>
      <c r="H686" s="5">
        <v>855</v>
      </c>
      <c r="I686" s="6">
        <f t="shared" si="30"/>
        <v>14421</v>
      </c>
      <c r="J686" s="6">
        <f t="shared" si="31"/>
        <v>19665</v>
      </c>
      <c r="K686" s="6">
        <f t="shared" si="32"/>
        <v>5244</v>
      </c>
    </row>
    <row r="687" spans="1:11" ht="15.6" thickTop="1" thickBot="1" x14ac:dyDescent="0.35">
      <c r="A687" s="4">
        <v>45398</v>
      </c>
      <c r="B687" s="5" t="s">
        <v>21</v>
      </c>
      <c r="C687" s="5" t="s">
        <v>45</v>
      </c>
      <c r="D687" s="5" t="s">
        <v>29</v>
      </c>
      <c r="E687" s="5" t="s">
        <v>14</v>
      </c>
      <c r="F687" s="5">
        <v>50</v>
      </c>
      <c r="G687" s="5">
        <v>537</v>
      </c>
      <c r="H687" s="5">
        <v>1172</v>
      </c>
      <c r="I687" s="6">
        <f t="shared" si="30"/>
        <v>26850</v>
      </c>
      <c r="J687" s="6">
        <f t="shared" si="31"/>
        <v>58600</v>
      </c>
      <c r="K687" s="6">
        <f t="shared" si="32"/>
        <v>31750</v>
      </c>
    </row>
    <row r="688" spans="1:11" ht="15.6" thickTop="1" thickBot="1" x14ac:dyDescent="0.35">
      <c r="A688" s="4">
        <v>45407</v>
      </c>
      <c r="B688" s="5" t="s">
        <v>27</v>
      </c>
      <c r="C688" s="5" t="s">
        <v>33</v>
      </c>
      <c r="D688" s="5" t="s">
        <v>32</v>
      </c>
      <c r="E688" s="5" t="s">
        <v>14</v>
      </c>
      <c r="F688" s="5">
        <v>23</v>
      </c>
      <c r="G688" s="5">
        <v>938</v>
      </c>
      <c r="H688" s="5">
        <v>1336</v>
      </c>
      <c r="I688" s="6">
        <f t="shared" si="30"/>
        <v>21574</v>
      </c>
      <c r="J688" s="6">
        <f t="shared" si="31"/>
        <v>30728</v>
      </c>
      <c r="K688" s="6">
        <f t="shared" si="32"/>
        <v>9154</v>
      </c>
    </row>
    <row r="689" spans="1:11" ht="15.6" thickTop="1" thickBot="1" x14ac:dyDescent="0.35">
      <c r="A689" s="4">
        <v>45399</v>
      </c>
      <c r="B689" s="5" t="s">
        <v>21</v>
      </c>
      <c r="C689" s="5" t="s">
        <v>45</v>
      </c>
      <c r="D689" s="5" t="s">
        <v>18</v>
      </c>
      <c r="E689" s="5" t="s">
        <v>14</v>
      </c>
      <c r="F689" s="5">
        <v>67</v>
      </c>
      <c r="G689" s="5">
        <v>989</v>
      </c>
      <c r="H689" s="5">
        <v>956</v>
      </c>
      <c r="I689" s="6">
        <f t="shared" si="30"/>
        <v>66263</v>
      </c>
      <c r="J689" s="6">
        <f t="shared" si="31"/>
        <v>64052</v>
      </c>
      <c r="K689" s="6">
        <f t="shared" si="32"/>
        <v>-2211</v>
      </c>
    </row>
    <row r="690" spans="1:11" ht="15.6" thickTop="1" thickBot="1" x14ac:dyDescent="0.35">
      <c r="A690" s="4">
        <v>45400</v>
      </c>
      <c r="B690" s="5" t="s">
        <v>21</v>
      </c>
      <c r="C690" s="5" t="s">
        <v>45</v>
      </c>
      <c r="D690" s="5" t="s">
        <v>30</v>
      </c>
      <c r="E690" s="5" t="s">
        <v>14</v>
      </c>
      <c r="F690" s="5">
        <v>83</v>
      </c>
      <c r="G690" s="5">
        <v>917</v>
      </c>
      <c r="H690" s="5">
        <v>989</v>
      </c>
      <c r="I690" s="6">
        <f t="shared" si="30"/>
        <v>76111</v>
      </c>
      <c r="J690" s="6">
        <f t="shared" si="31"/>
        <v>82087</v>
      </c>
      <c r="K690" s="6">
        <f t="shared" si="32"/>
        <v>5976</v>
      </c>
    </row>
    <row r="691" spans="1:11" ht="15.6" thickTop="1" thickBot="1" x14ac:dyDescent="0.35">
      <c r="A691" s="4">
        <v>45401</v>
      </c>
      <c r="B691" s="5" t="s">
        <v>21</v>
      </c>
      <c r="C691" s="5" t="s">
        <v>45</v>
      </c>
      <c r="D691" s="5" t="s">
        <v>31</v>
      </c>
      <c r="E691" s="5" t="s">
        <v>14</v>
      </c>
      <c r="F691" s="5">
        <v>74</v>
      </c>
      <c r="G691" s="5">
        <v>645</v>
      </c>
      <c r="H691" s="5">
        <v>879</v>
      </c>
      <c r="I691" s="6">
        <f t="shared" si="30"/>
        <v>47730</v>
      </c>
      <c r="J691" s="6">
        <f t="shared" si="31"/>
        <v>65046</v>
      </c>
      <c r="K691" s="6">
        <f t="shared" si="32"/>
        <v>17316</v>
      </c>
    </row>
    <row r="692" spans="1:11" ht="15.6" thickTop="1" thickBot="1" x14ac:dyDescent="0.35">
      <c r="A692" s="4">
        <v>45402</v>
      </c>
      <c r="B692" s="5" t="s">
        <v>21</v>
      </c>
      <c r="C692" s="5" t="s">
        <v>45</v>
      </c>
      <c r="D692" s="5" t="s">
        <v>23</v>
      </c>
      <c r="E692" s="5" t="s">
        <v>19</v>
      </c>
      <c r="F692" s="5">
        <v>76</v>
      </c>
      <c r="G692" s="5">
        <v>943</v>
      </c>
      <c r="H692" s="5">
        <v>1394</v>
      </c>
      <c r="I692" s="6">
        <f t="shared" si="30"/>
        <v>71668</v>
      </c>
      <c r="J692" s="6">
        <f t="shared" si="31"/>
        <v>105944</v>
      </c>
      <c r="K692" s="6">
        <f t="shared" si="32"/>
        <v>34276</v>
      </c>
    </row>
    <row r="693" spans="1:11" ht="15.6" thickTop="1" thickBot="1" x14ac:dyDescent="0.35">
      <c r="A693" s="4">
        <v>45403</v>
      </c>
      <c r="B693" s="5" t="s">
        <v>21</v>
      </c>
      <c r="C693" s="5" t="s">
        <v>45</v>
      </c>
      <c r="D693" s="5" t="s">
        <v>25</v>
      </c>
      <c r="E693" s="5" t="s">
        <v>19</v>
      </c>
      <c r="F693" s="5">
        <v>85</v>
      </c>
      <c r="G693" s="5">
        <v>505</v>
      </c>
      <c r="H693" s="5">
        <v>1435</v>
      </c>
      <c r="I693" s="6">
        <f t="shared" si="30"/>
        <v>42925</v>
      </c>
      <c r="J693" s="6">
        <f t="shared" si="31"/>
        <v>121975</v>
      </c>
      <c r="K693" s="6">
        <f t="shared" si="32"/>
        <v>79050</v>
      </c>
    </row>
    <row r="694" spans="1:11" ht="15.6" thickTop="1" thickBot="1" x14ac:dyDescent="0.35">
      <c r="A694" s="4">
        <v>45431</v>
      </c>
      <c r="B694" s="5" t="s">
        <v>21</v>
      </c>
      <c r="C694" s="5" t="s">
        <v>38</v>
      </c>
      <c r="D694" s="5" t="s">
        <v>32</v>
      </c>
      <c r="E694" s="5" t="s">
        <v>19</v>
      </c>
      <c r="F694" s="5">
        <v>82</v>
      </c>
      <c r="G694" s="5">
        <v>928</v>
      </c>
      <c r="H694" s="5">
        <v>1428</v>
      </c>
      <c r="I694" s="6">
        <f t="shared" si="30"/>
        <v>76096</v>
      </c>
      <c r="J694" s="6">
        <f t="shared" si="31"/>
        <v>117096</v>
      </c>
      <c r="K694" s="6">
        <f t="shared" si="32"/>
        <v>41000</v>
      </c>
    </row>
    <row r="695" spans="1:11" ht="15.6" thickTop="1" thickBot="1" x14ac:dyDescent="0.35">
      <c r="A695" s="4">
        <v>45433</v>
      </c>
      <c r="B695" s="5" t="s">
        <v>21</v>
      </c>
      <c r="C695" s="5" t="s">
        <v>38</v>
      </c>
      <c r="D695" s="5" t="s">
        <v>25</v>
      </c>
      <c r="E695" s="5" t="s">
        <v>14</v>
      </c>
      <c r="F695" s="5">
        <v>72</v>
      </c>
      <c r="G695" s="5">
        <v>605</v>
      </c>
      <c r="H695" s="5">
        <v>1081</v>
      </c>
      <c r="I695" s="6">
        <f t="shared" si="30"/>
        <v>43560</v>
      </c>
      <c r="J695" s="6">
        <f t="shared" si="31"/>
        <v>77832</v>
      </c>
      <c r="K695" s="6">
        <f t="shared" si="32"/>
        <v>34272</v>
      </c>
    </row>
    <row r="696" spans="1:11" ht="15.6" thickTop="1" thickBot="1" x14ac:dyDescent="0.35">
      <c r="A696" s="4">
        <v>45434</v>
      </c>
      <c r="B696" s="5" t="s">
        <v>21</v>
      </c>
      <c r="C696" s="5" t="s">
        <v>38</v>
      </c>
      <c r="D696" s="5" t="s">
        <v>25</v>
      </c>
      <c r="E696" s="5" t="s">
        <v>14</v>
      </c>
      <c r="F696" s="5">
        <v>82</v>
      </c>
      <c r="G696" s="5">
        <v>993</v>
      </c>
      <c r="H696" s="5">
        <v>823</v>
      </c>
      <c r="I696" s="6">
        <f t="shared" si="30"/>
        <v>81426</v>
      </c>
      <c r="J696" s="6">
        <f t="shared" si="31"/>
        <v>67486</v>
      </c>
      <c r="K696" s="6">
        <f t="shared" si="32"/>
        <v>-13940</v>
      </c>
    </row>
    <row r="697" spans="1:11" ht="15.6" thickTop="1" thickBot="1" x14ac:dyDescent="0.35">
      <c r="A697" s="4">
        <v>45435</v>
      </c>
      <c r="B697" s="5" t="s">
        <v>21</v>
      </c>
      <c r="C697" s="5" t="s">
        <v>38</v>
      </c>
      <c r="D697" s="5" t="s">
        <v>26</v>
      </c>
      <c r="E697" s="5" t="s">
        <v>14</v>
      </c>
      <c r="F697" s="5">
        <v>53</v>
      </c>
      <c r="G697" s="5">
        <v>803</v>
      </c>
      <c r="H697" s="5">
        <v>1335</v>
      </c>
      <c r="I697" s="6">
        <f t="shared" si="30"/>
        <v>42559</v>
      </c>
      <c r="J697" s="6">
        <f t="shared" si="31"/>
        <v>70755</v>
      </c>
      <c r="K697" s="6">
        <f t="shared" si="32"/>
        <v>28196</v>
      </c>
    </row>
    <row r="698" spans="1:11" ht="15.6" thickTop="1" thickBot="1" x14ac:dyDescent="0.35">
      <c r="A698" s="4">
        <v>45436</v>
      </c>
      <c r="B698" s="5" t="s">
        <v>21</v>
      </c>
      <c r="C698" s="5" t="s">
        <v>38</v>
      </c>
      <c r="D698" s="5" t="s">
        <v>18</v>
      </c>
      <c r="E698" s="5" t="s">
        <v>14</v>
      </c>
      <c r="F698" s="5">
        <v>87</v>
      </c>
      <c r="G698" s="5">
        <v>742</v>
      </c>
      <c r="H698" s="5">
        <v>856</v>
      </c>
      <c r="I698" s="6">
        <f t="shared" si="30"/>
        <v>64554</v>
      </c>
      <c r="J698" s="6">
        <f t="shared" si="31"/>
        <v>74472</v>
      </c>
      <c r="K698" s="6">
        <f t="shared" si="32"/>
        <v>9918</v>
      </c>
    </row>
    <row r="699" spans="1:11" ht="15.6" thickTop="1" thickBot="1" x14ac:dyDescent="0.35">
      <c r="A699" s="4">
        <v>45437</v>
      </c>
      <c r="B699" s="5" t="s">
        <v>21</v>
      </c>
      <c r="C699" s="5" t="s">
        <v>38</v>
      </c>
      <c r="D699" s="5" t="s">
        <v>26</v>
      </c>
      <c r="E699" s="5" t="s">
        <v>14</v>
      </c>
      <c r="F699" s="5">
        <v>70</v>
      </c>
      <c r="G699" s="5">
        <v>605</v>
      </c>
      <c r="H699" s="5">
        <v>1489</v>
      </c>
      <c r="I699" s="6">
        <f t="shared" si="30"/>
        <v>42350</v>
      </c>
      <c r="J699" s="6">
        <f t="shared" si="31"/>
        <v>104230</v>
      </c>
      <c r="K699" s="6">
        <f t="shared" si="32"/>
        <v>61880</v>
      </c>
    </row>
    <row r="700" spans="1:11" ht="15.6" thickTop="1" thickBot="1" x14ac:dyDescent="0.35">
      <c r="A700" s="4">
        <v>45438</v>
      </c>
      <c r="B700" s="5" t="s">
        <v>21</v>
      </c>
      <c r="C700" s="5" t="s">
        <v>38</v>
      </c>
      <c r="D700" s="5" t="s">
        <v>29</v>
      </c>
      <c r="E700" s="5" t="s">
        <v>14</v>
      </c>
      <c r="F700" s="5">
        <v>94</v>
      </c>
      <c r="G700" s="5">
        <v>754</v>
      </c>
      <c r="H700" s="5">
        <v>1354</v>
      </c>
      <c r="I700" s="6">
        <f t="shared" si="30"/>
        <v>70876</v>
      </c>
      <c r="J700" s="6">
        <f t="shared" si="31"/>
        <v>127276</v>
      </c>
      <c r="K700" s="6">
        <f t="shared" si="32"/>
        <v>56400</v>
      </c>
    </row>
    <row r="701" spans="1:11" ht="15.6" thickTop="1" thickBot="1" x14ac:dyDescent="0.35">
      <c r="A701" s="4">
        <v>45439</v>
      </c>
      <c r="B701" s="5" t="s">
        <v>21</v>
      </c>
      <c r="C701" s="5" t="s">
        <v>38</v>
      </c>
      <c r="D701" s="5" t="s">
        <v>18</v>
      </c>
      <c r="E701" s="5" t="s">
        <v>14</v>
      </c>
      <c r="F701" s="5">
        <v>80</v>
      </c>
      <c r="G701" s="5">
        <v>622</v>
      </c>
      <c r="H701" s="5">
        <v>1168</v>
      </c>
      <c r="I701" s="6">
        <f t="shared" si="30"/>
        <v>49760</v>
      </c>
      <c r="J701" s="6">
        <f t="shared" si="31"/>
        <v>93440</v>
      </c>
      <c r="K701" s="6">
        <f t="shared" si="32"/>
        <v>43680</v>
      </c>
    </row>
    <row r="702" spans="1:11" ht="15.6" thickTop="1" thickBot="1" x14ac:dyDescent="0.35">
      <c r="A702" s="4">
        <v>45440</v>
      </c>
      <c r="B702" s="5" t="s">
        <v>21</v>
      </c>
      <c r="C702" s="5" t="s">
        <v>38</v>
      </c>
      <c r="D702" s="5" t="s">
        <v>30</v>
      </c>
      <c r="E702" s="5" t="s">
        <v>19</v>
      </c>
      <c r="F702" s="5">
        <v>88</v>
      </c>
      <c r="G702" s="5">
        <v>625</v>
      </c>
      <c r="H702" s="5">
        <v>1324</v>
      </c>
      <c r="I702" s="6">
        <f t="shared" si="30"/>
        <v>55000</v>
      </c>
      <c r="J702" s="6">
        <f t="shared" si="31"/>
        <v>116512</v>
      </c>
      <c r="K702" s="6">
        <f t="shared" si="32"/>
        <v>61512</v>
      </c>
    </row>
    <row r="703" spans="1:11" ht="15.6" thickTop="1" thickBot="1" x14ac:dyDescent="0.35">
      <c r="A703" s="4">
        <v>45442</v>
      </c>
      <c r="B703" s="5" t="s">
        <v>21</v>
      </c>
      <c r="C703" s="5" t="s">
        <v>38</v>
      </c>
      <c r="D703" s="5" t="s">
        <v>23</v>
      </c>
      <c r="E703" s="5" t="s">
        <v>19</v>
      </c>
      <c r="F703" s="5">
        <v>67</v>
      </c>
      <c r="G703" s="5">
        <v>760</v>
      </c>
      <c r="H703" s="5">
        <v>1006</v>
      </c>
      <c r="I703" s="6">
        <f t="shared" si="30"/>
        <v>50920</v>
      </c>
      <c r="J703" s="6">
        <f t="shared" si="31"/>
        <v>67402</v>
      </c>
      <c r="K703" s="6">
        <f t="shared" si="32"/>
        <v>16482</v>
      </c>
    </row>
    <row r="704" spans="1:11" ht="15.6" thickTop="1" thickBot="1" x14ac:dyDescent="0.35">
      <c r="A704" s="4">
        <v>45443</v>
      </c>
      <c r="B704" s="5" t="s">
        <v>21</v>
      </c>
      <c r="C704" s="5" t="s">
        <v>41</v>
      </c>
      <c r="D704" s="5" t="s">
        <v>25</v>
      </c>
      <c r="E704" s="5" t="s">
        <v>19</v>
      </c>
      <c r="F704" s="5">
        <v>75</v>
      </c>
      <c r="G704" s="5">
        <v>966</v>
      </c>
      <c r="H704" s="5">
        <v>1355</v>
      </c>
      <c r="I704" s="6">
        <f t="shared" si="30"/>
        <v>72450</v>
      </c>
      <c r="J704" s="6">
        <f t="shared" si="31"/>
        <v>101625</v>
      </c>
      <c r="K704" s="6">
        <f t="shared" si="32"/>
        <v>29175</v>
      </c>
    </row>
    <row r="705" spans="1:11" ht="15.6" thickTop="1" thickBot="1" x14ac:dyDescent="0.35">
      <c r="A705" s="4">
        <v>45444</v>
      </c>
      <c r="B705" s="5" t="s">
        <v>21</v>
      </c>
      <c r="C705" s="5" t="s">
        <v>41</v>
      </c>
      <c r="D705" s="5" t="s">
        <v>25</v>
      </c>
      <c r="E705" s="5" t="s">
        <v>14</v>
      </c>
      <c r="F705" s="5">
        <v>51</v>
      </c>
      <c r="G705" s="5">
        <v>749</v>
      </c>
      <c r="H705" s="5">
        <v>1060</v>
      </c>
      <c r="I705" s="6">
        <f t="shared" si="30"/>
        <v>38199</v>
      </c>
      <c r="J705" s="6">
        <f t="shared" si="31"/>
        <v>54060</v>
      </c>
      <c r="K705" s="6">
        <f t="shared" si="32"/>
        <v>15861</v>
      </c>
    </row>
    <row r="706" spans="1:11" ht="15.6" thickTop="1" thickBot="1" x14ac:dyDescent="0.35">
      <c r="A706" s="4">
        <v>45445</v>
      </c>
      <c r="B706" s="5" t="s">
        <v>21</v>
      </c>
      <c r="C706" s="5" t="s">
        <v>41</v>
      </c>
      <c r="D706" s="5" t="s">
        <v>34</v>
      </c>
      <c r="E706" s="5" t="s">
        <v>19</v>
      </c>
      <c r="F706" s="5">
        <v>94</v>
      </c>
      <c r="G706" s="5">
        <v>721</v>
      </c>
      <c r="H706" s="5">
        <v>996</v>
      </c>
      <c r="I706" s="6">
        <f t="shared" ref="I706:I769" si="33">F706*G706</f>
        <v>67774</v>
      </c>
      <c r="J706" s="6">
        <f t="shared" ref="J706:J769" si="34">F706*H706</f>
        <v>93624</v>
      </c>
      <c r="K706" s="6">
        <f t="shared" ref="K706:K769" si="35">J706-I706</f>
        <v>25850</v>
      </c>
    </row>
    <row r="707" spans="1:11" ht="15.6" thickTop="1" thickBot="1" x14ac:dyDescent="0.35">
      <c r="A707" s="4">
        <v>45446</v>
      </c>
      <c r="B707" s="5" t="s">
        <v>21</v>
      </c>
      <c r="C707" s="5" t="s">
        <v>41</v>
      </c>
      <c r="D707" s="5" t="s">
        <v>34</v>
      </c>
      <c r="E707" s="5" t="s">
        <v>19</v>
      </c>
      <c r="F707" s="5">
        <v>71</v>
      </c>
      <c r="G707" s="5">
        <v>869</v>
      </c>
      <c r="H707" s="5">
        <v>753</v>
      </c>
      <c r="I707" s="6">
        <f t="shared" si="33"/>
        <v>61699</v>
      </c>
      <c r="J707" s="6">
        <f t="shared" si="34"/>
        <v>53463</v>
      </c>
      <c r="K707" s="6">
        <f t="shared" si="35"/>
        <v>-8236</v>
      </c>
    </row>
    <row r="708" spans="1:11" ht="15.6" thickTop="1" thickBot="1" x14ac:dyDescent="0.35">
      <c r="A708" s="4">
        <v>45447</v>
      </c>
      <c r="B708" s="5" t="s">
        <v>21</v>
      </c>
      <c r="C708" s="5" t="s">
        <v>41</v>
      </c>
      <c r="D708" s="5" t="s">
        <v>32</v>
      </c>
      <c r="E708" s="5" t="s">
        <v>19</v>
      </c>
      <c r="F708" s="5">
        <v>52</v>
      </c>
      <c r="G708" s="5">
        <v>550</v>
      </c>
      <c r="H708" s="5">
        <v>869</v>
      </c>
      <c r="I708" s="6">
        <f t="shared" si="33"/>
        <v>28600</v>
      </c>
      <c r="J708" s="6">
        <f t="shared" si="34"/>
        <v>45188</v>
      </c>
      <c r="K708" s="6">
        <f t="shared" si="35"/>
        <v>16588</v>
      </c>
    </row>
    <row r="709" spans="1:11" ht="15.6" thickTop="1" thickBot="1" x14ac:dyDescent="0.35">
      <c r="A709" s="4">
        <v>45448</v>
      </c>
      <c r="B709" s="5" t="s">
        <v>21</v>
      </c>
      <c r="C709" s="5" t="s">
        <v>41</v>
      </c>
      <c r="D709" s="5" t="s">
        <v>25</v>
      </c>
      <c r="E709" s="5" t="s">
        <v>19</v>
      </c>
      <c r="F709" s="5">
        <v>77</v>
      </c>
      <c r="G709" s="5">
        <v>513</v>
      </c>
      <c r="H709" s="5">
        <v>871</v>
      </c>
      <c r="I709" s="6">
        <f t="shared" si="33"/>
        <v>39501</v>
      </c>
      <c r="J709" s="6">
        <f t="shared" si="34"/>
        <v>67067</v>
      </c>
      <c r="K709" s="6">
        <f t="shared" si="35"/>
        <v>27566</v>
      </c>
    </row>
    <row r="710" spans="1:11" ht="15.6" thickTop="1" thickBot="1" x14ac:dyDescent="0.35">
      <c r="A710" s="4">
        <v>45449</v>
      </c>
      <c r="B710" s="5" t="s">
        <v>21</v>
      </c>
      <c r="C710" s="5" t="s">
        <v>41</v>
      </c>
      <c r="D710" s="5" t="s">
        <v>20</v>
      </c>
      <c r="E710" s="5" t="s">
        <v>14</v>
      </c>
      <c r="F710" s="5">
        <v>84</v>
      </c>
      <c r="G710" s="5">
        <v>739</v>
      </c>
      <c r="H710" s="5">
        <v>1161</v>
      </c>
      <c r="I710" s="6">
        <f t="shared" si="33"/>
        <v>62076</v>
      </c>
      <c r="J710" s="6">
        <f t="shared" si="34"/>
        <v>97524</v>
      </c>
      <c r="K710" s="6">
        <f t="shared" si="35"/>
        <v>35448</v>
      </c>
    </row>
    <row r="711" spans="1:11" ht="15.6" thickTop="1" thickBot="1" x14ac:dyDescent="0.35">
      <c r="A711" s="4">
        <v>45450</v>
      </c>
      <c r="B711" s="5" t="s">
        <v>21</v>
      </c>
      <c r="C711" s="5" t="s">
        <v>41</v>
      </c>
      <c r="D711" s="5" t="s">
        <v>39</v>
      </c>
      <c r="E711" s="5" t="s">
        <v>14</v>
      </c>
      <c r="F711" s="5">
        <v>71</v>
      </c>
      <c r="G711" s="5">
        <v>923</v>
      </c>
      <c r="H711" s="5">
        <v>996</v>
      </c>
      <c r="I711" s="6">
        <f t="shared" si="33"/>
        <v>65533</v>
      </c>
      <c r="J711" s="6">
        <f t="shared" si="34"/>
        <v>70716</v>
      </c>
      <c r="K711" s="6">
        <f t="shared" si="35"/>
        <v>5183</v>
      </c>
    </row>
    <row r="712" spans="1:11" ht="15.6" thickTop="1" thickBot="1" x14ac:dyDescent="0.35">
      <c r="A712" s="4">
        <v>45451</v>
      </c>
      <c r="B712" s="5" t="s">
        <v>21</v>
      </c>
      <c r="C712" s="5" t="s">
        <v>41</v>
      </c>
      <c r="D712" s="5" t="s">
        <v>26</v>
      </c>
      <c r="E712" s="5" t="s">
        <v>14</v>
      </c>
      <c r="F712" s="5">
        <v>59</v>
      </c>
      <c r="G712" s="5">
        <v>862</v>
      </c>
      <c r="H712" s="5">
        <v>1233</v>
      </c>
      <c r="I712" s="6">
        <f t="shared" si="33"/>
        <v>50858</v>
      </c>
      <c r="J712" s="6">
        <f t="shared" si="34"/>
        <v>72747</v>
      </c>
      <c r="K712" s="6">
        <f t="shared" si="35"/>
        <v>21889</v>
      </c>
    </row>
    <row r="713" spans="1:11" ht="15.6" thickTop="1" thickBot="1" x14ac:dyDescent="0.35">
      <c r="A713" s="4">
        <v>45432</v>
      </c>
      <c r="B713" s="5" t="s">
        <v>21</v>
      </c>
      <c r="C713" s="5" t="s">
        <v>38</v>
      </c>
      <c r="D713" s="5" t="s">
        <v>23</v>
      </c>
      <c r="E713" s="5" t="s">
        <v>19</v>
      </c>
      <c r="F713" s="5">
        <v>90</v>
      </c>
      <c r="G713" s="5">
        <v>718</v>
      </c>
      <c r="H713" s="5">
        <v>1353</v>
      </c>
      <c r="I713" s="6">
        <f t="shared" si="33"/>
        <v>64620</v>
      </c>
      <c r="J713" s="6">
        <f t="shared" si="34"/>
        <v>121770</v>
      </c>
      <c r="K713" s="6">
        <f t="shared" si="35"/>
        <v>57150</v>
      </c>
    </row>
    <row r="714" spans="1:11" ht="15.6" thickTop="1" thickBot="1" x14ac:dyDescent="0.35">
      <c r="A714" s="4">
        <v>45452</v>
      </c>
      <c r="B714" s="5" t="s">
        <v>21</v>
      </c>
      <c r="C714" s="5" t="s">
        <v>41</v>
      </c>
      <c r="D714" s="5" t="s">
        <v>43</v>
      </c>
      <c r="E714" s="5" t="s">
        <v>14</v>
      </c>
      <c r="F714" s="5">
        <v>77</v>
      </c>
      <c r="G714" s="5">
        <v>882</v>
      </c>
      <c r="H714" s="5">
        <v>914</v>
      </c>
      <c r="I714" s="6">
        <f t="shared" si="33"/>
        <v>67914</v>
      </c>
      <c r="J714" s="6">
        <f t="shared" si="34"/>
        <v>70378</v>
      </c>
      <c r="K714" s="6">
        <f t="shared" si="35"/>
        <v>2464</v>
      </c>
    </row>
    <row r="715" spans="1:11" ht="15.6" thickTop="1" thickBot="1" x14ac:dyDescent="0.35">
      <c r="A715" s="4">
        <v>45453</v>
      </c>
      <c r="B715" s="5" t="s">
        <v>21</v>
      </c>
      <c r="C715" s="5" t="s">
        <v>41</v>
      </c>
      <c r="D715" s="5" t="s">
        <v>44</v>
      </c>
      <c r="E715" s="5" t="s">
        <v>14</v>
      </c>
      <c r="F715" s="5">
        <v>90</v>
      </c>
      <c r="G715" s="5">
        <v>862</v>
      </c>
      <c r="H715" s="5">
        <v>902</v>
      </c>
      <c r="I715" s="6">
        <f t="shared" si="33"/>
        <v>77580</v>
      </c>
      <c r="J715" s="6">
        <f t="shared" si="34"/>
        <v>81180</v>
      </c>
      <c r="K715" s="6">
        <f t="shared" si="35"/>
        <v>3600</v>
      </c>
    </row>
    <row r="716" spans="1:11" ht="15.6" thickTop="1" thickBot="1" x14ac:dyDescent="0.35">
      <c r="A716" s="4">
        <v>45461</v>
      </c>
      <c r="B716" s="5" t="s">
        <v>21</v>
      </c>
      <c r="C716" s="5" t="s">
        <v>38</v>
      </c>
      <c r="D716" s="5" t="s">
        <v>17</v>
      </c>
      <c r="E716" s="5" t="s">
        <v>19</v>
      </c>
      <c r="F716" s="5">
        <v>73</v>
      </c>
      <c r="G716" s="5">
        <v>541</v>
      </c>
      <c r="H716" s="5">
        <v>1114</v>
      </c>
      <c r="I716" s="6">
        <f t="shared" si="33"/>
        <v>39493</v>
      </c>
      <c r="J716" s="6">
        <f t="shared" si="34"/>
        <v>81322</v>
      </c>
      <c r="K716" s="6">
        <f t="shared" si="35"/>
        <v>41829</v>
      </c>
    </row>
    <row r="717" spans="1:11" ht="15.6" thickTop="1" thickBot="1" x14ac:dyDescent="0.35">
      <c r="A717" s="4">
        <v>45462</v>
      </c>
      <c r="B717" s="5" t="s">
        <v>21</v>
      </c>
      <c r="C717" s="5" t="s">
        <v>38</v>
      </c>
      <c r="D717" s="5" t="s">
        <v>36</v>
      </c>
      <c r="E717" s="5" t="s">
        <v>19</v>
      </c>
      <c r="F717" s="5">
        <v>94</v>
      </c>
      <c r="G717" s="5">
        <v>772</v>
      </c>
      <c r="H717" s="5">
        <v>1390</v>
      </c>
      <c r="I717" s="6">
        <f t="shared" si="33"/>
        <v>72568</v>
      </c>
      <c r="J717" s="6">
        <f t="shared" si="34"/>
        <v>130660</v>
      </c>
      <c r="K717" s="6">
        <f t="shared" si="35"/>
        <v>58092</v>
      </c>
    </row>
    <row r="718" spans="1:11" ht="15.6" thickTop="1" thickBot="1" x14ac:dyDescent="0.35">
      <c r="A718" s="4">
        <v>45463</v>
      </c>
      <c r="B718" s="5" t="s">
        <v>21</v>
      </c>
      <c r="C718" s="5" t="s">
        <v>38</v>
      </c>
      <c r="D718" s="5" t="s">
        <v>35</v>
      </c>
      <c r="E718" s="5" t="s">
        <v>19</v>
      </c>
      <c r="F718" s="5">
        <v>66</v>
      </c>
      <c r="G718" s="5">
        <v>771</v>
      </c>
      <c r="H718" s="5">
        <v>1419</v>
      </c>
      <c r="I718" s="6">
        <f t="shared" si="33"/>
        <v>50886</v>
      </c>
      <c r="J718" s="6">
        <f t="shared" si="34"/>
        <v>93654</v>
      </c>
      <c r="K718" s="6">
        <f t="shared" si="35"/>
        <v>42768</v>
      </c>
    </row>
    <row r="719" spans="1:11" ht="15.6" thickTop="1" thickBot="1" x14ac:dyDescent="0.35">
      <c r="A719" s="4">
        <v>45465</v>
      </c>
      <c r="B719" s="5" t="s">
        <v>21</v>
      </c>
      <c r="C719" s="5" t="s">
        <v>38</v>
      </c>
      <c r="D719" s="5" t="s">
        <v>17</v>
      </c>
      <c r="E719" s="5" t="s">
        <v>14</v>
      </c>
      <c r="F719" s="5">
        <v>65</v>
      </c>
      <c r="G719" s="5">
        <v>762</v>
      </c>
      <c r="H719" s="5">
        <v>1394</v>
      </c>
      <c r="I719" s="6">
        <f t="shared" si="33"/>
        <v>49530</v>
      </c>
      <c r="J719" s="6">
        <f t="shared" si="34"/>
        <v>90610</v>
      </c>
      <c r="K719" s="6">
        <f t="shared" si="35"/>
        <v>41080</v>
      </c>
    </row>
    <row r="720" spans="1:11" ht="15.6" thickTop="1" thickBot="1" x14ac:dyDescent="0.35">
      <c r="A720" s="4">
        <v>45466</v>
      </c>
      <c r="B720" s="5" t="s">
        <v>21</v>
      </c>
      <c r="C720" s="5" t="s">
        <v>41</v>
      </c>
      <c r="D720" s="5" t="s">
        <v>34</v>
      </c>
      <c r="E720" s="5" t="s">
        <v>14</v>
      </c>
      <c r="F720" s="5">
        <v>78</v>
      </c>
      <c r="G720" s="5">
        <v>918</v>
      </c>
      <c r="H720" s="5">
        <v>1469</v>
      </c>
      <c r="I720" s="6">
        <f t="shared" si="33"/>
        <v>71604</v>
      </c>
      <c r="J720" s="6">
        <f t="shared" si="34"/>
        <v>114582</v>
      </c>
      <c r="K720" s="6">
        <f t="shared" si="35"/>
        <v>42978</v>
      </c>
    </row>
    <row r="721" spans="1:11" ht="15.6" thickTop="1" thickBot="1" x14ac:dyDescent="0.35">
      <c r="A721" s="4">
        <v>45467</v>
      </c>
      <c r="B721" s="5" t="s">
        <v>21</v>
      </c>
      <c r="C721" s="5" t="s">
        <v>41</v>
      </c>
      <c r="D721" s="5" t="s">
        <v>36</v>
      </c>
      <c r="E721" s="5" t="s">
        <v>19</v>
      </c>
      <c r="F721" s="5">
        <v>76</v>
      </c>
      <c r="G721" s="5">
        <v>624</v>
      </c>
      <c r="H721" s="5">
        <v>899</v>
      </c>
      <c r="I721" s="6">
        <f t="shared" si="33"/>
        <v>47424</v>
      </c>
      <c r="J721" s="6">
        <f t="shared" si="34"/>
        <v>68324</v>
      </c>
      <c r="K721" s="6">
        <f t="shared" si="35"/>
        <v>20900</v>
      </c>
    </row>
    <row r="722" spans="1:11" ht="15.6" thickTop="1" thickBot="1" x14ac:dyDescent="0.35">
      <c r="A722" s="4">
        <v>45441</v>
      </c>
      <c r="B722" s="5" t="s">
        <v>21</v>
      </c>
      <c r="C722" s="5" t="s">
        <v>38</v>
      </c>
      <c r="D722" s="5" t="s">
        <v>31</v>
      </c>
      <c r="E722" s="5" t="s">
        <v>19</v>
      </c>
      <c r="F722" s="5">
        <v>59</v>
      </c>
      <c r="G722" s="5">
        <v>716</v>
      </c>
      <c r="H722" s="5">
        <v>1257</v>
      </c>
      <c r="I722" s="6">
        <f t="shared" si="33"/>
        <v>42244</v>
      </c>
      <c r="J722" s="6">
        <f t="shared" si="34"/>
        <v>74163</v>
      </c>
      <c r="K722" s="6">
        <f t="shared" si="35"/>
        <v>31919</v>
      </c>
    </row>
    <row r="723" spans="1:11" ht="15.6" thickTop="1" thickBot="1" x14ac:dyDescent="0.35">
      <c r="A723" s="4">
        <v>45468</v>
      </c>
      <c r="B723" s="5" t="s">
        <v>21</v>
      </c>
      <c r="C723" s="5" t="s">
        <v>41</v>
      </c>
      <c r="D723" s="5" t="s">
        <v>37</v>
      </c>
      <c r="E723" s="5" t="s">
        <v>19</v>
      </c>
      <c r="F723" s="5">
        <v>99</v>
      </c>
      <c r="G723" s="5">
        <v>598</v>
      </c>
      <c r="H723" s="5">
        <v>1404</v>
      </c>
      <c r="I723" s="6">
        <f t="shared" si="33"/>
        <v>59202</v>
      </c>
      <c r="J723" s="6">
        <f t="shared" si="34"/>
        <v>138996</v>
      </c>
      <c r="K723" s="6">
        <f t="shared" si="35"/>
        <v>79794</v>
      </c>
    </row>
    <row r="724" spans="1:11" ht="15.6" thickTop="1" thickBot="1" x14ac:dyDescent="0.35">
      <c r="A724" s="4">
        <v>45469</v>
      </c>
      <c r="B724" s="5" t="s">
        <v>21</v>
      </c>
      <c r="C724" s="5" t="s">
        <v>41</v>
      </c>
      <c r="D724" s="5" t="s">
        <v>23</v>
      </c>
      <c r="E724" s="5" t="s">
        <v>19</v>
      </c>
      <c r="F724" s="5">
        <v>78</v>
      </c>
      <c r="G724" s="5">
        <v>761</v>
      </c>
      <c r="H724" s="5">
        <v>1174</v>
      </c>
      <c r="I724" s="6">
        <f t="shared" si="33"/>
        <v>59358</v>
      </c>
      <c r="J724" s="6">
        <f t="shared" si="34"/>
        <v>91572</v>
      </c>
      <c r="K724" s="6">
        <f t="shared" si="35"/>
        <v>32214</v>
      </c>
    </row>
    <row r="725" spans="1:11" ht="15.6" thickTop="1" thickBot="1" x14ac:dyDescent="0.35">
      <c r="A725" s="4">
        <v>45470</v>
      </c>
      <c r="B725" s="5" t="s">
        <v>21</v>
      </c>
      <c r="C725" s="5" t="s">
        <v>41</v>
      </c>
      <c r="D725" s="5" t="s">
        <v>26</v>
      </c>
      <c r="E725" s="5" t="s">
        <v>19</v>
      </c>
      <c r="F725" s="5">
        <v>96</v>
      </c>
      <c r="G725" s="5">
        <v>512</v>
      </c>
      <c r="H725" s="5">
        <v>970</v>
      </c>
      <c r="I725" s="6">
        <f t="shared" si="33"/>
        <v>49152</v>
      </c>
      <c r="J725" s="6">
        <f t="shared" si="34"/>
        <v>93120</v>
      </c>
      <c r="K725" s="6">
        <f t="shared" si="35"/>
        <v>43968</v>
      </c>
    </row>
    <row r="726" spans="1:11" ht="15.6" thickTop="1" thickBot="1" x14ac:dyDescent="0.35">
      <c r="A726" s="4">
        <v>45471</v>
      </c>
      <c r="B726" s="5" t="s">
        <v>21</v>
      </c>
      <c r="C726" s="5" t="s">
        <v>41</v>
      </c>
      <c r="D726" s="5" t="s">
        <v>32</v>
      </c>
      <c r="E726" s="5" t="s">
        <v>19</v>
      </c>
      <c r="F726" s="5">
        <v>85</v>
      </c>
      <c r="G726" s="5">
        <v>765</v>
      </c>
      <c r="H726" s="5">
        <v>1024</v>
      </c>
      <c r="I726" s="6">
        <f t="shared" si="33"/>
        <v>65025</v>
      </c>
      <c r="J726" s="6">
        <f t="shared" si="34"/>
        <v>87040</v>
      </c>
      <c r="K726" s="6">
        <f t="shared" si="35"/>
        <v>22015</v>
      </c>
    </row>
    <row r="727" spans="1:11" ht="15.6" thickTop="1" thickBot="1" x14ac:dyDescent="0.35">
      <c r="A727" s="4">
        <v>45495</v>
      </c>
      <c r="B727" s="5" t="s">
        <v>21</v>
      </c>
      <c r="C727" s="5" t="s">
        <v>38</v>
      </c>
      <c r="D727" s="5" t="s">
        <v>15</v>
      </c>
      <c r="E727" s="5" t="s">
        <v>14</v>
      </c>
      <c r="F727" s="5">
        <v>59</v>
      </c>
      <c r="G727" s="5">
        <v>663</v>
      </c>
      <c r="H727" s="5">
        <v>872</v>
      </c>
      <c r="I727" s="6">
        <f t="shared" si="33"/>
        <v>39117</v>
      </c>
      <c r="J727" s="6">
        <f t="shared" si="34"/>
        <v>51448</v>
      </c>
      <c r="K727" s="6">
        <f t="shared" si="35"/>
        <v>12331</v>
      </c>
    </row>
    <row r="728" spans="1:11" ht="15.6" thickTop="1" thickBot="1" x14ac:dyDescent="0.35">
      <c r="A728" s="4">
        <v>45496</v>
      </c>
      <c r="B728" s="5" t="s">
        <v>21</v>
      </c>
      <c r="C728" s="5" t="s">
        <v>38</v>
      </c>
      <c r="D728" s="5" t="s">
        <v>16</v>
      </c>
      <c r="E728" s="5" t="s">
        <v>14</v>
      </c>
      <c r="F728" s="5">
        <v>75</v>
      </c>
      <c r="G728" s="5">
        <v>871</v>
      </c>
      <c r="H728" s="5">
        <v>1274</v>
      </c>
      <c r="I728" s="6">
        <f t="shared" si="33"/>
        <v>65325</v>
      </c>
      <c r="J728" s="6">
        <f t="shared" si="34"/>
        <v>95550</v>
      </c>
      <c r="K728" s="6">
        <f t="shared" si="35"/>
        <v>30225</v>
      </c>
    </row>
    <row r="729" spans="1:11" ht="15.6" thickTop="1" thickBot="1" x14ac:dyDescent="0.35">
      <c r="A729" s="4">
        <v>45497</v>
      </c>
      <c r="B729" s="5" t="s">
        <v>21</v>
      </c>
      <c r="C729" s="5" t="s">
        <v>38</v>
      </c>
      <c r="D729" s="5" t="s">
        <v>17</v>
      </c>
      <c r="E729" s="5" t="s">
        <v>14</v>
      </c>
      <c r="F729" s="5">
        <v>87</v>
      </c>
      <c r="G729" s="5">
        <v>869</v>
      </c>
      <c r="H729" s="5">
        <v>1247</v>
      </c>
      <c r="I729" s="6">
        <f t="shared" si="33"/>
        <v>75603</v>
      </c>
      <c r="J729" s="6">
        <f t="shared" si="34"/>
        <v>108489</v>
      </c>
      <c r="K729" s="6">
        <f t="shared" si="35"/>
        <v>32886</v>
      </c>
    </row>
    <row r="730" spans="1:11" ht="15.6" thickTop="1" thickBot="1" x14ac:dyDescent="0.35">
      <c r="A730" s="4">
        <v>45498</v>
      </c>
      <c r="B730" s="5" t="s">
        <v>21</v>
      </c>
      <c r="C730" s="5" t="s">
        <v>38</v>
      </c>
      <c r="D730" s="5" t="s">
        <v>17</v>
      </c>
      <c r="E730" s="5" t="s">
        <v>14</v>
      </c>
      <c r="F730" s="5">
        <v>100</v>
      </c>
      <c r="G730" s="5">
        <v>605</v>
      </c>
      <c r="H730" s="5">
        <v>1249</v>
      </c>
      <c r="I730" s="6">
        <f t="shared" si="33"/>
        <v>60500</v>
      </c>
      <c r="J730" s="6">
        <f t="shared" si="34"/>
        <v>124900</v>
      </c>
      <c r="K730" s="6">
        <f t="shared" si="35"/>
        <v>64400</v>
      </c>
    </row>
    <row r="731" spans="1:11" ht="15.6" thickTop="1" thickBot="1" x14ac:dyDescent="0.35">
      <c r="A731" s="4">
        <v>45499</v>
      </c>
      <c r="B731" s="5" t="s">
        <v>21</v>
      </c>
      <c r="C731" s="5" t="s">
        <v>38</v>
      </c>
      <c r="D731" s="5" t="s">
        <v>18</v>
      </c>
      <c r="E731" s="5" t="s">
        <v>14</v>
      </c>
      <c r="F731" s="5">
        <v>51</v>
      </c>
      <c r="G731" s="5">
        <v>798</v>
      </c>
      <c r="H731" s="5">
        <v>910</v>
      </c>
      <c r="I731" s="6">
        <f t="shared" si="33"/>
        <v>40698</v>
      </c>
      <c r="J731" s="6">
        <f t="shared" si="34"/>
        <v>46410</v>
      </c>
      <c r="K731" s="6">
        <f t="shared" si="35"/>
        <v>5712</v>
      </c>
    </row>
    <row r="732" spans="1:11" ht="15.6" thickTop="1" thickBot="1" x14ac:dyDescent="0.35">
      <c r="A732" s="4">
        <v>45500</v>
      </c>
      <c r="B732" s="5" t="s">
        <v>21</v>
      </c>
      <c r="C732" s="5" t="s">
        <v>38</v>
      </c>
      <c r="D732" s="5" t="s">
        <v>20</v>
      </c>
      <c r="E732" s="5" t="s">
        <v>14</v>
      </c>
      <c r="F732" s="5">
        <v>52</v>
      </c>
      <c r="G732" s="5">
        <v>984</v>
      </c>
      <c r="H732" s="5">
        <v>992</v>
      </c>
      <c r="I732" s="6">
        <f t="shared" si="33"/>
        <v>51168</v>
      </c>
      <c r="J732" s="6">
        <f t="shared" si="34"/>
        <v>51584</v>
      </c>
      <c r="K732" s="6">
        <f t="shared" si="35"/>
        <v>416</v>
      </c>
    </row>
    <row r="733" spans="1:11" ht="15.6" thickTop="1" thickBot="1" x14ac:dyDescent="0.35">
      <c r="A733" s="4">
        <v>45501</v>
      </c>
      <c r="B733" s="5" t="s">
        <v>21</v>
      </c>
      <c r="C733" s="5" t="s">
        <v>38</v>
      </c>
      <c r="D733" s="5" t="s">
        <v>17</v>
      </c>
      <c r="E733" s="5" t="s">
        <v>14</v>
      </c>
      <c r="F733" s="5">
        <v>97</v>
      </c>
      <c r="G733" s="5">
        <v>565</v>
      </c>
      <c r="H733" s="5">
        <v>995</v>
      </c>
      <c r="I733" s="6">
        <f t="shared" si="33"/>
        <v>54805</v>
      </c>
      <c r="J733" s="6">
        <f t="shared" si="34"/>
        <v>96515</v>
      </c>
      <c r="K733" s="6">
        <f t="shared" si="35"/>
        <v>41710</v>
      </c>
    </row>
    <row r="734" spans="1:11" ht="15.6" thickTop="1" thickBot="1" x14ac:dyDescent="0.35">
      <c r="A734" s="4">
        <v>45502</v>
      </c>
      <c r="B734" s="5" t="s">
        <v>21</v>
      </c>
      <c r="C734" s="5" t="s">
        <v>38</v>
      </c>
      <c r="D734" s="5" t="s">
        <v>36</v>
      </c>
      <c r="E734" s="5" t="s">
        <v>14</v>
      </c>
      <c r="F734" s="5">
        <v>58</v>
      </c>
      <c r="G734" s="5">
        <v>799</v>
      </c>
      <c r="H734" s="5">
        <v>1273</v>
      </c>
      <c r="I734" s="6">
        <f t="shared" si="33"/>
        <v>46342</v>
      </c>
      <c r="J734" s="6">
        <f t="shared" si="34"/>
        <v>73834</v>
      </c>
      <c r="K734" s="6">
        <f t="shared" si="35"/>
        <v>27492</v>
      </c>
    </row>
    <row r="735" spans="1:11" ht="15.6" thickTop="1" thickBot="1" x14ac:dyDescent="0.35">
      <c r="A735" s="4">
        <v>45503</v>
      </c>
      <c r="B735" s="5" t="s">
        <v>21</v>
      </c>
      <c r="C735" s="5" t="s">
        <v>38</v>
      </c>
      <c r="D735" s="5" t="s">
        <v>35</v>
      </c>
      <c r="E735" s="5" t="s">
        <v>19</v>
      </c>
      <c r="F735" s="5">
        <v>69</v>
      </c>
      <c r="G735" s="5">
        <v>524</v>
      </c>
      <c r="H735" s="5">
        <v>893</v>
      </c>
      <c r="I735" s="6">
        <f t="shared" si="33"/>
        <v>36156</v>
      </c>
      <c r="J735" s="6">
        <f t="shared" si="34"/>
        <v>61617</v>
      </c>
      <c r="K735" s="6">
        <f t="shared" si="35"/>
        <v>25461</v>
      </c>
    </row>
    <row r="736" spans="1:11" ht="15.6" thickTop="1" thickBot="1" x14ac:dyDescent="0.35">
      <c r="A736" s="4">
        <v>45504</v>
      </c>
      <c r="B736" s="5" t="s">
        <v>21</v>
      </c>
      <c r="C736" s="5" t="s">
        <v>38</v>
      </c>
      <c r="D736" s="5" t="s">
        <v>26</v>
      </c>
      <c r="E736" s="5" t="s">
        <v>19</v>
      </c>
      <c r="F736" s="5">
        <v>81</v>
      </c>
      <c r="G736" s="5">
        <v>903</v>
      </c>
      <c r="H736" s="5">
        <v>1306</v>
      </c>
      <c r="I736" s="6">
        <f t="shared" si="33"/>
        <v>73143</v>
      </c>
      <c r="J736" s="6">
        <f t="shared" si="34"/>
        <v>105786</v>
      </c>
      <c r="K736" s="6">
        <f t="shared" si="35"/>
        <v>32643</v>
      </c>
    </row>
    <row r="737" spans="1:11" ht="15.6" thickTop="1" thickBot="1" x14ac:dyDescent="0.35">
      <c r="A737" s="4">
        <v>45505</v>
      </c>
      <c r="B737" s="5" t="s">
        <v>21</v>
      </c>
      <c r="C737" s="5" t="s">
        <v>38</v>
      </c>
      <c r="D737" s="5" t="s">
        <v>17</v>
      </c>
      <c r="E737" s="5" t="s">
        <v>19</v>
      </c>
      <c r="F737" s="5">
        <v>89</v>
      </c>
      <c r="G737" s="5">
        <v>584</v>
      </c>
      <c r="H737" s="5">
        <v>777</v>
      </c>
      <c r="I737" s="6">
        <f t="shared" si="33"/>
        <v>51976</v>
      </c>
      <c r="J737" s="6">
        <f t="shared" si="34"/>
        <v>69153</v>
      </c>
      <c r="K737" s="6">
        <f t="shared" si="35"/>
        <v>17177</v>
      </c>
    </row>
    <row r="738" spans="1:11" ht="15.6" thickTop="1" thickBot="1" x14ac:dyDescent="0.35">
      <c r="A738" s="4">
        <v>45506</v>
      </c>
      <c r="B738" s="5" t="s">
        <v>21</v>
      </c>
      <c r="C738" s="5" t="s">
        <v>38</v>
      </c>
      <c r="D738" s="5" t="s">
        <v>34</v>
      </c>
      <c r="E738" s="5" t="s">
        <v>19</v>
      </c>
      <c r="F738" s="5">
        <v>75</v>
      </c>
      <c r="G738" s="5">
        <v>906</v>
      </c>
      <c r="H738" s="5">
        <v>954</v>
      </c>
      <c r="I738" s="6">
        <f t="shared" si="33"/>
        <v>67950</v>
      </c>
      <c r="J738" s="6">
        <f t="shared" si="34"/>
        <v>71550</v>
      </c>
      <c r="K738" s="6">
        <f t="shared" si="35"/>
        <v>3600</v>
      </c>
    </row>
    <row r="739" spans="1:11" ht="15.6" thickTop="1" thickBot="1" x14ac:dyDescent="0.35">
      <c r="A739" s="4">
        <v>45458</v>
      </c>
      <c r="B739" s="5" t="s">
        <v>11</v>
      </c>
      <c r="C739" s="5" t="s">
        <v>12</v>
      </c>
      <c r="D739" s="5" t="s">
        <v>17</v>
      </c>
      <c r="E739" s="5" t="s">
        <v>14</v>
      </c>
      <c r="F739" s="5">
        <v>17</v>
      </c>
      <c r="G739" s="5">
        <v>901</v>
      </c>
      <c r="H739" s="5">
        <v>1283</v>
      </c>
      <c r="I739" s="6">
        <f t="shared" si="33"/>
        <v>15317</v>
      </c>
      <c r="J739" s="6">
        <f t="shared" si="34"/>
        <v>21811</v>
      </c>
      <c r="K739" s="6">
        <f t="shared" si="35"/>
        <v>6494</v>
      </c>
    </row>
    <row r="740" spans="1:11" ht="15.6" thickTop="1" thickBot="1" x14ac:dyDescent="0.35">
      <c r="A740" s="4">
        <v>45508</v>
      </c>
      <c r="B740" s="5" t="s">
        <v>21</v>
      </c>
      <c r="C740" s="5" t="s">
        <v>41</v>
      </c>
      <c r="D740" s="5" t="s">
        <v>37</v>
      </c>
      <c r="E740" s="5" t="s">
        <v>14</v>
      </c>
      <c r="F740" s="5">
        <v>98</v>
      </c>
      <c r="G740" s="5">
        <v>925</v>
      </c>
      <c r="H740" s="5">
        <v>904</v>
      </c>
      <c r="I740" s="6">
        <f t="shared" si="33"/>
        <v>90650</v>
      </c>
      <c r="J740" s="6">
        <f t="shared" si="34"/>
        <v>88592</v>
      </c>
      <c r="K740" s="6">
        <f t="shared" si="35"/>
        <v>-2058</v>
      </c>
    </row>
    <row r="741" spans="1:11" ht="15.6" thickTop="1" thickBot="1" x14ac:dyDescent="0.35">
      <c r="A741" s="4">
        <v>45509</v>
      </c>
      <c r="B741" s="5" t="s">
        <v>21</v>
      </c>
      <c r="C741" s="5" t="s">
        <v>41</v>
      </c>
      <c r="D741" s="5" t="s">
        <v>23</v>
      </c>
      <c r="E741" s="5" t="s">
        <v>14</v>
      </c>
      <c r="F741" s="5">
        <v>73</v>
      </c>
      <c r="G741" s="5">
        <v>508</v>
      </c>
      <c r="H741" s="5">
        <v>1324</v>
      </c>
      <c r="I741" s="6">
        <f t="shared" si="33"/>
        <v>37084</v>
      </c>
      <c r="J741" s="6">
        <f t="shared" si="34"/>
        <v>96652</v>
      </c>
      <c r="K741" s="6">
        <f t="shared" si="35"/>
        <v>59568</v>
      </c>
    </row>
    <row r="742" spans="1:11" ht="15.6" thickTop="1" thickBot="1" x14ac:dyDescent="0.35">
      <c r="A742" s="4">
        <v>45528</v>
      </c>
      <c r="B742" s="5" t="s">
        <v>21</v>
      </c>
      <c r="C742" s="5" t="s">
        <v>38</v>
      </c>
      <c r="D742" s="5" t="s">
        <v>25</v>
      </c>
      <c r="E742" s="5" t="s">
        <v>14</v>
      </c>
      <c r="F742" s="5">
        <v>87</v>
      </c>
      <c r="G742" s="5">
        <v>876</v>
      </c>
      <c r="H742" s="5">
        <v>880</v>
      </c>
      <c r="I742" s="6">
        <f t="shared" si="33"/>
        <v>76212</v>
      </c>
      <c r="J742" s="6">
        <f t="shared" si="34"/>
        <v>76560</v>
      </c>
      <c r="K742" s="6">
        <f t="shared" si="35"/>
        <v>348</v>
      </c>
    </row>
    <row r="743" spans="1:11" ht="15.6" thickTop="1" thickBot="1" x14ac:dyDescent="0.35">
      <c r="A743" s="4">
        <v>45529</v>
      </c>
      <c r="B743" s="5" t="s">
        <v>21</v>
      </c>
      <c r="C743" s="5" t="s">
        <v>38</v>
      </c>
      <c r="D743" s="5" t="s">
        <v>20</v>
      </c>
      <c r="E743" s="5" t="s">
        <v>14</v>
      </c>
      <c r="F743" s="5">
        <v>69</v>
      </c>
      <c r="G743" s="5">
        <v>993</v>
      </c>
      <c r="H743" s="5">
        <v>862</v>
      </c>
      <c r="I743" s="6">
        <f t="shared" si="33"/>
        <v>68517</v>
      </c>
      <c r="J743" s="6">
        <f t="shared" si="34"/>
        <v>59478</v>
      </c>
      <c r="K743" s="6">
        <f t="shared" si="35"/>
        <v>-9039</v>
      </c>
    </row>
    <row r="744" spans="1:11" ht="15.6" thickTop="1" thickBot="1" x14ac:dyDescent="0.35">
      <c r="A744" s="4">
        <v>45530</v>
      </c>
      <c r="B744" s="5" t="s">
        <v>21</v>
      </c>
      <c r="C744" s="5" t="s">
        <v>38</v>
      </c>
      <c r="D744" s="5" t="s">
        <v>39</v>
      </c>
      <c r="E744" s="5" t="s">
        <v>14</v>
      </c>
      <c r="F744" s="5">
        <v>62</v>
      </c>
      <c r="G744" s="5">
        <v>781</v>
      </c>
      <c r="H744" s="5">
        <v>946</v>
      </c>
      <c r="I744" s="6">
        <f t="shared" si="33"/>
        <v>48422</v>
      </c>
      <c r="J744" s="6">
        <f t="shared" si="34"/>
        <v>58652</v>
      </c>
      <c r="K744" s="6">
        <f t="shared" si="35"/>
        <v>10230</v>
      </c>
    </row>
    <row r="745" spans="1:11" ht="15.6" thickTop="1" thickBot="1" x14ac:dyDescent="0.35">
      <c r="A745" s="4">
        <v>45464</v>
      </c>
      <c r="B745" s="5" t="s">
        <v>21</v>
      </c>
      <c r="C745" s="5" t="s">
        <v>38</v>
      </c>
      <c r="D745" s="5" t="s">
        <v>26</v>
      </c>
      <c r="E745" s="5" t="s">
        <v>14</v>
      </c>
      <c r="F745" s="5">
        <v>83</v>
      </c>
      <c r="G745" s="5">
        <v>889</v>
      </c>
      <c r="H745" s="5">
        <v>1075</v>
      </c>
      <c r="I745" s="6">
        <f t="shared" si="33"/>
        <v>73787</v>
      </c>
      <c r="J745" s="6">
        <f t="shared" si="34"/>
        <v>89225</v>
      </c>
      <c r="K745" s="6">
        <f t="shared" si="35"/>
        <v>15438</v>
      </c>
    </row>
    <row r="746" spans="1:11" ht="15.6" thickTop="1" thickBot="1" x14ac:dyDescent="0.35">
      <c r="A746" s="4">
        <v>45531</v>
      </c>
      <c r="B746" s="5" t="s">
        <v>21</v>
      </c>
      <c r="C746" s="5" t="s">
        <v>38</v>
      </c>
      <c r="D746" s="5" t="s">
        <v>26</v>
      </c>
      <c r="E746" s="5" t="s">
        <v>14</v>
      </c>
      <c r="F746" s="5">
        <v>63</v>
      </c>
      <c r="G746" s="5">
        <v>718</v>
      </c>
      <c r="H746" s="5">
        <v>1047</v>
      </c>
      <c r="I746" s="6">
        <f t="shared" si="33"/>
        <v>45234</v>
      </c>
      <c r="J746" s="6">
        <f t="shared" si="34"/>
        <v>65961</v>
      </c>
      <c r="K746" s="6">
        <f t="shared" si="35"/>
        <v>20727</v>
      </c>
    </row>
    <row r="747" spans="1:11" ht="15.6" thickTop="1" thickBot="1" x14ac:dyDescent="0.35">
      <c r="A747" s="4">
        <v>45532</v>
      </c>
      <c r="B747" s="5" t="s">
        <v>21</v>
      </c>
      <c r="C747" s="5" t="s">
        <v>38</v>
      </c>
      <c r="D747" s="5" t="s">
        <v>43</v>
      </c>
      <c r="E747" s="5" t="s">
        <v>14</v>
      </c>
      <c r="F747" s="5">
        <v>72</v>
      </c>
      <c r="G747" s="5">
        <v>673</v>
      </c>
      <c r="H747" s="5">
        <v>1027</v>
      </c>
      <c r="I747" s="6">
        <f t="shared" si="33"/>
        <v>48456</v>
      </c>
      <c r="J747" s="6">
        <f t="shared" si="34"/>
        <v>73944</v>
      </c>
      <c r="K747" s="6">
        <f t="shared" si="35"/>
        <v>25488</v>
      </c>
    </row>
    <row r="748" spans="1:11" ht="15.6" thickTop="1" thickBot="1" x14ac:dyDescent="0.35">
      <c r="A748" s="4">
        <v>45533</v>
      </c>
      <c r="B748" s="5" t="s">
        <v>21</v>
      </c>
      <c r="C748" s="5" t="s">
        <v>38</v>
      </c>
      <c r="D748" s="5" t="s">
        <v>44</v>
      </c>
      <c r="E748" s="5" t="s">
        <v>14</v>
      </c>
      <c r="F748" s="5">
        <v>76</v>
      </c>
      <c r="G748" s="5">
        <v>567</v>
      </c>
      <c r="H748" s="5">
        <v>897</v>
      </c>
      <c r="I748" s="6">
        <f t="shared" si="33"/>
        <v>43092</v>
      </c>
      <c r="J748" s="6">
        <f t="shared" si="34"/>
        <v>68172</v>
      </c>
      <c r="K748" s="6">
        <f t="shared" si="35"/>
        <v>25080</v>
      </c>
    </row>
    <row r="749" spans="1:11" ht="15.6" thickTop="1" thickBot="1" x14ac:dyDescent="0.35">
      <c r="A749" s="4">
        <v>45534</v>
      </c>
      <c r="B749" s="5" t="s">
        <v>21</v>
      </c>
      <c r="C749" s="5" t="s">
        <v>38</v>
      </c>
      <c r="D749" s="5" t="s">
        <v>13</v>
      </c>
      <c r="E749" s="5" t="s">
        <v>19</v>
      </c>
      <c r="F749" s="5">
        <v>70</v>
      </c>
      <c r="G749" s="5">
        <v>751</v>
      </c>
      <c r="H749" s="5">
        <v>1026</v>
      </c>
      <c r="I749" s="6">
        <f t="shared" si="33"/>
        <v>52570</v>
      </c>
      <c r="J749" s="6">
        <f t="shared" si="34"/>
        <v>71820</v>
      </c>
      <c r="K749" s="6">
        <f t="shared" si="35"/>
        <v>19250</v>
      </c>
    </row>
    <row r="750" spans="1:11" ht="15.6" thickTop="1" thickBot="1" x14ac:dyDescent="0.35">
      <c r="A750" s="4">
        <v>45536</v>
      </c>
      <c r="B750" s="5" t="s">
        <v>21</v>
      </c>
      <c r="C750" s="5" t="s">
        <v>38</v>
      </c>
      <c r="D750" s="5" t="s">
        <v>16</v>
      </c>
      <c r="E750" s="5" t="s">
        <v>19</v>
      </c>
      <c r="F750" s="5">
        <v>56</v>
      </c>
      <c r="G750" s="5">
        <v>559</v>
      </c>
      <c r="H750" s="5">
        <v>1151</v>
      </c>
      <c r="I750" s="6">
        <f t="shared" si="33"/>
        <v>31304</v>
      </c>
      <c r="J750" s="6">
        <f t="shared" si="34"/>
        <v>64456</v>
      </c>
      <c r="K750" s="6">
        <f t="shared" si="35"/>
        <v>33152</v>
      </c>
    </row>
    <row r="751" spans="1:11" ht="15.6" thickTop="1" thickBot="1" x14ac:dyDescent="0.35">
      <c r="A751" s="4">
        <v>45537</v>
      </c>
      <c r="B751" s="5" t="s">
        <v>21</v>
      </c>
      <c r="C751" s="5" t="s">
        <v>41</v>
      </c>
      <c r="D751" s="5" t="s">
        <v>17</v>
      </c>
      <c r="E751" s="5" t="s">
        <v>19</v>
      </c>
      <c r="F751" s="5">
        <v>72</v>
      </c>
      <c r="G751" s="5">
        <v>719</v>
      </c>
      <c r="H751" s="5">
        <v>911</v>
      </c>
      <c r="I751" s="6">
        <f t="shared" si="33"/>
        <v>51768</v>
      </c>
      <c r="J751" s="6">
        <f t="shared" si="34"/>
        <v>65592</v>
      </c>
      <c r="K751" s="6">
        <f t="shared" si="35"/>
        <v>13824</v>
      </c>
    </row>
    <row r="752" spans="1:11" ht="15.6" thickTop="1" thickBot="1" x14ac:dyDescent="0.35">
      <c r="A752" s="4">
        <v>45538</v>
      </c>
      <c r="B752" s="5" t="s">
        <v>21</v>
      </c>
      <c r="C752" s="5" t="s">
        <v>41</v>
      </c>
      <c r="D752" s="5" t="s">
        <v>17</v>
      </c>
      <c r="E752" s="5" t="s">
        <v>19</v>
      </c>
      <c r="F752" s="5">
        <v>89</v>
      </c>
      <c r="G752" s="5">
        <v>703</v>
      </c>
      <c r="H752" s="5">
        <v>795</v>
      </c>
      <c r="I752" s="6">
        <f t="shared" si="33"/>
        <v>62567</v>
      </c>
      <c r="J752" s="6">
        <f t="shared" si="34"/>
        <v>70755</v>
      </c>
      <c r="K752" s="6">
        <f t="shared" si="35"/>
        <v>8188</v>
      </c>
    </row>
    <row r="753" spans="1:11" ht="15.6" thickTop="1" thickBot="1" x14ac:dyDescent="0.35">
      <c r="A753" s="4">
        <v>45539</v>
      </c>
      <c r="B753" s="5" t="s">
        <v>21</v>
      </c>
      <c r="C753" s="5" t="s">
        <v>41</v>
      </c>
      <c r="D753" s="5" t="s">
        <v>18</v>
      </c>
      <c r="E753" s="5" t="s">
        <v>14</v>
      </c>
      <c r="F753" s="5">
        <v>77</v>
      </c>
      <c r="G753" s="5">
        <v>780</v>
      </c>
      <c r="H753" s="5">
        <v>967</v>
      </c>
      <c r="I753" s="6">
        <f t="shared" si="33"/>
        <v>60060</v>
      </c>
      <c r="J753" s="6">
        <f t="shared" si="34"/>
        <v>74459</v>
      </c>
      <c r="K753" s="6">
        <f t="shared" si="35"/>
        <v>14399</v>
      </c>
    </row>
    <row r="754" spans="1:11" ht="15.6" thickTop="1" thickBot="1" x14ac:dyDescent="0.35">
      <c r="A754" s="4">
        <v>45541</v>
      </c>
      <c r="B754" s="5" t="s">
        <v>21</v>
      </c>
      <c r="C754" s="5" t="s">
        <v>41</v>
      </c>
      <c r="D754" s="5" t="s">
        <v>17</v>
      </c>
      <c r="E754" s="5" t="s">
        <v>14</v>
      </c>
      <c r="F754" s="5">
        <v>54</v>
      </c>
      <c r="G754" s="5">
        <v>762</v>
      </c>
      <c r="H754" s="5">
        <v>1186</v>
      </c>
      <c r="I754" s="6">
        <f t="shared" si="33"/>
        <v>41148</v>
      </c>
      <c r="J754" s="6">
        <f t="shared" si="34"/>
        <v>64044</v>
      </c>
      <c r="K754" s="6">
        <f t="shared" si="35"/>
        <v>22896</v>
      </c>
    </row>
    <row r="755" spans="1:11" ht="15.6" thickTop="1" thickBot="1" x14ac:dyDescent="0.35">
      <c r="A755" s="4">
        <v>45542</v>
      </c>
      <c r="B755" s="5" t="s">
        <v>21</v>
      </c>
      <c r="C755" s="5" t="s">
        <v>41</v>
      </c>
      <c r="D755" s="5" t="s">
        <v>36</v>
      </c>
      <c r="E755" s="5" t="s">
        <v>19</v>
      </c>
      <c r="F755" s="5">
        <v>91</v>
      </c>
      <c r="G755" s="5">
        <v>647</v>
      </c>
      <c r="H755" s="5">
        <v>1073</v>
      </c>
      <c r="I755" s="6">
        <f t="shared" si="33"/>
        <v>58877</v>
      </c>
      <c r="J755" s="6">
        <f t="shared" si="34"/>
        <v>97643</v>
      </c>
      <c r="K755" s="6">
        <f t="shared" si="35"/>
        <v>38766</v>
      </c>
    </row>
    <row r="756" spans="1:11" ht="15.6" thickTop="1" thickBot="1" x14ac:dyDescent="0.35">
      <c r="A756" s="4">
        <v>45475</v>
      </c>
      <c r="B756" s="5" t="s">
        <v>11</v>
      </c>
      <c r="C756" s="5" t="s">
        <v>24</v>
      </c>
      <c r="D756" s="5" t="s">
        <v>26</v>
      </c>
      <c r="E756" s="5" t="s">
        <v>14</v>
      </c>
      <c r="F756" s="5">
        <v>14</v>
      </c>
      <c r="G756" s="5">
        <v>684</v>
      </c>
      <c r="H756" s="5">
        <v>1483</v>
      </c>
      <c r="I756" s="6">
        <f t="shared" si="33"/>
        <v>9576</v>
      </c>
      <c r="J756" s="6">
        <f t="shared" si="34"/>
        <v>20762</v>
      </c>
      <c r="K756" s="6">
        <f t="shared" si="35"/>
        <v>11186</v>
      </c>
    </row>
    <row r="757" spans="1:11" ht="15.6" thickTop="1" thickBot="1" x14ac:dyDescent="0.35">
      <c r="A757" s="4">
        <v>45555</v>
      </c>
      <c r="B757" s="5" t="s">
        <v>21</v>
      </c>
      <c r="C757" s="5" t="s">
        <v>41</v>
      </c>
      <c r="D757" s="5" t="s">
        <v>26</v>
      </c>
      <c r="E757" s="5" t="s">
        <v>19</v>
      </c>
      <c r="F757" s="5">
        <v>63</v>
      </c>
      <c r="G757" s="5">
        <v>720</v>
      </c>
      <c r="H757" s="5">
        <v>1458</v>
      </c>
      <c r="I757" s="6">
        <f t="shared" si="33"/>
        <v>45360</v>
      </c>
      <c r="J757" s="6">
        <f t="shared" si="34"/>
        <v>91854</v>
      </c>
      <c r="K757" s="6">
        <f t="shared" si="35"/>
        <v>46494</v>
      </c>
    </row>
    <row r="758" spans="1:11" ht="15.6" thickTop="1" thickBot="1" x14ac:dyDescent="0.35">
      <c r="A758" s="4">
        <v>45556</v>
      </c>
      <c r="B758" s="5" t="s">
        <v>21</v>
      </c>
      <c r="C758" s="5" t="s">
        <v>41</v>
      </c>
      <c r="D758" s="5" t="s">
        <v>18</v>
      </c>
      <c r="E758" s="5" t="s">
        <v>19</v>
      </c>
      <c r="F758" s="5">
        <v>66</v>
      </c>
      <c r="G758" s="5">
        <v>958</v>
      </c>
      <c r="H758" s="5">
        <v>1017</v>
      </c>
      <c r="I758" s="6">
        <f t="shared" si="33"/>
        <v>63228</v>
      </c>
      <c r="J758" s="6">
        <f t="shared" si="34"/>
        <v>67122</v>
      </c>
      <c r="K758" s="6">
        <f t="shared" si="35"/>
        <v>3894</v>
      </c>
    </row>
    <row r="759" spans="1:11" ht="15.6" thickTop="1" thickBot="1" x14ac:dyDescent="0.35">
      <c r="A759" s="4">
        <v>45557</v>
      </c>
      <c r="B759" s="5" t="s">
        <v>21</v>
      </c>
      <c r="C759" s="5" t="s">
        <v>41</v>
      </c>
      <c r="D759" s="5" t="s">
        <v>26</v>
      </c>
      <c r="E759" s="5" t="s">
        <v>19</v>
      </c>
      <c r="F759" s="5">
        <v>54</v>
      </c>
      <c r="G759" s="5">
        <v>663</v>
      </c>
      <c r="H759" s="5">
        <v>943</v>
      </c>
      <c r="I759" s="6">
        <f t="shared" si="33"/>
        <v>35802</v>
      </c>
      <c r="J759" s="6">
        <f t="shared" si="34"/>
        <v>50922</v>
      </c>
      <c r="K759" s="6">
        <f t="shared" si="35"/>
        <v>15120</v>
      </c>
    </row>
    <row r="760" spans="1:11" ht="15.6" thickTop="1" thickBot="1" x14ac:dyDescent="0.35">
      <c r="A760" s="4">
        <v>45558</v>
      </c>
      <c r="B760" s="5" t="s">
        <v>21</v>
      </c>
      <c r="C760" s="5" t="s">
        <v>41</v>
      </c>
      <c r="D760" s="5" t="s">
        <v>29</v>
      </c>
      <c r="E760" s="5" t="s">
        <v>14</v>
      </c>
      <c r="F760" s="5">
        <v>73</v>
      </c>
      <c r="G760" s="5">
        <v>540</v>
      </c>
      <c r="H760" s="5">
        <v>1397</v>
      </c>
      <c r="I760" s="6">
        <f t="shared" si="33"/>
        <v>39420</v>
      </c>
      <c r="J760" s="6">
        <f t="shared" si="34"/>
        <v>101981</v>
      </c>
      <c r="K760" s="6">
        <f t="shared" si="35"/>
        <v>62561</v>
      </c>
    </row>
    <row r="761" spans="1:11" ht="15.6" thickTop="1" thickBot="1" x14ac:dyDescent="0.35">
      <c r="A761" s="4">
        <v>45559</v>
      </c>
      <c r="B761" s="5" t="s">
        <v>21</v>
      </c>
      <c r="C761" s="5" t="s">
        <v>41</v>
      </c>
      <c r="D761" s="5" t="s">
        <v>18</v>
      </c>
      <c r="E761" s="5" t="s">
        <v>19</v>
      </c>
      <c r="F761" s="5">
        <v>76</v>
      </c>
      <c r="G761" s="5">
        <v>744</v>
      </c>
      <c r="H761" s="5">
        <v>1145</v>
      </c>
      <c r="I761" s="6">
        <f t="shared" si="33"/>
        <v>56544</v>
      </c>
      <c r="J761" s="6">
        <f t="shared" si="34"/>
        <v>87020</v>
      </c>
      <c r="K761" s="6">
        <f t="shared" si="35"/>
        <v>30476</v>
      </c>
    </row>
    <row r="762" spans="1:11" ht="15.6" thickTop="1" thickBot="1" x14ac:dyDescent="0.35">
      <c r="A762" s="4">
        <v>45560</v>
      </c>
      <c r="B762" s="5" t="s">
        <v>21</v>
      </c>
      <c r="C762" s="5" t="s">
        <v>41</v>
      </c>
      <c r="D762" s="5" t="s">
        <v>30</v>
      </c>
      <c r="E762" s="5" t="s">
        <v>19</v>
      </c>
      <c r="F762" s="5">
        <v>94</v>
      </c>
      <c r="G762" s="5">
        <v>874</v>
      </c>
      <c r="H762" s="5">
        <v>895</v>
      </c>
      <c r="I762" s="6">
        <f t="shared" si="33"/>
        <v>82156</v>
      </c>
      <c r="J762" s="6">
        <f t="shared" si="34"/>
        <v>84130</v>
      </c>
      <c r="K762" s="6">
        <f t="shared" si="35"/>
        <v>1974</v>
      </c>
    </row>
    <row r="763" spans="1:11" ht="15.6" thickTop="1" thickBot="1" x14ac:dyDescent="0.35">
      <c r="A763" s="4">
        <v>45561</v>
      </c>
      <c r="B763" s="5" t="s">
        <v>21</v>
      </c>
      <c r="C763" s="5" t="s">
        <v>41</v>
      </c>
      <c r="D763" s="5" t="s">
        <v>31</v>
      </c>
      <c r="E763" s="5" t="s">
        <v>19</v>
      </c>
      <c r="F763" s="5">
        <v>97</v>
      </c>
      <c r="G763" s="5">
        <v>752</v>
      </c>
      <c r="H763" s="5">
        <v>1286</v>
      </c>
      <c r="I763" s="6">
        <f t="shared" si="33"/>
        <v>72944</v>
      </c>
      <c r="J763" s="6">
        <f t="shared" si="34"/>
        <v>124742</v>
      </c>
      <c r="K763" s="6">
        <f t="shared" si="35"/>
        <v>51798</v>
      </c>
    </row>
    <row r="764" spans="1:11" ht="15.6" thickTop="1" thickBot="1" x14ac:dyDescent="0.35">
      <c r="A764" s="4">
        <v>45569</v>
      </c>
      <c r="B764" s="5" t="s">
        <v>21</v>
      </c>
      <c r="C764" s="5" t="s">
        <v>38</v>
      </c>
      <c r="D764" s="5" t="s">
        <v>20</v>
      </c>
      <c r="E764" s="5" t="s">
        <v>14</v>
      </c>
      <c r="F764" s="5">
        <v>77</v>
      </c>
      <c r="G764" s="5">
        <v>951</v>
      </c>
      <c r="H764" s="5">
        <v>1432</v>
      </c>
      <c r="I764" s="6">
        <f t="shared" si="33"/>
        <v>73227</v>
      </c>
      <c r="J764" s="6">
        <f t="shared" si="34"/>
        <v>110264</v>
      </c>
      <c r="K764" s="6">
        <f t="shared" si="35"/>
        <v>37037</v>
      </c>
    </row>
    <row r="765" spans="1:11" ht="15.6" thickTop="1" thickBot="1" x14ac:dyDescent="0.35">
      <c r="A765" s="4">
        <v>45570</v>
      </c>
      <c r="B765" s="5" t="s">
        <v>21</v>
      </c>
      <c r="C765" s="5" t="s">
        <v>38</v>
      </c>
      <c r="D765" s="5" t="s">
        <v>39</v>
      </c>
      <c r="E765" s="5" t="s">
        <v>14</v>
      </c>
      <c r="F765" s="5">
        <v>52</v>
      </c>
      <c r="G765" s="5">
        <v>633</v>
      </c>
      <c r="H765" s="5">
        <v>1226</v>
      </c>
      <c r="I765" s="6">
        <f t="shared" si="33"/>
        <v>32916</v>
      </c>
      <c r="J765" s="6">
        <f t="shared" si="34"/>
        <v>63752</v>
      </c>
      <c r="K765" s="6">
        <f t="shared" si="35"/>
        <v>30836</v>
      </c>
    </row>
    <row r="766" spans="1:11" ht="15.6" thickTop="1" thickBot="1" x14ac:dyDescent="0.35">
      <c r="A766" s="4">
        <v>45572</v>
      </c>
      <c r="B766" s="5" t="s">
        <v>21</v>
      </c>
      <c r="C766" s="5" t="s">
        <v>38</v>
      </c>
      <c r="D766" s="5" t="s">
        <v>43</v>
      </c>
      <c r="E766" s="5" t="s">
        <v>14</v>
      </c>
      <c r="F766" s="5">
        <v>80</v>
      </c>
      <c r="G766" s="5">
        <v>982</v>
      </c>
      <c r="H766" s="5">
        <v>1224</v>
      </c>
      <c r="I766" s="6">
        <f t="shared" si="33"/>
        <v>78560</v>
      </c>
      <c r="J766" s="6">
        <f t="shared" si="34"/>
        <v>97920</v>
      </c>
      <c r="K766" s="6">
        <f t="shared" si="35"/>
        <v>19360</v>
      </c>
    </row>
    <row r="767" spans="1:11" ht="15.6" thickTop="1" thickBot="1" x14ac:dyDescent="0.35">
      <c r="A767" s="4">
        <v>45573</v>
      </c>
      <c r="B767" s="5" t="s">
        <v>21</v>
      </c>
      <c r="C767" s="5" t="s">
        <v>38</v>
      </c>
      <c r="D767" s="5" t="s">
        <v>44</v>
      </c>
      <c r="E767" s="5" t="s">
        <v>14</v>
      </c>
      <c r="F767" s="5">
        <v>81</v>
      </c>
      <c r="G767" s="5">
        <v>917</v>
      </c>
      <c r="H767" s="5">
        <v>1344</v>
      </c>
      <c r="I767" s="6">
        <f t="shared" si="33"/>
        <v>74277</v>
      </c>
      <c r="J767" s="6">
        <f t="shared" si="34"/>
        <v>108864</v>
      </c>
      <c r="K767" s="6">
        <f t="shared" si="35"/>
        <v>34587</v>
      </c>
    </row>
    <row r="768" spans="1:11" ht="15.6" thickTop="1" thickBot="1" x14ac:dyDescent="0.35">
      <c r="A768" s="4">
        <v>45574</v>
      </c>
      <c r="B768" s="5" t="s">
        <v>21</v>
      </c>
      <c r="C768" s="5" t="s">
        <v>41</v>
      </c>
      <c r="D768" s="5" t="s">
        <v>13</v>
      </c>
      <c r="E768" s="5" t="s">
        <v>14</v>
      </c>
      <c r="F768" s="5">
        <v>63</v>
      </c>
      <c r="G768" s="5">
        <v>747</v>
      </c>
      <c r="H768" s="5">
        <v>778</v>
      </c>
      <c r="I768" s="6">
        <f t="shared" si="33"/>
        <v>47061</v>
      </c>
      <c r="J768" s="6">
        <f t="shared" si="34"/>
        <v>49014</v>
      </c>
      <c r="K768" s="6">
        <f t="shared" si="35"/>
        <v>1953</v>
      </c>
    </row>
    <row r="769" spans="1:11" ht="15.6" thickTop="1" thickBot="1" x14ac:dyDescent="0.35">
      <c r="A769" s="4">
        <v>45488</v>
      </c>
      <c r="B769" s="5" t="s">
        <v>27</v>
      </c>
      <c r="C769" s="5" t="s">
        <v>40</v>
      </c>
      <c r="D769" s="5" t="s">
        <v>25</v>
      </c>
      <c r="E769" s="5" t="s">
        <v>14</v>
      </c>
      <c r="F769" s="5">
        <v>23</v>
      </c>
      <c r="G769" s="5">
        <v>559</v>
      </c>
      <c r="H769" s="5">
        <v>1456</v>
      </c>
      <c r="I769" s="6">
        <f t="shared" si="33"/>
        <v>12857</v>
      </c>
      <c r="J769" s="6">
        <f t="shared" si="34"/>
        <v>33488</v>
      </c>
      <c r="K769" s="6">
        <f t="shared" si="35"/>
        <v>20631</v>
      </c>
    </row>
    <row r="770" spans="1:11" ht="15.6" thickTop="1" thickBot="1" x14ac:dyDescent="0.35">
      <c r="A770" s="4">
        <v>45575</v>
      </c>
      <c r="B770" s="5" t="s">
        <v>21</v>
      </c>
      <c r="C770" s="5" t="s">
        <v>41</v>
      </c>
      <c r="D770" s="5" t="s">
        <v>15</v>
      </c>
      <c r="E770" s="5" t="s">
        <v>14</v>
      </c>
      <c r="F770" s="5">
        <v>88</v>
      </c>
      <c r="G770" s="5">
        <v>978</v>
      </c>
      <c r="H770" s="5">
        <v>1231</v>
      </c>
      <c r="I770" s="6">
        <f t="shared" ref="I770:I833" si="36">F770*G770</f>
        <v>86064</v>
      </c>
      <c r="J770" s="6">
        <f t="shared" ref="J770:J833" si="37">F770*H770</f>
        <v>108328</v>
      </c>
      <c r="K770" s="6">
        <f t="shared" ref="K770:K833" si="38">J770-I770</f>
        <v>22264</v>
      </c>
    </row>
    <row r="771" spans="1:11" ht="15.6" thickTop="1" thickBot="1" x14ac:dyDescent="0.35">
      <c r="A771" s="4">
        <v>45576</v>
      </c>
      <c r="B771" s="5" t="s">
        <v>21</v>
      </c>
      <c r="C771" s="5" t="s">
        <v>41</v>
      </c>
      <c r="D771" s="5" t="s">
        <v>16</v>
      </c>
      <c r="E771" s="5" t="s">
        <v>14</v>
      </c>
      <c r="F771" s="5">
        <v>82</v>
      </c>
      <c r="G771" s="5">
        <v>652</v>
      </c>
      <c r="H771" s="5">
        <v>994</v>
      </c>
      <c r="I771" s="6">
        <f t="shared" si="36"/>
        <v>53464</v>
      </c>
      <c r="J771" s="6">
        <f t="shared" si="37"/>
        <v>81508</v>
      </c>
      <c r="K771" s="6">
        <f t="shared" si="38"/>
        <v>28044</v>
      </c>
    </row>
    <row r="772" spans="1:11" ht="15.6" thickTop="1" thickBot="1" x14ac:dyDescent="0.35">
      <c r="A772" s="4">
        <v>45577</v>
      </c>
      <c r="B772" s="5" t="s">
        <v>21</v>
      </c>
      <c r="C772" s="5" t="s">
        <v>41</v>
      </c>
      <c r="D772" s="5" t="s">
        <v>17</v>
      </c>
      <c r="E772" s="5" t="s">
        <v>14</v>
      </c>
      <c r="F772" s="5">
        <v>80</v>
      </c>
      <c r="G772" s="5">
        <v>841</v>
      </c>
      <c r="H772" s="5">
        <v>1490</v>
      </c>
      <c r="I772" s="6">
        <f t="shared" si="36"/>
        <v>67280</v>
      </c>
      <c r="J772" s="6">
        <f t="shared" si="37"/>
        <v>119200</v>
      </c>
      <c r="K772" s="6">
        <f t="shared" si="38"/>
        <v>51920</v>
      </c>
    </row>
    <row r="773" spans="1:11" ht="15.6" thickTop="1" thickBot="1" x14ac:dyDescent="0.35">
      <c r="A773" s="4">
        <v>45579</v>
      </c>
      <c r="B773" s="5" t="s">
        <v>21</v>
      </c>
      <c r="C773" s="5" t="s">
        <v>41</v>
      </c>
      <c r="D773" s="5" t="s">
        <v>18</v>
      </c>
      <c r="E773" s="5" t="s">
        <v>19</v>
      </c>
      <c r="F773" s="5">
        <v>70</v>
      </c>
      <c r="G773" s="5">
        <v>798</v>
      </c>
      <c r="H773" s="5">
        <v>1318</v>
      </c>
      <c r="I773" s="6">
        <f t="shared" si="36"/>
        <v>55860</v>
      </c>
      <c r="J773" s="6">
        <f t="shared" si="37"/>
        <v>92260</v>
      </c>
      <c r="K773" s="6">
        <f t="shared" si="38"/>
        <v>36400</v>
      </c>
    </row>
    <row r="774" spans="1:11" ht="15.6" thickTop="1" thickBot="1" x14ac:dyDescent="0.35">
      <c r="A774" s="4">
        <v>45592</v>
      </c>
      <c r="B774" s="5" t="s">
        <v>21</v>
      </c>
      <c r="C774" s="5" t="s">
        <v>22</v>
      </c>
      <c r="D774" s="5" t="s">
        <v>39</v>
      </c>
      <c r="E774" s="5" t="s">
        <v>19</v>
      </c>
      <c r="F774" s="5">
        <v>69</v>
      </c>
      <c r="G774" s="5">
        <v>921</v>
      </c>
      <c r="H774" s="5">
        <v>1177</v>
      </c>
      <c r="I774" s="6">
        <f t="shared" si="36"/>
        <v>63549</v>
      </c>
      <c r="J774" s="6">
        <f t="shared" si="37"/>
        <v>81213</v>
      </c>
      <c r="K774" s="6">
        <f t="shared" si="38"/>
        <v>17664</v>
      </c>
    </row>
    <row r="775" spans="1:11" ht="15.6" thickTop="1" thickBot="1" x14ac:dyDescent="0.35">
      <c r="A775" s="4">
        <v>45593</v>
      </c>
      <c r="B775" s="5" t="s">
        <v>21</v>
      </c>
      <c r="C775" s="5" t="s">
        <v>22</v>
      </c>
      <c r="D775" s="5" t="s">
        <v>26</v>
      </c>
      <c r="E775" s="5" t="s">
        <v>19</v>
      </c>
      <c r="F775" s="5">
        <v>60</v>
      </c>
      <c r="G775" s="5">
        <v>729</v>
      </c>
      <c r="H775" s="5">
        <v>759</v>
      </c>
      <c r="I775" s="6">
        <f t="shared" si="36"/>
        <v>43740</v>
      </c>
      <c r="J775" s="6">
        <f t="shared" si="37"/>
        <v>45540</v>
      </c>
      <c r="K775" s="6">
        <f t="shared" si="38"/>
        <v>1800</v>
      </c>
    </row>
    <row r="776" spans="1:11" ht="15.6" thickTop="1" thickBot="1" x14ac:dyDescent="0.35">
      <c r="A776" s="4">
        <v>45594</v>
      </c>
      <c r="B776" s="5" t="s">
        <v>21</v>
      </c>
      <c r="C776" s="5" t="s">
        <v>22</v>
      </c>
      <c r="D776" s="5" t="s">
        <v>43</v>
      </c>
      <c r="E776" s="5" t="s">
        <v>14</v>
      </c>
      <c r="F776" s="5">
        <v>99</v>
      </c>
      <c r="G776" s="5">
        <v>880</v>
      </c>
      <c r="H776" s="5">
        <v>1318</v>
      </c>
      <c r="I776" s="6">
        <f t="shared" si="36"/>
        <v>87120</v>
      </c>
      <c r="J776" s="6">
        <f t="shared" si="37"/>
        <v>130482</v>
      </c>
      <c r="K776" s="6">
        <f t="shared" si="38"/>
        <v>43362</v>
      </c>
    </row>
    <row r="777" spans="1:11" ht="15.6" thickTop="1" thickBot="1" x14ac:dyDescent="0.35">
      <c r="A777" s="4">
        <v>45595</v>
      </c>
      <c r="B777" s="5" t="s">
        <v>21</v>
      </c>
      <c r="C777" s="5" t="s">
        <v>22</v>
      </c>
      <c r="D777" s="5" t="s">
        <v>44</v>
      </c>
      <c r="E777" s="5" t="s">
        <v>19</v>
      </c>
      <c r="F777" s="5">
        <v>88</v>
      </c>
      <c r="G777" s="5">
        <v>552</v>
      </c>
      <c r="H777" s="5">
        <v>1422</v>
      </c>
      <c r="I777" s="6">
        <f t="shared" si="36"/>
        <v>48576</v>
      </c>
      <c r="J777" s="6">
        <f t="shared" si="37"/>
        <v>125136</v>
      </c>
      <c r="K777" s="6">
        <f t="shared" si="38"/>
        <v>76560</v>
      </c>
    </row>
    <row r="778" spans="1:11" ht="15.6" thickTop="1" thickBot="1" x14ac:dyDescent="0.35">
      <c r="A778" s="4">
        <v>45603</v>
      </c>
      <c r="B778" s="5" t="s">
        <v>21</v>
      </c>
      <c r="C778" s="5" t="s">
        <v>45</v>
      </c>
      <c r="D778" s="5" t="s">
        <v>17</v>
      </c>
      <c r="E778" s="5" t="s">
        <v>14</v>
      </c>
      <c r="F778" s="5">
        <v>60</v>
      </c>
      <c r="G778" s="5">
        <v>827</v>
      </c>
      <c r="H778" s="5">
        <v>762</v>
      </c>
      <c r="I778" s="6">
        <f t="shared" si="36"/>
        <v>49620</v>
      </c>
      <c r="J778" s="6">
        <f t="shared" si="37"/>
        <v>45720</v>
      </c>
      <c r="K778" s="6">
        <f t="shared" si="38"/>
        <v>-3900</v>
      </c>
    </row>
    <row r="779" spans="1:11" ht="15.6" thickTop="1" thickBot="1" x14ac:dyDescent="0.35">
      <c r="A779" s="4">
        <v>45604</v>
      </c>
      <c r="B779" s="5" t="s">
        <v>21</v>
      </c>
      <c r="C779" s="5" t="s">
        <v>45</v>
      </c>
      <c r="D779" s="5" t="s">
        <v>36</v>
      </c>
      <c r="E779" s="5" t="s">
        <v>14</v>
      </c>
      <c r="F779" s="5">
        <v>64</v>
      </c>
      <c r="G779" s="5">
        <v>529</v>
      </c>
      <c r="H779" s="5">
        <v>1195</v>
      </c>
      <c r="I779" s="6">
        <f t="shared" si="36"/>
        <v>33856</v>
      </c>
      <c r="J779" s="6">
        <f t="shared" si="37"/>
        <v>76480</v>
      </c>
      <c r="K779" s="6">
        <f t="shared" si="38"/>
        <v>42624</v>
      </c>
    </row>
    <row r="780" spans="1:11" ht="15.6" thickTop="1" thickBot="1" x14ac:dyDescent="0.35">
      <c r="A780" s="4">
        <v>45606</v>
      </c>
      <c r="B780" s="5" t="s">
        <v>21</v>
      </c>
      <c r="C780" s="5" t="s">
        <v>45</v>
      </c>
      <c r="D780" s="5" t="s">
        <v>26</v>
      </c>
      <c r="E780" s="5" t="s">
        <v>14</v>
      </c>
      <c r="F780" s="5">
        <v>51</v>
      </c>
      <c r="G780" s="5">
        <v>859</v>
      </c>
      <c r="H780" s="5">
        <v>1243</v>
      </c>
      <c r="I780" s="6">
        <f t="shared" si="36"/>
        <v>43809</v>
      </c>
      <c r="J780" s="6">
        <f t="shared" si="37"/>
        <v>63393</v>
      </c>
      <c r="K780" s="6">
        <f t="shared" si="38"/>
        <v>19584</v>
      </c>
    </row>
    <row r="781" spans="1:11" ht="15.6" thickTop="1" thickBot="1" x14ac:dyDescent="0.35">
      <c r="A781" s="4">
        <v>45607</v>
      </c>
      <c r="B781" s="5" t="s">
        <v>21</v>
      </c>
      <c r="C781" s="5" t="s">
        <v>45</v>
      </c>
      <c r="D781" s="5" t="s">
        <v>17</v>
      </c>
      <c r="E781" s="5" t="s">
        <v>14</v>
      </c>
      <c r="F781" s="5">
        <v>68</v>
      </c>
      <c r="G781" s="5">
        <v>756</v>
      </c>
      <c r="H781" s="5">
        <v>887</v>
      </c>
      <c r="I781" s="6">
        <f t="shared" si="36"/>
        <v>51408</v>
      </c>
      <c r="J781" s="6">
        <f t="shared" si="37"/>
        <v>60316</v>
      </c>
      <c r="K781" s="6">
        <f t="shared" si="38"/>
        <v>8908</v>
      </c>
    </row>
    <row r="782" spans="1:11" ht="15.6" thickTop="1" thickBot="1" x14ac:dyDescent="0.35">
      <c r="A782" s="4">
        <v>45608</v>
      </c>
      <c r="B782" s="5" t="s">
        <v>21</v>
      </c>
      <c r="C782" s="5" t="s">
        <v>45</v>
      </c>
      <c r="D782" s="5" t="s">
        <v>34</v>
      </c>
      <c r="E782" s="5" t="s">
        <v>14</v>
      </c>
      <c r="F782" s="5">
        <v>87</v>
      </c>
      <c r="G782" s="5">
        <v>882</v>
      </c>
      <c r="H782" s="5">
        <v>1211</v>
      </c>
      <c r="I782" s="6">
        <f t="shared" si="36"/>
        <v>76734</v>
      </c>
      <c r="J782" s="6">
        <f t="shared" si="37"/>
        <v>105357</v>
      </c>
      <c r="K782" s="6">
        <f t="shared" si="38"/>
        <v>28623</v>
      </c>
    </row>
    <row r="783" spans="1:11" ht="15.6" thickTop="1" thickBot="1" x14ac:dyDescent="0.35">
      <c r="A783" s="4">
        <v>45636</v>
      </c>
      <c r="B783" s="5" t="s">
        <v>21</v>
      </c>
      <c r="C783" s="5" t="s">
        <v>38</v>
      </c>
      <c r="D783" s="5" t="s">
        <v>13</v>
      </c>
      <c r="E783" s="5" t="s">
        <v>19</v>
      </c>
      <c r="F783" s="5">
        <v>51</v>
      </c>
      <c r="G783" s="5">
        <v>685</v>
      </c>
      <c r="H783" s="5">
        <v>1224</v>
      </c>
      <c r="I783" s="6">
        <f t="shared" si="36"/>
        <v>34935</v>
      </c>
      <c r="J783" s="6">
        <f t="shared" si="37"/>
        <v>62424</v>
      </c>
      <c r="K783" s="6">
        <f t="shared" si="38"/>
        <v>27489</v>
      </c>
    </row>
    <row r="784" spans="1:11" ht="15.6" thickTop="1" thickBot="1" x14ac:dyDescent="0.35">
      <c r="A784" s="4">
        <v>45638</v>
      </c>
      <c r="B784" s="5" t="s">
        <v>21</v>
      </c>
      <c r="C784" s="5" t="s">
        <v>38</v>
      </c>
      <c r="D784" s="5" t="s">
        <v>16</v>
      </c>
      <c r="E784" s="5" t="s">
        <v>14</v>
      </c>
      <c r="F784" s="5">
        <v>72</v>
      </c>
      <c r="G784" s="5">
        <v>765</v>
      </c>
      <c r="H784" s="5">
        <v>1368</v>
      </c>
      <c r="I784" s="6">
        <f t="shared" si="36"/>
        <v>55080</v>
      </c>
      <c r="J784" s="6">
        <f t="shared" si="37"/>
        <v>98496</v>
      </c>
      <c r="K784" s="6">
        <f t="shared" si="38"/>
        <v>43416</v>
      </c>
    </row>
    <row r="785" spans="1:11" ht="15.6" thickTop="1" thickBot="1" x14ac:dyDescent="0.35">
      <c r="A785" s="4">
        <v>45639</v>
      </c>
      <c r="B785" s="5" t="s">
        <v>21</v>
      </c>
      <c r="C785" s="5" t="s">
        <v>38</v>
      </c>
      <c r="D785" s="5" t="s">
        <v>17</v>
      </c>
      <c r="E785" s="5" t="s">
        <v>14</v>
      </c>
      <c r="F785" s="5">
        <v>54</v>
      </c>
      <c r="G785" s="5">
        <v>702</v>
      </c>
      <c r="H785" s="5">
        <v>930</v>
      </c>
      <c r="I785" s="6">
        <f t="shared" si="36"/>
        <v>37908</v>
      </c>
      <c r="J785" s="6">
        <f t="shared" si="37"/>
        <v>50220</v>
      </c>
      <c r="K785" s="6">
        <f t="shared" si="38"/>
        <v>12312</v>
      </c>
    </row>
    <row r="786" spans="1:11" ht="15.6" thickTop="1" thickBot="1" x14ac:dyDescent="0.35">
      <c r="A786" s="4">
        <v>45640</v>
      </c>
      <c r="B786" s="5" t="s">
        <v>21</v>
      </c>
      <c r="C786" s="5" t="s">
        <v>38</v>
      </c>
      <c r="D786" s="5" t="s">
        <v>23</v>
      </c>
      <c r="E786" s="5" t="s">
        <v>14</v>
      </c>
      <c r="F786" s="5">
        <v>97</v>
      </c>
      <c r="G786" s="5">
        <v>917</v>
      </c>
      <c r="H786" s="5">
        <v>1203</v>
      </c>
      <c r="I786" s="6">
        <f t="shared" si="36"/>
        <v>88949</v>
      </c>
      <c r="J786" s="6">
        <f t="shared" si="37"/>
        <v>116691</v>
      </c>
      <c r="K786" s="6">
        <f t="shared" si="38"/>
        <v>27742</v>
      </c>
    </row>
    <row r="787" spans="1:11" ht="15.6" thickTop="1" thickBot="1" x14ac:dyDescent="0.35">
      <c r="A787" s="4">
        <v>45641</v>
      </c>
      <c r="B787" s="5" t="s">
        <v>21</v>
      </c>
      <c r="C787" s="5" t="s">
        <v>38</v>
      </c>
      <c r="D787" s="5" t="s">
        <v>25</v>
      </c>
      <c r="E787" s="5" t="s">
        <v>14</v>
      </c>
      <c r="F787" s="5">
        <v>84</v>
      </c>
      <c r="G787" s="5">
        <v>516</v>
      </c>
      <c r="H787" s="5">
        <v>820</v>
      </c>
      <c r="I787" s="6">
        <f t="shared" si="36"/>
        <v>43344</v>
      </c>
      <c r="J787" s="6">
        <f t="shared" si="37"/>
        <v>68880</v>
      </c>
      <c r="K787" s="6">
        <f t="shared" si="38"/>
        <v>25536</v>
      </c>
    </row>
    <row r="788" spans="1:11" ht="15.6" thickTop="1" thickBot="1" x14ac:dyDescent="0.35">
      <c r="A788" s="4">
        <v>45507</v>
      </c>
      <c r="B788" s="5" t="s">
        <v>21</v>
      </c>
      <c r="C788" s="5" t="s">
        <v>41</v>
      </c>
      <c r="D788" s="5" t="s">
        <v>36</v>
      </c>
      <c r="E788" s="5" t="s">
        <v>19</v>
      </c>
      <c r="F788" s="5">
        <v>66</v>
      </c>
      <c r="G788" s="5">
        <v>715</v>
      </c>
      <c r="H788" s="5">
        <v>1460</v>
      </c>
      <c r="I788" s="6">
        <f t="shared" si="36"/>
        <v>47190</v>
      </c>
      <c r="J788" s="6">
        <f t="shared" si="37"/>
        <v>96360</v>
      </c>
      <c r="K788" s="6">
        <f t="shared" si="38"/>
        <v>49170</v>
      </c>
    </row>
    <row r="789" spans="1:11" ht="15.6" thickTop="1" thickBot="1" x14ac:dyDescent="0.35">
      <c r="A789" s="4">
        <v>45643</v>
      </c>
      <c r="B789" s="5" t="s">
        <v>21</v>
      </c>
      <c r="C789" s="5" t="s">
        <v>38</v>
      </c>
      <c r="D789" s="5" t="s">
        <v>34</v>
      </c>
      <c r="E789" s="5" t="s">
        <v>14</v>
      </c>
      <c r="F789" s="5">
        <v>92</v>
      </c>
      <c r="G789" s="5">
        <v>789</v>
      </c>
      <c r="H789" s="5">
        <v>1229</v>
      </c>
      <c r="I789" s="6">
        <f t="shared" si="36"/>
        <v>72588</v>
      </c>
      <c r="J789" s="6">
        <f t="shared" si="37"/>
        <v>113068</v>
      </c>
      <c r="K789" s="6">
        <f t="shared" si="38"/>
        <v>40480</v>
      </c>
    </row>
    <row r="790" spans="1:11" ht="15.6" thickTop="1" thickBot="1" x14ac:dyDescent="0.35">
      <c r="A790" s="4">
        <v>45644</v>
      </c>
      <c r="B790" s="5" t="s">
        <v>21</v>
      </c>
      <c r="C790" s="5" t="s">
        <v>38</v>
      </c>
      <c r="D790" s="5" t="s">
        <v>34</v>
      </c>
      <c r="E790" s="5" t="s">
        <v>14</v>
      </c>
      <c r="F790" s="5">
        <v>53</v>
      </c>
      <c r="G790" s="5">
        <v>962</v>
      </c>
      <c r="H790" s="5">
        <v>1442</v>
      </c>
      <c r="I790" s="6">
        <f t="shared" si="36"/>
        <v>50986</v>
      </c>
      <c r="J790" s="6">
        <f t="shared" si="37"/>
        <v>76426</v>
      </c>
      <c r="K790" s="6">
        <f t="shared" si="38"/>
        <v>25440</v>
      </c>
    </row>
    <row r="791" spans="1:11" ht="15.6" thickTop="1" thickBot="1" x14ac:dyDescent="0.35">
      <c r="A791" s="4">
        <v>45645</v>
      </c>
      <c r="B791" s="5" t="s">
        <v>21</v>
      </c>
      <c r="C791" s="5" t="s">
        <v>38</v>
      </c>
      <c r="D791" s="5" t="s">
        <v>32</v>
      </c>
      <c r="E791" s="5" t="s">
        <v>14</v>
      </c>
      <c r="F791" s="5">
        <v>81</v>
      </c>
      <c r="G791" s="5">
        <v>565</v>
      </c>
      <c r="H791" s="5">
        <v>1224</v>
      </c>
      <c r="I791" s="6">
        <f t="shared" si="36"/>
        <v>45765</v>
      </c>
      <c r="J791" s="6">
        <f t="shared" si="37"/>
        <v>99144</v>
      </c>
      <c r="K791" s="6">
        <f t="shared" si="38"/>
        <v>53379</v>
      </c>
    </row>
    <row r="792" spans="1:11" ht="15.6" thickTop="1" thickBot="1" x14ac:dyDescent="0.35">
      <c r="A792" s="4">
        <v>45647</v>
      </c>
      <c r="B792" s="5" t="s">
        <v>21</v>
      </c>
      <c r="C792" s="5" t="s">
        <v>38</v>
      </c>
      <c r="D792" s="5" t="s">
        <v>20</v>
      </c>
      <c r="E792" s="5" t="s">
        <v>14</v>
      </c>
      <c r="F792" s="5">
        <v>96</v>
      </c>
      <c r="G792" s="5">
        <v>715</v>
      </c>
      <c r="H792" s="5">
        <v>1171</v>
      </c>
      <c r="I792" s="6">
        <f t="shared" si="36"/>
        <v>68640</v>
      </c>
      <c r="J792" s="6">
        <f t="shared" si="37"/>
        <v>112416</v>
      </c>
      <c r="K792" s="6">
        <f t="shared" si="38"/>
        <v>43776</v>
      </c>
    </row>
    <row r="793" spans="1:11" ht="15.6" thickTop="1" thickBot="1" x14ac:dyDescent="0.35">
      <c r="A793" s="4">
        <v>45512</v>
      </c>
      <c r="B793" s="5" t="s">
        <v>11</v>
      </c>
      <c r="C793" s="5" t="s">
        <v>24</v>
      </c>
      <c r="D793" s="5" t="s">
        <v>23</v>
      </c>
      <c r="E793" s="5" t="s">
        <v>14</v>
      </c>
      <c r="F793" s="5">
        <v>10</v>
      </c>
      <c r="G793" s="5">
        <v>812</v>
      </c>
      <c r="H793" s="5">
        <v>1112</v>
      </c>
      <c r="I793" s="6">
        <f t="shared" si="36"/>
        <v>8120</v>
      </c>
      <c r="J793" s="6">
        <f t="shared" si="37"/>
        <v>11120</v>
      </c>
      <c r="K793" s="6">
        <f t="shared" si="38"/>
        <v>3000</v>
      </c>
    </row>
    <row r="794" spans="1:11" ht="15.6" thickTop="1" thickBot="1" x14ac:dyDescent="0.35">
      <c r="A794" s="4">
        <v>45649</v>
      </c>
      <c r="B794" s="5" t="s">
        <v>21</v>
      </c>
      <c r="C794" s="5" t="s">
        <v>41</v>
      </c>
      <c r="D794" s="5" t="s">
        <v>26</v>
      </c>
      <c r="E794" s="5" t="s">
        <v>14</v>
      </c>
      <c r="F794" s="5">
        <v>69</v>
      </c>
      <c r="G794" s="5">
        <v>699</v>
      </c>
      <c r="H794" s="5">
        <v>835</v>
      </c>
      <c r="I794" s="6">
        <f t="shared" si="36"/>
        <v>48231</v>
      </c>
      <c r="J794" s="6">
        <f t="shared" si="37"/>
        <v>57615</v>
      </c>
      <c r="K794" s="6">
        <f t="shared" si="38"/>
        <v>9384</v>
      </c>
    </row>
    <row r="795" spans="1:11" ht="15.6" thickTop="1" thickBot="1" x14ac:dyDescent="0.35">
      <c r="A795" s="4">
        <v>45650</v>
      </c>
      <c r="B795" s="5" t="s">
        <v>21</v>
      </c>
      <c r="C795" s="5" t="s">
        <v>41</v>
      </c>
      <c r="D795" s="5" t="s">
        <v>43</v>
      </c>
      <c r="E795" s="5" t="s">
        <v>14</v>
      </c>
      <c r="F795" s="5">
        <v>58</v>
      </c>
      <c r="G795" s="5">
        <v>924</v>
      </c>
      <c r="H795" s="5">
        <v>990</v>
      </c>
      <c r="I795" s="6">
        <f t="shared" si="36"/>
        <v>53592</v>
      </c>
      <c r="J795" s="6">
        <f t="shared" si="37"/>
        <v>57420</v>
      </c>
      <c r="K795" s="6">
        <f t="shared" si="38"/>
        <v>3828</v>
      </c>
    </row>
    <row r="796" spans="1:11" ht="15.6" thickTop="1" thickBot="1" x14ac:dyDescent="0.35">
      <c r="A796" s="4">
        <v>45651</v>
      </c>
      <c r="B796" s="5" t="s">
        <v>21</v>
      </c>
      <c r="C796" s="5" t="s">
        <v>41</v>
      </c>
      <c r="D796" s="5" t="s">
        <v>44</v>
      </c>
      <c r="E796" s="5" t="s">
        <v>14</v>
      </c>
      <c r="F796" s="5">
        <v>83</v>
      </c>
      <c r="G796" s="5">
        <v>790</v>
      </c>
      <c r="H796" s="5">
        <v>1164</v>
      </c>
      <c r="I796" s="6">
        <f t="shared" si="36"/>
        <v>65570</v>
      </c>
      <c r="J796" s="6">
        <f t="shared" si="37"/>
        <v>96612</v>
      </c>
      <c r="K796" s="6">
        <f t="shared" si="38"/>
        <v>31042</v>
      </c>
    </row>
    <row r="797" spans="1:11" ht="15.6" thickTop="1" thickBot="1" x14ac:dyDescent="0.35">
      <c r="A797" s="4">
        <v>45652</v>
      </c>
      <c r="B797" s="5" t="s">
        <v>21</v>
      </c>
      <c r="C797" s="5" t="s">
        <v>41</v>
      </c>
      <c r="D797" s="5" t="s">
        <v>13</v>
      </c>
      <c r="E797" s="5" t="s">
        <v>14</v>
      </c>
      <c r="F797" s="5">
        <v>60</v>
      </c>
      <c r="G797" s="5">
        <v>867</v>
      </c>
      <c r="H797" s="5">
        <v>854</v>
      </c>
      <c r="I797" s="6">
        <f t="shared" si="36"/>
        <v>52020</v>
      </c>
      <c r="J797" s="6">
        <f t="shared" si="37"/>
        <v>51240</v>
      </c>
      <c r="K797" s="6">
        <f t="shared" si="38"/>
        <v>-780</v>
      </c>
    </row>
    <row r="798" spans="1:11" ht="15.6" thickTop="1" thickBot="1" x14ac:dyDescent="0.35">
      <c r="A798" s="4">
        <v>45654</v>
      </c>
      <c r="B798" s="5" t="s">
        <v>21</v>
      </c>
      <c r="C798" s="5" t="s">
        <v>41</v>
      </c>
      <c r="D798" s="5" t="s">
        <v>16</v>
      </c>
      <c r="E798" s="5" t="s">
        <v>19</v>
      </c>
      <c r="F798" s="5">
        <v>89</v>
      </c>
      <c r="G798" s="5">
        <v>702</v>
      </c>
      <c r="H798" s="5">
        <v>1314</v>
      </c>
      <c r="I798" s="6">
        <f t="shared" si="36"/>
        <v>62478</v>
      </c>
      <c r="J798" s="6">
        <f t="shared" si="37"/>
        <v>116946</v>
      </c>
      <c r="K798" s="6">
        <f t="shared" si="38"/>
        <v>54468</v>
      </c>
    </row>
    <row r="799" spans="1:11" ht="15.6" thickTop="1" thickBot="1" x14ac:dyDescent="0.35">
      <c r="A799" s="4">
        <v>45655</v>
      </c>
      <c r="B799" s="5" t="s">
        <v>21</v>
      </c>
      <c r="C799" s="5" t="s">
        <v>41</v>
      </c>
      <c r="D799" s="5" t="s">
        <v>17</v>
      </c>
      <c r="E799" s="5" t="s">
        <v>19</v>
      </c>
      <c r="F799" s="5">
        <v>91</v>
      </c>
      <c r="G799" s="5">
        <v>805</v>
      </c>
      <c r="H799" s="5">
        <v>1361</v>
      </c>
      <c r="I799" s="6">
        <f t="shared" si="36"/>
        <v>73255</v>
      </c>
      <c r="J799" s="6">
        <f t="shared" si="37"/>
        <v>123851</v>
      </c>
      <c r="K799" s="6">
        <f t="shared" si="38"/>
        <v>50596</v>
      </c>
    </row>
    <row r="800" spans="1:11" ht="15.6" thickTop="1" thickBot="1" x14ac:dyDescent="0.35">
      <c r="A800" s="4">
        <v>45656</v>
      </c>
      <c r="B800" s="5" t="s">
        <v>21</v>
      </c>
      <c r="C800" s="5" t="s">
        <v>41</v>
      </c>
      <c r="D800" s="5" t="s">
        <v>17</v>
      </c>
      <c r="E800" s="5" t="s">
        <v>19</v>
      </c>
      <c r="F800" s="5">
        <v>78</v>
      </c>
      <c r="G800" s="5">
        <v>682</v>
      </c>
      <c r="H800" s="5">
        <v>962</v>
      </c>
      <c r="I800" s="6">
        <f t="shared" si="36"/>
        <v>53196</v>
      </c>
      <c r="J800" s="6">
        <f t="shared" si="37"/>
        <v>75036</v>
      </c>
      <c r="K800" s="6">
        <f t="shared" si="38"/>
        <v>21840</v>
      </c>
    </row>
    <row r="801" spans="1:11" ht="15.6" thickTop="1" thickBot="1" x14ac:dyDescent="0.35">
      <c r="A801" s="4">
        <v>45520</v>
      </c>
      <c r="B801" s="5" t="s">
        <v>27</v>
      </c>
      <c r="C801" s="5" t="s">
        <v>40</v>
      </c>
      <c r="D801" s="5" t="s">
        <v>30</v>
      </c>
      <c r="E801" s="5" t="s">
        <v>19</v>
      </c>
      <c r="F801" s="5">
        <v>22</v>
      </c>
      <c r="G801" s="5">
        <v>888</v>
      </c>
      <c r="H801" s="5">
        <v>1284</v>
      </c>
      <c r="I801" s="6">
        <f t="shared" si="36"/>
        <v>19536</v>
      </c>
      <c r="J801" s="6">
        <f t="shared" si="37"/>
        <v>28248</v>
      </c>
      <c r="K801" s="6">
        <f t="shared" si="38"/>
        <v>8712</v>
      </c>
    </row>
    <row r="802" spans="1:11" ht="15.6" thickTop="1" thickBot="1" x14ac:dyDescent="0.35">
      <c r="A802" s="4">
        <v>45657</v>
      </c>
      <c r="B802" s="5" t="s">
        <v>21</v>
      </c>
      <c r="C802" s="5" t="s">
        <v>41</v>
      </c>
      <c r="D802" s="5" t="s">
        <v>18</v>
      </c>
      <c r="E802" s="5" t="s">
        <v>19</v>
      </c>
      <c r="F802" s="5">
        <v>54</v>
      </c>
      <c r="G802" s="5">
        <v>990</v>
      </c>
      <c r="H802" s="5">
        <v>970</v>
      </c>
      <c r="I802" s="6">
        <f t="shared" si="36"/>
        <v>53460</v>
      </c>
      <c r="J802" s="6">
        <f t="shared" si="37"/>
        <v>52380</v>
      </c>
      <c r="K802" s="6">
        <f t="shared" si="38"/>
        <v>-1080</v>
      </c>
    </row>
    <row r="803" spans="1:11" ht="15.6" thickTop="1" thickBot="1" x14ac:dyDescent="0.35">
      <c r="A803" s="4">
        <v>45658</v>
      </c>
      <c r="B803" s="5" t="s">
        <v>21</v>
      </c>
      <c r="C803" s="5" t="s">
        <v>41</v>
      </c>
      <c r="D803" s="5" t="s">
        <v>20</v>
      </c>
      <c r="E803" s="5" t="s">
        <v>14</v>
      </c>
      <c r="F803" s="5">
        <v>72</v>
      </c>
      <c r="G803" s="5">
        <v>749</v>
      </c>
      <c r="H803" s="5">
        <v>1262</v>
      </c>
      <c r="I803" s="6">
        <f t="shared" si="36"/>
        <v>53928</v>
      </c>
      <c r="J803" s="6">
        <f t="shared" si="37"/>
        <v>90864</v>
      </c>
      <c r="K803" s="6">
        <f t="shared" si="38"/>
        <v>36936</v>
      </c>
    </row>
    <row r="804" spans="1:11" ht="15.6" thickTop="1" thickBot="1" x14ac:dyDescent="0.35">
      <c r="A804" s="4">
        <v>45666</v>
      </c>
      <c r="B804" s="5" t="s">
        <v>21</v>
      </c>
      <c r="C804" s="5" t="s">
        <v>38</v>
      </c>
      <c r="D804" s="5" t="s">
        <v>23</v>
      </c>
      <c r="E804" s="5" t="s">
        <v>19</v>
      </c>
      <c r="F804" s="5">
        <v>51</v>
      </c>
      <c r="G804" s="5">
        <v>925</v>
      </c>
      <c r="H804" s="5">
        <v>750</v>
      </c>
      <c r="I804" s="6">
        <f t="shared" si="36"/>
        <v>47175</v>
      </c>
      <c r="J804" s="6">
        <f t="shared" si="37"/>
        <v>38250</v>
      </c>
      <c r="K804" s="6">
        <f t="shared" si="38"/>
        <v>-8925</v>
      </c>
    </row>
    <row r="805" spans="1:11" ht="15.6" thickTop="1" thickBot="1" x14ac:dyDescent="0.35">
      <c r="A805" s="4">
        <v>45667</v>
      </c>
      <c r="B805" s="5" t="s">
        <v>21</v>
      </c>
      <c r="C805" s="5" t="s">
        <v>38</v>
      </c>
      <c r="D805" s="5" t="s">
        <v>25</v>
      </c>
      <c r="E805" s="5" t="s">
        <v>19</v>
      </c>
      <c r="F805" s="5">
        <v>56</v>
      </c>
      <c r="G805" s="5">
        <v>782</v>
      </c>
      <c r="H805" s="5">
        <v>1353</v>
      </c>
      <c r="I805" s="6">
        <f t="shared" si="36"/>
        <v>43792</v>
      </c>
      <c r="J805" s="6">
        <f t="shared" si="37"/>
        <v>75768</v>
      </c>
      <c r="K805" s="6">
        <f t="shared" si="38"/>
        <v>31976</v>
      </c>
    </row>
    <row r="806" spans="1:11" ht="15.6" thickTop="1" thickBot="1" x14ac:dyDescent="0.35">
      <c r="A806" s="4">
        <v>45668</v>
      </c>
      <c r="B806" s="5" t="s">
        <v>21</v>
      </c>
      <c r="C806" s="5" t="s">
        <v>38</v>
      </c>
      <c r="D806" s="5" t="s">
        <v>25</v>
      </c>
      <c r="E806" s="5" t="s">
        <v>19</v>
      </c>
      <c r="F806" s="5">
        <v>92</v>
      </c>
      <c r="G806" s="5">
        <v>978</v>
      </c>
      <c r="H806" s="5">
        <v>1062</v>
      </c>
      <c r="I806" s="6">
        <f t="shared" si="36"/>
        <v>89976</v>
      </c>
      <c r="J806" s="6">
        <f t="shared" si="37"/>
        <v>97704</v>
      </c>
      <c r="K806" s="6">
        <f t="shared" si="38"/>
        <v>7728</v>
      </c>
    </row>
    <row r="807" spans="1:11" ht="15.6" thickTop="1" thickBot="1" x14ac:dyDescent="0.35">
      <c r="A807" s="4">
        <v>45526</v>
      </c>
      <c r="B807" s="5" t="s">
        <v>27</v>
      </c>
      <c r="C807" s="5" t="s">
        <v>40</v>
      </c>
      <c r="D807" s="5" t="s">
        <v>34</v>
      </c>
      <c r="E807" s="5" t="s">
        <v>14</v>
      </c>
      <c r="F807" s="5">
        <v>29</v>
      </c>
      <c r="G807" s="5">
        <v>818</v>
      </c>
      <c r="H807" s="5">
        <v>999</v>
      </c>
      <c r="I807" s="6">
        <f t="shared" si="36"/>
        <v>23722</v>
      </c>
      <c r="J807" s="6">
        <f t="shared" si="37"/>
        <v>28971</v>
      </c>
      <c r="K807" s="6">
        <f t="shared" si="38"/>
        <v>5249</v>
      </c>
    </row>
    <row r="808" spans="1:11" ht="15.6" thickTop="1" thickBot="1" x14ac:dyDescent="0.35">
      <c r="A808" s="4">
        <v>45669</v>
      </c>
      <c r="B808" s="5" t="s">
        <v>21</v>
      </c>
      <c r="C808" s="5" t="s">
        <v>38</v>
      </c>
      <c r="D808" s="5" t="s">
        <v>34</v>
      </c>
      <c r="E808" s="5" t="s">
        <v>14</v>
      </c>
      <c r="F808" s="5">
        <v>75</v>
      </c>
      <c r="G808" s="5">
        <v>539</v>
      </c>
      <c r="H808" s="5">
        <v>1068</v>
      </c>
      <c r="I808" s="6">
        <f t="shared" si="36"/>
        <v>40425</v>
      </c>
      <c r="J808" s="6">
        <f t="shared" si="37"/>
        <v>80100</v>
      </c>
      <c r="K808" s="6">
        <f t="shared" si="38"/>
        <v>39675</v>
      </c>
    </row>
    <row r="809" spans="1:11" ht="15.6" thickTop="1" thickBot="1" x14ac:dyDescent="0.35">
      <c r="A809" s="4">
        <v>45670</v>
      </c>
      <c r="B809" s="5" t="s">
        <v>21</v>
      </c>
      <c r="C809" s="5" t="s">
        <v>38</v>
      </c>
      <c r="D809" s="5" t="s">
        <v>34</v>
      </c>
      <c r="E809" s="5" t="s">
        <v>19</v>
      </c>
      <c r="F809" s="5">
        <v>78</v>
      </c>
      <c r="G809" s="5">
        <v>608</v>
      </c>
      <c r="H809" s="5">
        <v>1496</v>
      </c>
      <c r="I809" s="6">
        <f t="shared" si="36"/>
        <v>47424</v>
      </c>
      <c r="J809" s="6">
        <f t="shared" si="37"/>
        <v>116688</v>
      </c>
      <c r="K809" s="6">
        <f t="shared" si="38"/>
        <v>69264</v>
      </c>
    </row>
    <row r="810" spans="1:11" ht="15.6" thickTop="1" thickBot="1" x14ac:dyDescent="0.35">
      <c r="A810" s="4">
        <v>45672</v>
      </c>
      <c r="B810" s="5" t="s">
        <v>21</v>
      </c>
      <c r="C810" s="5" t="s">
        <v>41</v>
      </c>
      <c r="D810" s="5" t="s">
        <v>25</v>
      </c>
      <c r="E810" s="5" t="s">
        <v>19</v>
      </c>
      <c r="F810" s="5">
        <v>66</v>
      </c>
      <c r="G810" s="5">
        <v>831</v>
      </c>
      <c r="H810" s="5">
        <v>787</v>
      </c>
      <c r="I810" s="6">
        <f t="shared" si="36"/>
        <v>54846</v>
      </c>
      <c r="J810" s="6">
        <f t="shared" si="37"/>
        <v>51942</v>
      </c>
      <c r="K810" s="6">
        <f t="shared" si="38"/>
        <v>-2904</v>
      </c>
    </row>
    <row r="811" spans="1:11" ht="15.6" thickTop="1" thickBot="1" x14ac:dyDescent="0.35">
      <c r="A811" s="4">
        <v>45673</v>
      </c>
      <c r="B811" s="5" t="s">
        <v>21</v>
      </c>
      <c r="C811" s="5" t="s">
        <v>41</v>
      </c>
      <c r="D811" s="5" t="s">
        <v>20</v>
      </c>
      <c r="E811" s="5" t="s">
        <v>19</v>
      </c>
      <c r="F811" s="5">
        <v>86</v>
      </c>
      <c r="G811" s="5">
        <v>855</v>
      </c>
      <c r="H811" s="5">
        <v>930</v>
      </c>
      <c r="I811" s="6">
        <f t="shared" si="36"/>
        <v>73530</v>
      </c>
      <c r="J811" s="6">
        <f t="shared" si="37"/>
        <v>79980</v>
      </c>
      <c r="K811" s="6">
        <f t="shared" si="38"/>
        <v>6450</v>
      </c>
    </row>
    <row r="812" spans="1:11" ht="15.6" thickTop="1" thickBot="1" x14ac:dyDescent="0.35">
      <c r="A812" s="4">
        <v>45674</v>
      </c>
      <c r="B812" s="5" t="s">
        <v>21</v>
      </c>
      <c r="C812" s="5" t="s">
        <v>41</v>
      </c>
      <c r="D812" s="5" t="s">
        <v>39</v>
      </c>
      <c r="E812" s="5" t="s">
        <v>14</v>
      </c>
      <c r="F812" s="5">
        <v>84</v>
      </c>
      <c r="G812" s="5">
        <v>948</v>
      </c>
      <c r="H812" s="5">
        <v>1156</v>
      </c>
      <c r="I812" s="6">
        <f t="shared" si="36"/>
        <v>79632</v>
      </c>
      <c r="J812" s="6">
        <f t="shared" si="37"/>
        <v>97104</v>
      </c>
      <c r="K812" s="6">
        <f t="shared" si="38"/>
        <v>17472</v>
      </c>
    </row>
    <row r="813" spans="1:11" ht="15.6" thickTop="1" thickBot="1" x14ac:dyDescent="0.35">
      <c r="A813" s="4">
        <v>45675</v>
      </c>
      <c r="B813" s="5" t="s">
        <v>21</v>
      </c>
      <c r="C813" s="5" t="s">
        <v>41</v>
      </c>
      <c r="D813" s="5" t="s">
        <v>26</v>
      </c>
      <c r="E813" s="5" t="s">
        <v>14</v>
      </c>
      <c r="F813" s="5">
        <v>90</v>
      </c>
      <c r="G813" s="5">
        <v>962</v>
      </c>
      <c r="H813" s="5">
        <v>970</v>
      </c>
      <c r="I813" s="6">
        <f t="shared" si="36"/>
        <v>86580</v>
      </c>
      <c r="J813" s="6">
        <f t="shared" si="37"/>
        <v>87300</v>
      </c>
      <c r="K813" s="6">
        <f t="shared" si="38"/>
        <v>720</v>
      </c>
    </row>
    <row r="814" spans="1:11" ht="15.6" thickTop="1" thickBot="1" x14ac:dyDescent="0.35">
      <c r="A814" s="4">
        <v>45676</v>
      </c>
      <c r="B814" s="5" t="s">
        <v>21</v>
      </c>
      <c r="C814" s="5" t="s">
        <v>41</v>
      </c>
      <c r="D814" s="5" t="s">
        <v>43</v>
      </c>
      <c r="E814" s="5" t="s">
        <v>14</v>
      </c>
      <c r="F814" s="5">
        <v>84</v>
      </c>
      <c r="G814" s="5">
        <v>521</v>
      </c>
      <c r="H814" s="5">
        <v>1320</v>
      </c>
      <c r="I814" s="6">
        <f t="shared" si="36"/>
        <v>43764</v>
      </c>
      <c r="J814" s="6">
        <f t="shared" si="37"/>
        <v>110880</v>
      </c>
      <c r="K814" s="6">
        <f t="shared" si="38"/>
        <v>67116</v>
      </c>
    </row>
    <row r="815" spans="1:11" ht="15.6" thickTop="1" thickBot="1" x14ac:dyDescent="0.35">
      <c r="A815" s="4">
        <v>45700</v>
      </c>
      <c r="B815" s="5" t="s">
        <v>21</v>
      </c>
      <c r="C815" s="5" t="s">
        <v>38</v>
      </c>
      <c r="D815" s="5" t="s">
        <v>25</v>
      </c>
      <c r="E815" s="5" t="s">
        <v>14</v>
      </c>
      <c r="F815" s="5">
        <v>85</v>
      </c>
      <c r="G815" s="5">
        <v>938</v>
      </c>
      <c r="H815" s="5">
        <v>802</v>
      </c>
      <c r="I815" s="6">
        <f t="shared" si="36"/>
        <v>79730</v>
      </c>
      <c r="J815" s="6">
        <f t="shared" si="37"/>
        <v>68170</v>
      </c>
      <c r="K815" s="6">
        <f t="shared" si="38"/>
        <v>-11560</v>
      </c>
    </row>
    <row r="816" spans="1:11" ht="15.6" thickTop="1" thickBot="1" x14ac:dyDescent="0.35">
      <c r="A816" s="4">
        <v>45535</v>
      </c>
      <c r="B816" s="5" t="s">
        <v>21</v>
      </c>
      <c r="C816" s="5" t="s">
        <v>38</v>
      </c>
      <c r="D816" s="5" t="s">
        <v>15</v>
      </c>
      <c r="E816" s="5" t="s">
        <v>19</v>
      </c>
      <c r="F816" s="5">
        <v>60</v>
      </c>
      <c r="G816" s="5">
        <v>645</v>
      </c>
      <c r="H816" s="5">
        <v>936</v>
      </c>
      <c r="I816" s="6">
        <f t="shared" si="36"/>
        <v>38700</v>
      </c>
      <c r="J816" s="6">
        <f t="shared" si="37"/>
        <v>56160</v>
      </c>
      <c r="K816" s="6">
        <f t="shared" si="38"/>
        <v>17460</v>
      </c>
    </row>
    <row r="817" spans="1:11" ht="15.6" thickTop="1" thickBot="1" x14ac:dyDescent="0.35">
      <c r="A817" s="4">
        <v>45701</v>
      </c>
      <c r="B817" s="5" t="s">
        <v>21</v>
      </c>
      <c r="C817" s="5" t="s">
        <v>38</v>
      </c>
      <c r="D817" s="5" t="s">
        <v>25</v>
      </c>
      <c r="E817" s="5" t="s">
        <v>14</v>
      </c>
      <c r="F817" s="5">
        <v>62</v>
      </c>
      <c r="G817" s="5">
        <v>562</v>
      </c>
      <c r="H817" s="5">
        <v>884</v>
      </c>
      <c r="I817" s="6">
        <f t="shared" si="36"/>
        <v>34844</v>
      </c>
      <c r="J817" s="6">
        <f t="shared" si="37"/>
        <v>54808</v>
      </c>
      <c r="K817" s="6">
        <f t="shared" si="38"/>
        <v>19964</v>
      </c>
    </row>
    <row r="818" spans="1:11" ht="15.6" thickTop="1" thickBot="1" x14ac:dyDescent="0.35">
      <c r="A818" s="4">
        <v>45703</v>
      </c>
      <c r="B818" s="5" t="s">
        <v>21</v>
      </c>
      <c r="C818" s="5" t="s">
        <v>38</v>
      </c>
      <c r="D818" s="5" t="s">
        <v>34</v>
      </c>
      <c r="E818" s="5" t="s">
        <v>14</v>
      </c>
      <c r="F818" s="5">
        <v>50</v>
      </c>
      <c r="G818" s="5">
        <v>887</v>
      </c>
      <c r="H818" s="5">
        <v>1068</v>
      </c>
      <c r="I818" s="6">
        <f t="shared" si="36"/>
        <v>44350</v>
      </c>
      <c r="J818" s="6">
        <f t="shared" si="37"/>
        <v>53400</v>
      </c>
      <c r="K818" s="6">
        <f t="shared" si="38"/>
        <v>9050</v>
      </c>
    </row>
    <row r="819" spans="1:11" ht="15.6" thickTop="1" thickBot="1" x14ac:dyDescent="0.35">
      <c r="A819" s="4">
        <v>45704</v>
      </c>
      <c r="B819" s="5" t="s">
        <v>21</v>
      </c>
      <c r="C819" s="5" t="s">
        <v>38</v>
      </c>
      <c r="D819" s="5" t="s">
        <v>32</v>
      </c>
      <c r="E819" s="5" t="s">
        <v>19</v>
      </c>
      <c r="F819" s="5">
        <v>66</v>
      </c>
      <c r="G819" s="5">
        <v>771</v>
      </c>
      <c r="H819" s="5">
        <v>1492</v>
      </c>
      <c r="I819" s="6">
        <f t="shared" si="36"/>
        <v>50886</v>
      </c>
      <c r="J819" s="6">
        <f t="shared" si="37"/>
        <v>98472</v>
      </c>
      <c r="K819" s="6">
        <f t="shared" si="38"/>
        <v>47586</v>
      </c>
    </row>
    <row r="820" spans="1:11" ht="15.6" thickTop="1" thickBot="1" x14ac:dyDescent="0.35">
      <c r="A820" s="4">
        <v>45705</v>
      </c>
      <c r="B820" s="5" t="s">
        <v>21</v>
      </c>
      <c r="C820" s="5" t="s">
        <v>38</v>
      </c>
      <c r="D820" s="5" t="s">
        <v>25</v>
      </c>
      <c r="E820" s="5" t="s">
        <v>19</v>
      </c>
      <c r="F820" s="5">
        <v>61</v>
      </c>
      <c r="G820" s="5">
        <v>529</v>
      </c>
      <c r="H820" s="5">
        <v>1419</v>
      </c>
      <c r="I820" s="6">
        <f t="shared" si="36"/>
        <v>32269</v>
      </c>
      <c r="J820" s="6">
        <f t="shared" si="37"/>
        <v>86559</v>
      </c>
      <c r="K820" s="6">
        <f t="shared" si="38"/>
        <v>54290</v>
      </c>
    </row>
    <row r="821" spans="1:11" ht="15.6" thickTop="1" thickBot="1" x14ac:dyDescent="0.35">
      <c r="A821" s="4">
        <v>45540</v>
      </c>
      <c r="B821" s="5" t="s">
        <v>21</v>
      </c>
      <c r="C821" s="5" t="s">
        <v>41</v>
      </c>
      <c r="D821" s="5" t="s">
        <v>20</v>
      </c>
      <c r="E821" s="5" t="s">
        <v>14</v>
      </c>
      <c r="F821" s="5">
        <v>68</v>
      </c>
      <c r="G821" s="5">
        <v>777</v>
      </c>
      <c r="H821" s="5">
        <v>1433</v>
      </c>
      <c r="I821" s="6">
        <f t="shared" si="36"/>
        <v>52836</v>
      </c>
      <c r="J821" s="6">
        <f t="shared" si="37"/>
        <v>97444</v>
      </c>
      <c r="K821" s="6">
        <f t="shared" si="38"/>
        <v>44608</v>
      </c>
    </row>
    <row r="822" spans="1:11" ht="15.6" thickTop="1" thickBot="1" x14ac:dyDescent="0.35">
      <c r="A822" s="4">
        <v>45706</v>
      </c>
      <c r="B822" s="5" t="s">
        <v>21</v>
      </c>
      <c r="C822" s="5" t="s">
        <v>38</v>
      </c>
      <c r="D822" s="5" t="s">
        <v>20</v>
      </c>
      <c r="E822" s="5" t="s">
        <v>19</v>
      </c>
      <c r="F822" s="5">
        <v>78</v>
      </c>
      <c r="G822" s="5">
        <v>511</v>
      </c>
      <c r="H822" s="5">
        <v>1368</v>
      </c>
      <c r="I822" s="6">
        <f t="shared" si="36"/>
        <v>39858</v>
      </c>
      <c r="J822" s="6">
        <f t="shared" si="37"/>
        <v>106704</v>
      </c>
      <c r="K822" s="6">
        <f t="shared" si="38"/>
        <v>66846</v>
      </c>
    </row>
    <row r="823" spans="1:11" ht="15.6" thickTop="1" thickBot="1" x14ac:dyDescent="0.35">
      <c r="A823" s="4">
        <v>45707</v>
      </c>
      <c r="B823" s="5" t="s">
        <v>21</v>
      </c>
      <c r="C823" s="5" t="s">
        <v>38</v>
      </c>
      <c r="D823" s="5" t="s">
        <v>39</v>
      </c>
      <c r="E823" s="5" t="s">
        <v>19</v>
      </c>
      <c r="F823" s="5">
        <v>96</v>
      </c>
      <c r="G823" s="5">
        <v>790</v>
      </c>
      <c r="H823" s="5">
        <v>1335</v>
      </c>
      <c r="I823" s="6">
        <f t="shared" si="36"/>
        <v>75840</v>
      </c>
      <c r="J823" s="6">
        <f t="shared" si="37"/>
        <v>128160</v>
      </c>
      <c r="K823" s="6">
        <f t="shared" si="38"/>
        <v>52320</v>
      </c>
    </row>
    <row r="824" spans="1:11" ht="15.6" thickTop="1" thickBot="1" x14ac:dyDescent="0.35">
      <c r="A824" s="4">
        <v>45708</v>
      </c>
      <c r="B824" s="5" t="s">
        <v>21</v>
      </c>
      <c r="C824" s="5" t="s">
        <v>38</v>
      </c>
      <c r="D824" s="5" t="s">
        <v>26</v>
      </c>
      <c r="E824" s="5" t="s">
        <v>14</v>
      </c>
      <c r="F824" s="5">
        <v>63</v>
      </c>
      <c r="G824" s="5">
        <v>722</v>
      </c>
      <c r="H824" s="5">
        <v>1374</v>
      </c>
      <c r="I824" s="6">
        <f t="shared" si="36"/>
        <v>45486</v>
      </c>
      <c r="J824" s="6">
        <f t="shared" si="37"/>
        <v>86562</v>
      </c>
      <c r="K824" s="6">
        <f t="shared" si="38"/>
        <v>41076</v>
      </c>
    </row>
    <row r="825" spans="1:11" ht="15.6" thickTop="1" thickBot="1" x14ac:dyDescent="0.35">
      <c r="A825" s="4">
        <v>45710</v>
      </c>
      <c r="B825" s="5" t="s">
        <v>21</v>
      </c>
      <c r="C825" s="5" t="s">
        <v>38</v>
      </c>
      <c r="D825" s="5" t="s">
        <v>44</v>
      </c>
      <c r="E825" s="5" t="s">
        <v>19</v>
      </c>
      <c r="F825" s="5">
        <v>92</v>
      </c>
      <c r="G825" s="5">
        <v>521</v>
      </c>
      <c r="H825" s="5">
        <v>1414</v>
      </c>
      <c r="I825" s="6">
        <f t="shared" si="36"/>
        <v>47932</v>
      </c>
      <c r="J825" s="6">
        <f t="shared" si="37"/>
        <v>130088</v>
      </c>
      <c r="K825" s="6">
        <f t="shared" si="38"/>
        <v>82156</v>
      </c>
    </row>
    <row r="826" spans="1:11" ht="15.6" thickTop="1" thickBot="1" x14ac:dyDescent="0.35">
      <c r="A826" s="4">
        <v>45711</v>
      </c>
      <c r="B826" s="5" t="s">
        <v>21</v>
      </c>
      <c r="C826" s="5" t="s">
        <v>38</v>
      </c>
      <c r="D826" s="5" t="s">
        <v>13</v>
      </c>
      <c r="E826" s="5" t="s">
        <v>19</v>
      </c>
      <c r="F826" s="5">
        <v>65</v>
      </c>
      <c r="G826" s="5">
        <v>661</v>
      </c>
      <c r="H826" s="5">
        <v>1425</v>
      </c>
      <c r="I826" s="6">
        <f t="shared" si="36"/>
        <v>42965</v>
      </c>
      <c r="J826" s="6">
        <f t="shared" si="37"/>
        <v>92625</v>
      </c>
      <c r="K826" s="6">
        <f t="shared" si="38"/>
        <v>49660</v>
      </c>
    </row>
    <row r="827" spans="1:11" ht="15.6" thickTop="1" thickBot="1" x14ac:dyDescent="0.35">
      <c r="A827" s="4">
        <v>45712</v>
      </c>
      <c r="B827" s="5" t="s">
        <v>21</v>
      </c>
      <c r="C827" s="5" t="s">
        <v>41</v>
      </c>
      <c r="D827" s="5" t="s">
        <v>15</v>
      </c>
      <c r="E827" s="5" t="s">
        <v>19</v>
      </c>
      <c r="F827" s="5">
        <v>77</v>
      </c>
      <c r="G827" s="5">
        <v>595</v>
      </c>
      <c r="H827" s="5">
        <v>1470</v>
      </c>
      <c r="I827" s="6">
        <f t="shared" si="36"/>
        <v>45815</v>
      </c>
      <c r="J827" s="6">
        <f t="shared" si="37"/>
        <v>113190</v>
      </c>
      <c r="K827" s="6">
        <f t="shared" si="38"/>
        <v>67375</v>
      </c>
    </row>
    <row r="828" spans="1:11" ht="15.6" thickTop="1" thickBot="1" x14ac:dyDescent="0.35">
      <c r="A828" s="4">
        <v>45713</v>
      </c>
      <c r="B828" s="5" t="s">
        <v>21</v>
      </c>
      <c r="C828" s="5" t="s">
        <v>46</v>
      </c>
      <c r="D828" s="5" t="s">
        <v>15</v>
      </c>
      <c r="E828" s="5" t="s">
        <v>19</v>
      </c>
      <c r="F828" s="5">
        <v>62</v>
      </c>
      <c r="G828" s="5">
        <v>774</v>
      </c>
      <c r="H828" s="5">
        <v>1050</v>
      </c>
      <c r="I828" s="6">
        <f t="shared" si="36"/>
        <v>47988</v>
      </c>
      <c r="J828" s="6">
        <f t="shared" si="37"/>
        <v>65100</v>
      </c>
      <c r="K828" s="6">
        <f t="shared" si="38"/>
        <v>17112</v>
      </c>
    </row>
    <row r="829" spans="1:11" ht="15.6" thickTop="1" thickBot="1" x14ac:dyDescent="0.35">
      <c r="A829" s="4">
        <v>45387</v>
      </c>
      <c r="B829" s="5" t="s">
        <v>21</v>
      </c>
      <c r="C829" s="5" t="s">
        <v>22</v>
      </c>
      <c r="D829" s="5" t="s">
        <v>36</v>
      </c>
      <c r="E829" s="5" t="s">
        <v>19</v>
      </c>
      <c r="F829" s="5">
        <v>65</v>
      </c>
      <c r="G829" s="5">
        <v>816</v>
      </c>
      <c r="H829" s="5">
        <v>1347</v>
      </c>
      <c r="I829" s="6">
        <f t="shared" si="36"/>
        <v>53040</v>
      </c>
      <c r="J829" s="6">
        <f t="shared" si="37"/>
        <v>87555</v>
      </c>
      <c r="K829" s="6">
        <f t="shared" si="38"/>
        <v>34515</v>
      </c>
    </row>
    <row r="830" spans="1:11" ht="15.6" thickTop="1" thickBot="1" x14ac:dyDescent="0.35">
      <c r="A830" s="4">
        <v>45549</v>
      </c>
      <c r="B830" s="5" t="s">
        <v>11</v>
      </c>
      <c r="C830" s="5" t="s">
        <v>24</v>
      </c>
      <c r="D830" s="5" t="s">
        <v>23</v>
      </c>
      <c r="E830" s="5" t="s">
        <v>14</v>
      </c>
      <c r="F830" s="5">
        <v>19</v>
      </c>
      <c r="G830" s="5">
        <v>576</v>
      </c>
      <c r="H830" s="5">
        <v>1181</v>
      </c>
      <c r="I830" s="6">
        <f t="shared" si="36"/>
        <v>10944</v>
      </c>
      <c r="J830" s="6">
        <f t="shared" si="37"/>
        <v>22439</v>
      </c>
      <c r="K830" s="6">
        <f t="shared" si="38"/>
        <v>11495</v>
      </c>
    </row>
    <row r="831" spans="1:11" ht="15.6" thickTop="1" thickBot="1" x14ac:dyDescent="0.35">
      <c r="A831" s="4">
        <v>45388</v>
      </c>
      <c r="B831" s="5" t="s">
        <v>21</v>
      </c>
      <c r="C831" s="5" t="s">
        <v>22</v>
      </c>
      <c r="D831" s="5" t="s">
        <v>37</v>
      </c>
      <c r="E831" s="5" t="s">
        <v>19</v>
      </c>
      <c r="F831" s="5">
        <v>100</v>
      </c>
      <c r="G831" s="5">
        <v>893</v>
      </c>
      <c r="H831" s="5">
        <v>1460</v>
      </c>
      <c r="I831" s="6">
        <f t="shared" si="36"/>
        <v>89300</v>
      </c>
      <c r="J831" s="6">
        <f t="shared" si="37"/>
        <v>146000</v>
      </c>
      <c r="K831" s="6">
        <f t="shared" si="38"/>
        <v>56700</v>
      </c>
    </row>
    <row r="832" spans="1:11" ht="15.6" thickTop="1" thickBot="1" x14ac:dyDescent="0.35">
      <c r="A832" s="4">
        <v>45390</v>
      </c>
      <c r="B832" s="5" t="s">
        <v>21</v>
      </c>
      <c r="C832" s="5" t="s">
        <v>22</v>
      </c>
      <c r="D832" s="5" t="s">
        <v>26</v>
      </c>
      <c r="E832" s="5" t="s">
        <v>19</v>
      </c>
      <c r="F832" s="5">
        <v>79</v>
      </c>
      <c r="G832" s="5">
        <v>632</v>
      </c>
      <c r="H832" s="5">
        <v>1271</v>
      </c>
      <c r="I832" s="6">
        <f t="shared" si="36"/>
        <v>49928</v>
      </c>
      <c r="J832" s="6">
        <f t="shared" si="37"/>
        <v>100409</v>
      </c>
      <c r="K832" s="6">
        <f t="shared" si="38"/>
        <v>50481</v>
      </c>
    </row>
    <row r="833" spans="1:11" ht="15.6" thickTop="1" thickBot="1" x14ac:dyDescent="0.35">
      <c r="A833" s="4">
        <v>45397</v>
      </c>
      <c r="B833" s="5" t="s">
        <v>21</v>
      </c>
      <c r="C833" s="5" t="s">
        <v>45</v>
      </c>
      <c r="D833" s="5" t="s">
        <v>26</v>
      </c>
      <c r="E833" s="5" t="s">
        <v>14</v>
      </c>
      <c r="F833" s="5">
        <v>74</v>
      </c>
      <c r="G833" s="5">
        <v>859</v>
      </c>
      <c r="H833" s="5">
        <v>1315</v>
      </c>
      <c r="I833" s="6">
        <f t="shared" si="36"/>
        <v>63566</v>
      </c>
      <c r="J833" s="6">
        <f t="shared" si="37"/>
        <v>97310</v>
      </c>
      <c r="K833" s="6">
        <f t="shared" si="38"/>
        <v>33744</v>
      </c>
    </row>
    <row r="834" spans="1:11" ht="15.6" thickTop="1" thickBot="1" x14ac:dyDescent="0.35">
      <c r="A834" s="4">
        <v>45398</v>
      </c>
      <c r="B834" s="5" t="s">
        <v>21</v>
      </c>
      <c r="C834" s="5" t="s">
        <v>45</v>
      </c>
      <c r="D834" s="5" t="s">
        <v>29</v>
      </c>
      <c r="E834" s="5" t="s">
        <v>14</v>
      </c>
      <c r="F834" s="5">
        <v>77</v>
      </c>
      <c r="G834" s="5">
        <v>579</v>
      </c>
      <c r="H834" s="5">
        <v>1178</v>
      </c>
      <c r="I834" s="6">
        <f t="shared" ref="I834:I897" si="39">F834*G834</f>
        <v>44583</v>
      </c>
      <c r="J834" s="6">
        <f t="shared" ref="J834:J897" si="40">F834*H834</f>
        <v>90706</v>
      </c>
      <c r="K834" s="6">
        <f t="shared" ref="K834:K897" si="41">J834-I834</f>
        <v>46123</v>
      </c>
    </row>
    <row r="835" spans="1:11" ht="15.6" thickTop="1" thickBot="1" x14ac:dyDescent="0.35">
      <c r="A835" s="4">
        <v>45554</v>
      </c>
      <c r="B835" s="5" t="s">
        <v>11</v>
      </c>
      <c r="C835" s="5" t="s">
        <v>24</v>
      </c>
      <c r="D835" s="5" t="s">
        <v>25</v>
      </c>
      <c r="E835" s="5" t="s">
        <v>19</v>
      </c>
      <c r="F835" s="5">
        <v>16</v>
      </c>
      <c r="G835" s="5">
        <v>689</v>
      </c>
      <c r="H835" s="5">
        <v>1068</v>
      </c>
      <c r="I835" s="6">
        <f t="shared" si="39"/>
        <v>11024</v>
      </c>
      <c r="J835" s="6">
        <f t="shared" si="40"/>
        <v>17088</v>
      </c>
      <c r="K835" s="6">
        <f t="shared" si="41"/>
        <v>6064</v>
      </c>
    </row>
    <row r="836" spans="1:11" ht="15.6" thickTop="1" thickBot="1" x14ac:dyDescent="0.35">
      <c r="A836" s="4">
        <v>45399</v>
      </c>
      <c r="B836" s="5" t="s">
        <v>21</v>
      </c>
      <c r="C836" s="5" t="s">
        <v>45</v>
      </c>
      <c r="D836" s="5" t="s">
        <v>18</v>
      </c>
      <c r="E836" s="5" t="s">
        <v>14</v>
      </c>
      <c r="F836" s="5">
        <v>61</v>
      </c>
      <c r="G836" s="5">
        <v>865</v>
      </c>
      <c r="H836" s="5">
        <v>894</v>
      </c>
      <c r="I836" s="6">
        <f t="shared" si="39"/>
        <v>52765</v>
      </c>
      <c r="J836" s="6">
        <f t="shared" si="40"/>
        <v>54534</v>
      </c>
      <c r="K836" s="6">
        <f t="shared" si="41"/>
        <v>1769</v>
      </c>
    </row>
    <row r="837" spans="1:11" ht="15.6" thickTop="1" thickBot="1" x14ac:dyDescent="0.35">
      <c r="A837" s="4">
        <v>45400</v>
      </c>
      <c r="B837" s="5" t="s">
        <v>21</v>
      </c>
      <c r="C837" s="5" t="s">
        <v>45</v>
      </c>
      <c r="D837" s="5" t="s">
        <v>30</v>
      </c>
      <c r="E837" s="5" t="s">
        <v>14</v>
      </c>
      <c r="F837" s="5">
        <v>57</v>
      </c>
      <c r="G837" s="5">
        <v>881</v>
      </c>
      <c r="H837" s="5">
        <v>1185</v>
      </c>
      <c r="I837" s="6">
        <f t="shared" si="39"/>
        <v>50217</v>
      </c>
      <c r="J837" s="6">
        <f t="shared" si="40"/>
        <v>67545</v>
      </c>
      <c r="K837" s="6">
        <f t="shared" si="41"/>
        <v>17328</v>
      </c>
    </row>
    <row r="838" spans="1:11" ht="15.6" thickTop="1" thickBot="1" x14ac:dyDescent="0.35">
      <c r="A838" s="4">
        <v>45401</v>
      </c>
      <c r="B838" s="5" t="s">
        <v>21</v>
      </c>
      <c r="C838" s="5" t="s">
        <v>45</v>
      </c>
      <c r="D838" s="5" t="s">
        <v>31</v>
      </c>
      <c r="E838" s="5" t="s">
        <v>14</v>
      </c>
      <c r="F838" s="5">
        <v>57</v>
      </c>
      <c r="G838" s="5">
        <v>548</v>
      </c>
      <c r="H838" s="5">
        <v>1306</v>
      </c>
      <c r="I838" s="6">
        <f t="shared" si="39"/>
        <v>31236</v>
      </c>
      <c r="J838" s="6">
        <f t="shared" si="40"/>
        <v>74442</v>
      </c>
      <c r="K838" s="6">
        <f t="shared" si="41"/>
        <v>43206</v>
      </c>
    </row>
    <row r="839" spans="1:11" ht="15.6" thickTop="1" thickBot="1" x14ac:dyDescent="0.35">
      <c r="A839" s="4">
        <v>45402</v>
      </c>
      <c r="B839" s="5" t="s">
        <v>21</v>
      </c>
      <c r="C839" s="5" t="s">
        <v>45</v>
      </c>
      <c r="D839" s="5" t="s">
        <v>23</v>
      </c>
      <c r="E839" s="5" t="s">
        <v>19</v>
      </c>
      <c r="F839" s="5">
        <v>84</v>
      </c>
      <c r="G839" s="5">
        <v>702</v>
      </c>
      <c r="H839" s="5">
        <v>787</v>
      </c>
      <c r="I839" s="6">
        <f t="shared" si="39"/>
        <v>58968</v>
      </c>
      <c r="J839" s="6">
        <f t="shared" si="40"/>
        <v>66108</v>
      </c>
      <c r="K839" s="6">
        <f t="shared" si="41"/>
        <v>7140</v>
      </c>
    </row>
    <row r="840" spans="1:11" ht="15.6" thickTop="1" thickBot="1" x14ac:dyDescent="0.35">
      <c r="A840" s="4">
        <v>45403</v>
      </c>
      <c r="B840" s="5" t="s">
        <v>21</v>
      </c>
      <c r="C840" s="5" t="s">
        <v>45</v>
      </c>
      <c r="D840" s="5" t="s">
        <v>25</v>
      </c>
      <c r="E840" s="5" t="s">
        <v>19</v>
      </c>
      <c r="F840" s="5">
        <v>76</v>
      </c>
      <c r="G840" s="5">
        <v>875</v>
      </c>
      <c r="H840" s="5">
        <v>1268</v>
      </c>
      <c r="I840" s="6">
        <f t="shared" si="39"/>
        <v>66500</v>
      </c>
      <c r="J840" s="6">
        <f t="shared" si="40"/>
        <v>96368</v>
      </c>
      <c r="K840" s="6">
        <f t="shared" si="41"/>
        <v>29868</v>
      </c>
    </row>
    <row r="841" spans="1:11" ht="15.6" thickTop="1" thickBot="1" x14ac:dyDescent="0.35">
      <c r="A841" s="4">
        <v>45431</v>
      </c>
      <c r="B841" s="5" t="s">
        <v>21</v>
      </c>
      <c r="C841" s="5" t="s">
        <v>38</v>
      </c>
      <c r="D841" s="5" t="s">
        <v>32</v>
      </c>
      <c r="E841" s="5" t="s">
        <v>19</v>
      </c>
      <c r="F841" s="5">
        <v>50</v>
      </c>
      <c r="G841" s="5">
        <v>885</v>
      </c>
      <c r="H841" s="5">
        <v>927</v>
      </c>
      <c r="I841" s="6">
        <f t="shared" si="39"/>
        <v>44250</v>
      </c>
      <c r="J841" s="6">
        <f t="shared" si="40"/>
        <v>46350</v>
      </c>
      <c r="K841" s="6">
        <f t="shared" si="41"/>
        <v>2100</v>
      </c>
    </row>
    <row r="842" spans="1:11" ht="15.6" thickTop="1" thickBot="1" x14ac:dyDescent="0.35">
      <c r="A842" s="4">
        <v>45433</v>
      </c>
      <c r="B842" s="5" t="s">
        <v>21</v>
      </c>
      <c r="C842" s="5" t="s">
        <v>38</v>
      </c>
      <c r="D842" s="5" t="s">
        <v>25</v>
      </c>
      <c r="E842" s="5" t="s">
        <v>14</v>
      </c>
      <c r="F842" s="5">
        <v>53</v>
      </c>
      <c r="G842" s="5">
        <v>950</v>
      </c>
      <c r="H842" s="5">
        <v>875</v>
      </c>
      <c r="I842" s="6">
        <f t="shared" si="39"/>
        <v>50350</v>
      </c>
      <c r="J842" s="6">
        <f t="shared" si="40"/>
        <v>46375</v>
      </c>
      <c r="K842" s="6">
        <f t="shared" si="41"/>
        <v>-3975</v>
      </c>
    </row>
    <row r="843" spans="1:11" ht="15.6" thickTop="1" thickBot="1" x14ac:dyDescent="0.35">
      <c r="A843" s="4">
        <v>45434</v>
      </c>
      <c r="B843" s="5" t="s">
        <v>21</v>
      </c>
      <c r="C843" s="5" t="s">
        <v>38</v>
      </c>
      <c r="D843" s="5" t="s">
        <v>25</v>
      </c>
      <c r="E843" s="5" t="s">
        <v>14</v>
      </c>
      <c r="F843" s="5">
        <v>62</v>
      </c>
      <c r="G843" s="5">
        <v>623</v>
      </c>
      <c r="H843" s="5">
        <v>1253</v>
      </c>
      <c r="I843" s="6">
        <f t="shared" si="39"/>
        <v>38626</v>
      </c>
      <c r="J843" s="6">
        <f t="shared" si="40"/>
        <v>77686</v>
      </c>
      <c r="K843" s="6">
        <f t="shared" si="41"/>
        <v>39060</v>
      </c>
    </row>
    <row r="844" spans="1:11" ht="15.6" thickTop="1" thickBot="1" x14ac:dyDescent="0.35">
      <c r="A844" s="4">
        <v>45563</v>
      </c>
      <c r="B844" s="5" t="s">
        <v>11</v>
      </c>
      <c r="C844" s="5" t="s">
        <v>12</v>
      </c>
      <c r="D844" s="5" t="s">
        <v>25</v>
      </c>
      <c r="E844" s="5" t="s">
        <v>14</v>
      </c>
      <c r="F844" s="5">
        <v>18</v>
      </c>
      <c r="G844" s="5">
        <v>835</v>
      </c>
      <c r="H844" s="5">
        <v>1234</v>
      </c>
      <c r="I844" s="6">
        <f t="shared" si="39"/>
        <v>15030</v>
      </c>
      <c r="J844" s="6">
        <f t="shared" si="40"/>
        <v>22212</v>
      </c>
      <c r="K844" s="6">
        <f t="shared" si="41"/>
        <v>7182</v>
      </c>
    </row>
    <row r="845" spans="1:11" ht="15.6" thickTop="1" thickBot="1" x14ac:dyDescent="0.35">
      <c r="A845" s="4">
        <v>45435</v>
      </c>
      <c r="B845" s="5" t="s">
        <v>21</v>
      </c>
      <c r="C845" s="5" t="s">
        <v>38</v>
      </c>
      <c r="D845" s="5" t="s">
        <v>26</v>
      </c>
      <c r="E845" s="5" t="s">
        <v>14</v>
      </c>
      <c r="F845" s="5">
        <v>72</v>
      </c>
      <c r="G845" s="5">
        <v>920</v>
      </c>
      <c r="H845" s="5">
        <v>753</v>
      </c>
      <c r="I845" s="6">
        <f t="shared" si="39"/>
        <v>66240</v>
      </c>
      <c r="J845" s="6">
        <f t="shared" si="40"/>
        <v>54216</v>
      </c>
      <c r="K845" s="6">
        <f t="shared" si="41"/>
        <v>-12024</v>
      </c>
    </row>
    <row r="846" spans="1:11" ht="15.6" thickTop="1" thickBot="1" x14ac:dyDescent="0.35">
      <c r="A846" s="4">
        <v>45565</v>
      </c>
      <c r="B846" s="5" t="s">
        <v>11</v>
      </c>
      <c r="C846" s="5" t="s">
        <v>12</v>
      </c>
      <c r="D846" s="5" t="s">
        <v>34</v>
      </c>
      <c r="E846" s="5" t="s">
        <v>14</v>
      </c>
      <c r="F846" s="5">
        <v>13</v>
      </c>
      <c r="G846" s="5">
        <v>855</v>
      </c>
      <c r="H846" s="5">
        <v>951</v>
      </c>
      <c r="I846" s="6">
        <f t="shared" si="39"/>
        <v>11115</v>
      </c>
      <c r="J846" s="6">
        <f t="shared" si="40"/>
        <v>12363</v>
      </c>
      <c r="K846" s="6">
        <f t="shared" si="41"/>
        <v>1248</v>
      </c>
    </row>
    <row r="847" spans="1:11" ht="15.6" thickTop="1" thickBot="1" x14ac:dyDescent="0.35">
      <c r="A847" s="4">
        <v>45436</v>
      </c>
      <c r="B847" s="5" t="s">
        <v>21</v>
      </c>
      <c r="C847" s="5" t="s">
        <v>38</v>
      </c>
      <c r="D847" s="5" t="s">
        <v>18</v>
      </c>
      <c r="E847" s="5" t="s">
        <v>14</v>
      </c>
      <c r="F847" s="5">
        <v>69</v>
      </c>
      <c r="G847" s="5">
        <v>860</v>
      </c>
      <c r="H847" s="5">
        <v>1081</v>
      </c>
      <c r="I847" s="6">
        <f t="shared" si="39"/>
        <v>59340</v>
      </c>
      <c r="J847" s="6">
        <f t="shared" si="40"/>
        <v>74589</v>
      </c>
      <c r="K847" s="6">
        <f t="shared" si="41"/>
        <v>15249</v>
      </c>
    </row>
    <row r="848" spans="1:11" ht="15.6" thickTop="1" thickBot="1" x14ac:dyDescent="0.35">
      <c r="A848" s="4">
        <v>45437</v>
      </c>
      <c r="B848" s="5" t="s">
        <v>21</v>
      </c>
      <c r="C848" s="5" t="s">
        <v>38</v>
      </c>
      <c r="D848" s="5" t="s">
        <v>26</v>
      </c>
      <c r="E848" s="5" t="s">
        <v>14</v>
      </c>
      <c r="F848" s="5">
        <v>80</v>
      </c>
      <c r="G848" s="5">
        <v>765</v>
      </c>
      <c r="H848" s="5">
        <v>924</v>
      </c>
      <c r="I848" s="6">
        <f t="shared" si="39"/>
        <v>61200</v>
      </c>
      <c r="J848" s="6">
        <f t="shared" si="40"/>
        <v>73920</v>
      </c>
      <c r="K848" s="6">
        <f t="shared" si="41"/>
        <v>12720</v>
      </c>
    </row>
    <row r="849" spans="1:11" ht="15.6" thickTop="1" thickBot="1" x14ac:dyDescent="0.35">
      <c r="A849" s="4">
        <v>45438</v>
      </c>
      <c r="B849" s="5" t="s">
        <v>21</v>
      </c>
      <c r="C849" s="5" t="s">
        <v>38</v>
      </c>
      <c r="D849" s="5" t="s">
        <v>29</v>
      </c>
      <c r="E849" s="5" t="s">
        <v>14</v>
      </c>
      <c r="F849" s="5">
        <v>75</v>
      </c>
      <c r="G849" s="5">
        <v>690</v>
      </c>
      <c r="H849" s="5">
        <v>817</v>
      </c>
      <c r="I849" s="6">
        <f t="shared" si="39"/>
        <v>51750</v>
      </c>
      <c r="J849" s="6">
        <f t="shared" si="40"/>
        <v>61275</v>
      </c>
      <c r="K849" s="6">
        <f t="shared" si="41"/>
        <v>9525</v>
      </c>
    </row>
    <row r="850" spans="1:11" ht="15.6" thickTop="1" thickBot="1" x14ac:dyDescent="0.35">
      <c r="A850" s="4">
        <v>45439</v>
      </c>
      <c r="B850" s="5" t="s">
        <v>21</v>
      </c>
      <c r="C850" s="5" t="s">
        <v>38</v>
      </c>
      <c r="D850" s="5" t="s">
        <v>18</v>
      </c>
      <c r="E850" s="5" t="s">
        <v>14</v>
      </c>
      <c r="F850" s="5">
        <v>100</v>
      </c>
      <c r="G850" s="5">
        <v>795</v>
      </c>
      <c r="H850" s="5">
        <v>1136</v>
      </c>
      <c r="I850" s="6">
        <f t="shared" si="39"/>
        <v>79500</v>
      </c>
      <c r="J850" s="6">
        <f t="shared" si="40"/>
        <v>113600</v>
      </c>
      <c r="K850" s="6">
        <f t="shared" si="41"/>
        <v>34100</v>
      </c>
    </row>
    <row r="851" spans="1:11" ht="15.6" thickTop="1" thickBot="1" x14ac:dyDescent="0.35">
      <c r="A851" s="4">
        <v>45440</v>
      </c>
      <c r="B851" s="5" t="s">
        <v>21</v>
      </c>
      <c r="C851" s="5" t="s">
        <v>38</v>
      </c>
      <c r="D851" s="5" t="s">
        <v>30</v>
      </c>
      <c r="E851" s="5" t="s">
        <v>19</v>
      </c>
      <c r="F851" s="5">
        <v>85</v>
      </c>
      <c r="G851" s="5">
        <v>845</v>
      </c>
      <c r="H851" s="5">
        <v>1155</v>
      </c>
      <c r="I851" s="6">
        <f t="shared" si="39"/>
        <v>71825</v>
      </c>
      <c r="J851" s="6">
        <f t="shared" si="40"/>
        <v>98175</v>
      </c>
      <c r="K851" s="6">
        <f t="shared" si="41"/>
        <v>26350</v>
      </c>
    </row>
    <row r="852" spans="1:11" ht="15.6" thickTop="1" thickBot="1" x14ac:dyDescent="0.35">
      <c r="A852" s="4">
        <v>45571</v>
      </c>
      <c r="B852" s="5" t="s">
        <v>21</v>
      </c>
      <c r="C852" s="5" t="s">
        <v>38</v>
      </c>
      <c r="D852" s="5" t="s">
        <v>26</v>
      </c>
      <c r="E852" s="5" t="s">
        <v>14</v>
      </c>
      <c r="F852" s="5">
        <v>79</v>
      </c>
      <c r="G852" s="5">
        <v>683</v>
      </c>
      <c r="H852" s="5">
        <v>1444</v>
      </c>
      <c r="I852" s="6">
        <f t="shared" si="39"/>
        <v>53957</v>
      </c>
      <c r="J852" s="6">
        <f t="shared" si="40"/>
        <v>114076</v>
      </c>
      <c r="K852" s="6">
        <f t="shared" si="41"/>
        <v>60119</v>
      </c>
    </row>
    <row r="853" spans="1:11" ht="15.6" thickTop="1" thickBot="1" x14ac:dyDescent="0.35">
      <c r="A853" s="4">
        <v>45442</v>
      </c>
      <c r="B853" s="5" t="s">
        <v>21</v>
      </c>
      <c r="C853" s="5" t="s">
        <v>38</v>
      </c>
      <c r="D853" s="5" t="s">
        <v>23</v>
      </c>
      <c r="E853" s="5" t="s">
        <v>19</v>
      </c>
      <c r="F853" s="5">
        <v>51</v>
      </c>
      <c r="G853" s="5">
        <v>876</v>
      </c>
      <c r="H853" s="5">
        <v>1252</v>
      </c>
      <c r="I853" s="6">
        <f t="shared" si="39"/>
        <v>44676</v>
      </c>
      <c r="J853" s="6">
        <f t="shared" si="40"/>
        <v>63852</v>
      </c>
      <c r="K853" s="6">
        <f t="shared" si="41"/>
        <v>19176</v>
      </c>
    </row>
    <row r="854" spans="1:11" ht="15.6" thickTop="1" thickBot="1" x14ac:dyDescent="0.35">
      <c r="A854" s="4">
        <v>45443</v>
      </c>
      <c r="B854" s="5" t="s">
        <v>21</v>
      </c>
      <c r="C854" s="5" t="s">
        <v>41</v>
      </c>
      <c r="D854" s="5" t="s">
        <v>25</v>
      </c>
      <c r="E854" s="5" t="s">
        <v>19</v>
      </c>
      <c r="F854" s="5">
        <v>55</v>
      </c>
      <c r="G854" s="5">
        <v>793</v>
      </c>
      <c r="H854" s="5">
        <v>1045</v>
      </c>
      <c r="I854" s="6">
        <f t="shared" si="39"/>
        <v>43615</v>
      </c>
      <c r="J854" s="6">
        <f t="shared" si="40"/>
        <v>57475</v>
      </c>
      <c r="K854" s="6">
        <f t="shared" si="41"/>
        <v>13860</v>
      </c>
    </row>
    <row r="855" spans="1:11" ht="15.6" thickTop="1" thickBot="1" x14ac:dyDescent="0.35">
      <c r="A855" s="4">
        <v>45444</v>
      </c>
      <c r="B855" s="5" t="s">
        <v>21</v>
      </c>
      <c r="C855" s="5" t="s">
        <v>41</v>
      </c>
      <c r="D855" s="5" t="s">
        <v>25</v>
      </c>
      <c r="E855" s="5" t="s">
        <v>14</v>
      </c>
      <c r="F855" s="5">
        <v>82</v>
      </c>
      <c r="G855" s="5">
        <v>641</v>
      </c>
      <c r="H855" s="5">
        <v>809</v>
      </c>
      <c r="I855" s="6">
        <f t="shared" si="39"/>
        <v>52562</v>
      </c>
      <c r="J855" s="6">
        <f t="shared" si="40"/>
        <v>66338</v>
      </c>
      <c r="K855" s="6">
        <f t="shared" si="41"/>
        <v>13776</v>
      </c>
    </row>
    <row r="856" spans="1:11" ht="15.6" thickTop="1" thickBot="1" x14ac:dyDescent="0.35">
      <c r="A856" s="4">
        <v>45445</v>
      </c>
      <c r="B856" s="5" t="s">
        <v>21</v>
      </c>
      <c r="C856" s="5" t="s">
        <v>41</v>
      </c>
      <c r="D856" s="5" t="s">
        <v>34</v>
      </c>
      <c r="E856" s="5" t="s">
        <v>19</v>
      </c>
      <c r="F856" s="5">
        <v>80</v>
      </c>
      <c r="G856" s="5">
        <v>678</v>
      </c>
      <c r="H856" s="5">
        <v>1016</v>
      </c>
      <c r="I856" s="6">
        <f t="shared" si="39"/>
        <v>54240</v>
      </c>
      <c r="J856" s="6">
        <f t="shared" si="40"/>
        <v>81280</v>
      </c>
      <c r="K856" s="6">
        <f t="shared" si="41"/>
        <v>27040</v>
      </c>
    </row>
    <row r="857" spans="1:11" ht="15.6" thickTop="1" thickBot="1" x14ac:dyDescent="0.35">
      <c r="A857" s="4">
        <v>45446</v>
      </c>
      <c r="B857" s="5" t="s">
        <v>21</v>
      </c>
      <c r="C857" s="5" t="s">
        <v>41</v>
      </c>
      <c r="D857" s="5" t="s">
        <v>34</v>
      </c>
      <c r="E857" s="5" t="s">
        <v>19</v>
      </c>
      <c r="F857" s="5">
        <v>76</v>
      </c>
      <c r="G857" s="5">
        <v>585</v>
      </c>
      <c r="H857" s="5">
        <v>1366</v>
      </c>
      <c r="I857" s="6">
        <f t="shared" si="39"/>
        <v>44460</v>
      </c>
      <c r="J857" s="6">
        <f t="shared" si="40"/>
        <v>103816</v>
      </c>
      <c r="K857" s="6">
        <f t="shared" si="41"/>
        <v>59356</v>
      </c>
    </row>
    <row r="858" spans="1:11" ht="15.6" thickTop="1" thickBot="1" x14ac:dyDescent="0.35">
      <c r="A858" s="4">
        <v>45447</v>
      </c>
      <c r="B858" s="5" t="s">
        <v>21</v>
      </c>
      <c r="C858" s="5" t="s">
        <v>41</v>
      </c>
      <c r="D858" s="5" t="s">
        <v>32</v>
      </c>
      <c r="E858" s="5" t="s">
        <v>19</v>
      </c>
      <c r="F858" s="5">
        <v>93</v>
      </c>
      <c r="G858" s="5">
        <v>662</v>
      </c>
      <c r="H858" s="5">
        <v>1319</v>
      </c>
      <c r="I858" s="6">
        <f t="shared" si="39"/>
        <v>61566</v>
      </c>
      <c r="J858" s="6">
        <f t="shared" si="40"/>
        <v>122667</v>
      </c>
      <c r="K858" s="6">
        <f t="shared" si="41"/>
        <v>61101</v>
      </c>
    </row>
    <row r="859" spans="1:11" ht="15.6" thickTop="1" thickBot="1" x14ac:dyDescent="0.35">
      <c r="A859" s="4">
        <v>45578</v>
      </c>
      <c r="B859" s="5" t="s">
        <v>21</v>
      </c>
      <c r="C859" s="5" t="s">
        <v>41</v>
      </c>
      <c r="D859" s="5" t="s">
        <v>17</v>
      </c>
      <c r="E859" s="5" t="s">
        <v>19</v>
      </c>
      <c r="F859" s="5">
        <v>67</v>
      </c>
      <c r="G859" s="5">
        <v>711</v>
      </c>
      <c r="H859" s="5">
        <v>1280</v>
      </c>
      <c r="I859" s="6">
        <f t="shared" si="39"/>
        <v>47637</v>
      </c>
      <c r="J859" s="6">
        <f t="shared" si="40"/>
        <v>85760</v>
      </c>
      <c r="K859" s="6">
        <f t="shared" si="41"/>
        <v>38123</v>
      </c>
    </row>
    <row r="860" spans="1:11" ht="15.6" thickTop="1" thickBot="1" x14ac:dyDescent="0.35">
      <c r="A860" s="4">
        <v>45448</v>
      </c>
      <c r="B860" s="5" t="s">
        <v>21</v>
      </c>
      <c r="C860" s="5" t="s">
        <v>41</v>
      </c>
      <c r="D860" s="5" t="s">
        <v>25</v>
      </c>
      <c r="E860" s="5" t="s">
        <v>19</v>
      </c>
      <c r="F860" s="5">
        <v>51</v>
      </c>
      <c r="G860" s="5">
        <v>744</v>
      </c>
      <c r="H860" s="5">
        <v>782</v>
      </c>
      <c r="I860" s="6">
        <f t="shared" si="39"/>
        <v>37944</v>
      </c>
      <c r="J860" s="6">
        <f t="shared" si="40"/>
        <v>39882</v>
      </c>
      <c r="K860" s="6">
        <f t="shared" si="41"/>
        <v>1938</v>
      </c>
    </row>
    <row r="861" spans="1:11" ht="15.6" thickTop="1" thickBot="1" x14ac:dyDescent="0.35">
      <c r="A861" s="4">
        <v>45449</v>
      </c>
      <c r="B861" s="5" t="s">
        <v>21</v>
      </c>
      <c r="C861" s="5" t="s">
        <v>41</v>
      </c>
      <c r="D861" s="5" t="s">
        <v>20</v>
      </c>
      <c r="E861" s="5" t="s">
        <v>14</v>
      </c>
      <c r="F861" s="5">
        <v>88</v>
      </c>
      <c r="G861" s="5">
        <v>820</v>
      </c>
      <c r="H861" s="5">
        <v>1241</v>
      </c>
      <c r="I861" s="6">
        <f t="shared" si="39"/>
        <v>72160</v>
      </c>
      <c r="J861" s="6">
        <f t="shared" si="40"/>
        <v>109208</v>
      </c>
      <c r="K861" s="6">
        <f t="shared" si="41"/>
        <v>37048</v>
      </c>
    </row>
    <row r="862" spans="1:11" ht="15.6" thickTop="1" thickBot="1" x14ac:dyDescent="0.35">
      <c r="A862" s="4">
        <v>45450</v>
      </c>
      <c r="B862" s="5" t="s">
        <v>21</v>
      </c>
      <c r="C862" s="5" t="s">
        <v>41</v>
      </c>
      <c r="D862" s="5" t="s">
        <v>39</v>
      </c>
      <c r="E862" s="5" t="s">
        <v>14</v>
      </c>
      <c r="F862" s="5">
        <v>72</v>
      </c>
      <c r="G862" s="5">
        <v>937</v>
      </c>
      <c r="H862" s="5">
        <v>1154</v>
      </c>
      <c r="I862" s="6">
        <f t="shared" si="39"/>
        <v>67464</v>
      </c>
      <c r="J862" s="6">
        <f t="shared" si="40"/>
        <v>83088</v>
      </c>
      <c r="K862" s="6">
        <f t="shared" si="41"/>
        <v>15624</v>
      </c>
    </row>
    <row r="863" spans="1:11" ht="15.6" thickTop="1" thickBot="1" x14ac:dyDescent="0.35">
      <c r="A863" s="4">
        <v>45451</v>
      </c>
      <c r="B863" s="5" t="s">
        <v>21</v>
      </c>
      <c r="C863" s="5" t="s">
        <v>41</v>
      </c>
      <c r="D863" s="5" t="s">
        <v>26</v>
      </c>
      <c r="E863" s="5" t="s">
        <v>14</v>
      </c>
      <c r="F863" s="5">
        <v>55</v>
      </c>
      <c r="G863" s="5">
        <v>685</v>
      </c>
      <c r="H863" s="5">
        <v>824</v>
      </c>
      <c r="I863" s="6">
        <f t="shared" si="39"/>
        <v>37675</v>
      </c>
      <c r="J863" s="6">
        <f t="shared" si="40"/>
        <v>45320</v>
      </c>
      <c r="K863" s="6">
        <f t="shared" si="41"/>
        <v>7645</v>
      </c>
    </row>
    <row r="864" spans="1:11" ht="15.6" thickTop="1" thickBot="1" x14ac:dyDescent="0.35">
      <c r="A864" s="4">
        <v>45583</v>
      </c>
      <c r="B864" s="5" t="s">
        <v>11</v>
      </c>
      <c r="C864" s="5" t="s">
        <v>24</v>
      </c>
      <c r="D864" s="5" t="s">
        <v>31</v>
      </c>
      <c r="E864" s="5" t="s">
        <v>14</v>
      </c>
      <c r="F864" s="5">
        <v>20</v>
      </c>
      <c r="G864" s="5">
        <v>963</v>
      </c>
      <c r="H864" s="5">
        <v>865</v>
      </c>
      <c r="I864" s="6">
        <f t="shared" si="39"/>
        <v>19260</v>
      </c>
      <c r="J864" s="6">
        <f t="shared" si="40"/>
        <v>17300</v>
      </c>
      <c r="K864" s="6">
        <f t="shared" si="41"/>
        <v>-1960</v>
      </c>
    </row>
    <row r="865" spans="1:11" ht="15.6" thickTop="1" thickBot="1" x14ac:dyDescent="0.35">
      <c r="A865" s="4">
        <v>45452</v>
      </c>
      <c r="B865" s="5" t="s">
        <v>21</v>
      </c>
      <c r="C865" s="5" t="s">
        <v>41</v>
      </c>
      <c r="D865" s="5" t="s">
        <v>43</v>
      </c>
      <c r="E865" s="5" t="s">
        <v>14</v>
      </c>
      <c r="F865" s="5">
        <v>55</v>
      </c>
      <c r="G865" s="5">
        <v>661</v>
      </c>
      <c r="H865" s="5">
        <v>1133</v>
      </c>
      <c r="I865" s="6">
        <f t="shared" si="39"/>
        <v>36355</v>
      </c>
      <c r="J865" s="6">
        <f t="shared" si="40"/>
        <v>62315</v>
      </c>
      <c r="K865" s="6">
        <f t="shared" si="41"/>
        <v>25960</v>
      </c>
    </row>
    <row r="866" spans="1:11" ht="15.6" thickTop="1" thickBot="1" x14ac:dyDescent="0.35">
      <c r="A866" s="4">
        <v>45453</v>
      </c>
      <c r="B866" s="5" t="s">
        <v>21</v>
      </c>
      <c r="C866" s="5" t="s">
        <v>41</v>
      </c>
      <c r="D866" s="5" t="s">
        <v>44</v>
      </c>
      <c r="E866" s="5" t="s">
        <v>14</v>
      </c>
      <c r="F866" s="5">
        <v>72</v>
      </c>
      <c r="G866" s="5">
        <v>804</v>
      </c>
      <c r="H866" s="5">
        <v>833</v>
      </c>
      <c r="I866" s="6">
        <f t="shared" si="39"/>
        <v>57888</v>
      </c>
      <c r="J866" s="6">
        <f t="shared" si="40"/>
        <v>59976</v>
      </c>
      <c r="K866" s="6">
        <f t="shared" si="41"/>
        <v>2088</v>
      </c>
    </row>
    <row r="867" spans="1:11" ht="15.6" thickTop="1" thickBot="1" x14ac:dyDescent="0.35">
      <c r="A867" s="4">
        <v>45586</v>
      </c>
      <c r="B867" s="5" t="s">
        <v>11</v>
      </c>
      <c r="C867" s="5" t="s">
        <v>24</v>
      </c>
      <c r="D867" s="5" t="s">
        <v>25</v>
      </c>
      <c r="E867" s="5" t="s">
        <v>14</v>
      </c>
      <c r="F867" s="5">
        <v>14</v>
      </c>
      <c r="G867" s="5">
        <v>913</v>
      </c>
      <c r="H867" s="5">
        <v>1155</v>
      </c>
      <c r="I867" s="6">
        <f t="shared" si="39"/>
        <v>12782</v>
      </c>
      <c r="J867" s="6">
        <f t="shared" si="40"/>
        <v>16170</v>
      </c>
      <c r="K867" s="6">
        <f t="shared" si="41"/>
        <v>3388</v>
      </c>
    </row>
    <row r="868" spans="1:11" ht="15.6" thickTop="1" thickBot="1" x14ac:dyDescent="0.35">
      <c r="A868" s="4">
        <v>45461</v>
      </c>
      <c r="B868" s="5" t="s">
        <v>21</v>
      </c>
      <c r="C868" s="5" t="s">
        <v>38</v>
      </c>
      <c r="D868" s="5" t="s">
        <v>17</v>
      </c>
      <c r="E868" s="5" t="s">
        <v>19</v>
      </c>
      <c r="F868" s="5">
        <v>87</v>
      </c>
      <c r="G868" s="5">
        <v>616</v>
      </c>
      <c r="H868" s="5">
        <v>1447</v>
      </c>
      <c r="I868" s="6">
        <f t="shared" si="39"/>
        <v>53592</v>
      </c>
      <c r="J868" s="6">
        <f t="shared" si="40"/>
        <v>125889</v>
      </c>
      <c r="K868" s="6">
        <f t="shared" si="41"/>
        <v>72297</v>
      </c>
    </row>
    <row r="869" spans="1:11" ht="15.6" thickTop="1" thickBot="1" x14ac:dyDescent="0.35">
      <c r="A869" s="4">
        <v>45588</v>
      </c>
      <c r="B869" s="5" t="s">
        <v>27</v>
      </c>
      <c r="C869" s="5" t="s">
        <v>28</v>
      </c>
      <c r="D869" s="5" t="s">
        <v>34</v>
      </c>
      <c r="E869" s="5" t="s">
        <v>14</v>
      </c>
      <c r="F869" s="5">
        <v>23</v>
      </c>
      <c r="G869" s="5">
        <v>616</v>
      </c>
      <c r="H869" s="5">
        <v>919</v>
      </c>
      <c r="I869" s="6">
        <f t="shared" si="39"/>
        <v>14168</v>
      </c>
      <c r="J869" s="6">
        <f t="shared" si="40"/>
        <v>21137</v>
      </c>
      <c r="K869" s="6">
        <f t="shared" si="41"/>
        <v>6969</v>
      </c>
    </row>
    <row r="870" spans="1:11" ht="15.6" thickTop="1" thickBot="1" x14ac:dyDescent="0.35">
      <c r="A870" s="4">
        <v>45462</v>
      </c>
      <c r="B870" s="5" t="s">
        <v>21</v>
      </c>
      <c r="C870" s="5" t="s">
        <v>38</v>
      </c>
      <c r="D870" s="5" t="s">
        <v>36</v>
      </c>
      <c r="E870" s="5" t="s">
        <v>19</v>
      </c>
      <c r="F870" s="5">
        <v>57</v>
      </c>
      <c r="G870" s="5">
        <v>724</v>
      </c>
      <c r="H870" s="5">
        <v>1432</v>
      </c>
      <c r="I870" s="6">
        <f t="shared" si="39"/>
        <v>41268</v>
      </c>
      <c r="J870" s="6">
        <f t="shared" si="40"/>
        <v>81624</v>
      </c>
      <c r="K870" s="6">
        <f t="shared" si="41"/>
        <v>40356</v>
      </c>
    </row>
    <row r="871" spans="1:11" ht="15.6" thickTop="1" thickBot="1" x14ac:dyDescent="0.35">
      <c r="A871" s="4">
        <v>45590</v>
      </c>
      <c r="B871" s="5" t="s">
        <v>27</v>
      </c>
      <c r="C871" s="5" t="s">
        <v>42</v>
      </c>
      <c r="D871" s="5" t="s">
        <v>25</v>
      </c>
      <c r="E871" s="5" t="s">
        <v>19</v>
      </c>
      <c r="F871" s="5">
        <v>28</v>
      </c>
      <c r="G871" s="5">
        <v>539</v>
      </c>
      <c r="H871" s="5">
        <v>1106</v>
      </c>
      <c r="I871" s="6">
        <f t="shared" si="39"/>
        <v>15092</v>
      </c>
      <c r="J871" s="6">
        <f t="shared" si="40"/>
        <v>30968</v>
      </c>
      <c r="K871" s="6">
        <f t="shared" si="41"/>
        <v>15876</v>
      </c>
    </row>
    <row r="872" spans="1:11" ht="15.6" thickTop="1" thickBot="1" x14ac:dyDescent="0.35">
      <c r="A872" s="4">
        <v>45463</v>
      </c>
      <c r="B872" s="5" t="s">
        <v>21</v>
      </c>
      <c r="C872" s="5" t="s">
        <v>38</v>
      </c>
      <c r="D872" s="5" t="s">
        <v>35</v>
      </c>
      <c r="E872" s="5" t="s">
        <v>19</v>
      </c>
      <c r="F872" s="5">
        <v>85</v>
      </c>
      <c r="G872" s="5">
        <v>639</v>
      </c>
      <c r="H872" s="5">
        <v>1447</v>
      </c>
      <c r="I872" s="6">
        <f t="shared" si="39"/>
        <v>54315</v>
      </c>
      <c r="J872" s="6">
        <f t="shared" si="40"/>
        <v>122995</v>
      </c>
      <c r="K872" s="6">
        <f t="shared" si="41"/>
        <v>68680</v>
      </c>
    </row>
    <row r="873" spans="1:11" ht="15.6" thickTop="1" thickBot="1" x14ac:dyDescent="0.35">
      <c r="A873" s="4">
        <v>45465</v>
      </c>
      <c r="B873" s="5" t="s">
        <v>21</v>
      </c>
      <c r="C873" s="5" t="s">
        <v>38</v>
      </c>
      <c r="D873" s="5" t="s">
        <v>17</v>
      </c>
      <c r="E873" s="5" t="s">
        <v>14</v>
      </c>
      <c r="F873" s="5">
        <v>81</v>
      </c>
      <c r="G873" s="5">
        <v>776</v>
      </c>
      <c r="H873" s="5">
        <v>895</v>
      </c>
      <c r="I873" s="6">
        <f t="shared" si="39"/>
        <v>62856</v>
      </c>
      <c r="J873" s="6">
        <f t="shared" si="40"/>
        <v>72495</v>
      </c>
      <c r="K873" s="6">
        <f t="shared" si="41"/>
        <v>9639</v>
      </c>
    </row>
    <row r="874" spans="1:11" ht="15.6" thickTop="1" thickBot="1" x14ac:dyDescent="0.35">
      <c r="A874" s="4">
        <v>45466</v>
      </c>
      <c r="B874" s="5" t="s">
        <v>21</v>
      </c>
      <c r="C874" s="5" t="s">
        <v>41</v>
      </c>
      <c r="D874" s="5" t="s">
        <v>34</v>
      </c>
      <c r="E874" s="5" t="s">
        <v>14</v>
      </c>
      <c r="F874" s="5">
        <v>86</v>
      </c>
      <c r="G874" s="5">
        <v>705</v>
      </c>
      <c r="H874" s="5">
        <v>1483</v>
      </c>
      <c r="I874" s="6">
        <f t="shared" si="39"/>
        <v>60630</v>
      </c>
      <c r="J874" s="6">
        <f t="shared" si="40"/>
        <v>127538</v>
      </c>
      <c r="K874" s="6">
        <f t="shared" si="41"/>
        <v>66908</v>
      </c>
    </row>
    <row r="875" spans="1:11" ht="15.6" thickTop="1" thickBot="1" x14ac:dyDescent="0.35">
      <c r="A875" s="4">
        <v>45467</v>
      </c>
      <c r="B875" s="5" t="s">
        <v>21</v>
      </c>
      <c r="C875" s="5" t="s">
        <v>41</v>
      </c>
      <c r="D875" s="5" t="s">
        <v>36</v>
      </c>
      <c r="E875" s="5" t="s">
        <v>19</v>
      </c>
      <c r="F875" s="5">
        <v>80</v>
      </c>
      <c r="G875" s="5">
        <v>901</v>
      </c>
      <c r="H875" s="5">
        <v>1109</v>
      </c>
      <c r="I875" s="6">
        <f t="shared" si="39"/>
        <v>72080</v>
      </c>
      <c r="J875" s="6">
        <f t="shared" si="40"/>
        <v>88720</v>
      </c>
      <c r="K875" s="6">
        <f t="shared" si="41"/>
        <v>16640</v>
      </c>
    </row>
    <row r="876" spans="1:11" ht="15.6" thickTop="1" thickBot="1" x14ac:dyDescent="0.35">
      <c r="A876" s="4">
        <v>45468</v>
      </c>
      <c r="B876" s="5" t="s">
        <v>21</v>
      </c>
      <c r="C876" s="5" t="s">
        <v>41</v>
      </c>
      <c r="D876" s="5" t="s">
        <v>37</v>
      </c>
      <c r="E876" s="5" t="s">
        <v>19</v>
      </c>
      <c r="F876" s="5">
        <v>59</v>
      </c>
      <c r="G876" s="5">
        <v>502</v>
      </c>
      <c r="H876" s="5">
        <v>1212</v>
      </c>
      <c r="I876" s="6">
        <f t="shared" si="39"/>
        <v>29618</v>
      </c>
      <c r="J876" s="6">
        <f t="shared" si="40"/>
        <v>71508</v>
      </c>
      <c r="K876" s="6">
        <f t="shared" si="41"/>
        <v>41890</v>
      </c>
    </row>
    <row r="877" spans="1:11" ht="15.6" thickTop="1" thickBot="1" x14ac:dyDescent="0.35">
      <c r="A877" s="4">
        <v>45469</v>
      </c>
      <c r="B877" s="5" t="s">
        <v>21</v>
      </c>
      <c r="C877" s="5" t="s">
        <v>41</v>
      </c>
      <c r="D877" s="5" t="s">
        <v>23</v>
      </c>
      <c r="E877" s="5" t="s">
        <v>19</v>
      </c>
      <c r="F877" s="5">
        <v>52</v>
      </c>
      <c r="G877" s="5">
        <v>556</v>
      </c>
      <c r="H877" s="5">
        <v>1402</v>
      </c>
      <c r="I877" s="6">
        <f t="shared" si="39"/>
        <v>28912</v>
      </c>
      <c r="J877" s="6">
        <f t="shared" si="40"/>
        <v>72904</v>
      </c>
      <c r="K877" s="6">
        <f t="shared" si="41"/>
        <v>43992</v>
      </c>
    </row>
    <row r="878" spans="1:11" ht="15.6" thickTop="1" thickBot="1" x14ac:dyDescent="0.35">
      <c r="A878" s="4">
        <v>45470</v>
      </c>
      <c r="B878" s="5" t="s">
        <v>21</v>
      </c>
      <c r="C878" s="5" t="s">
        <v>41</v>
      </c>
      <c r="D878" s="5" t="s">
        <v>26</v>
      </c>
      <c r="E878" s="5" t="s">
        <v>19</v>
      </c>
      <c r="F878" s="5">
        <v>92</v>
      </c>
      <c r="G878" s="5">
        <v>953</v>
      </c>
      <c r="H878" s="5">
        <v>790</v>
      </c>
      <c r="I878" s="6">
        <f t="shared" si="39"/>
        <v>87676</v>
      </c>
      <c r="J878" s="6">
        <f t="shared" si="40"/>
        <v>72680</v>
      </c>
      <c r="K878" s="6">
        <f t="shared" si="41"/>
        <v>-14996</v>
      </c>
    </row>
    <row r="879" spans="1:11" ht="15.6" thickTop="1" thickBot="1" x14ac:dyDescent="0.35">
      <c r="A879" s="4">
        <v>45471</v>
      </c>
      <c r="B879" s="5" t="s">
        <v>21</v>
      </c>
      <c r="C879" s="5" t="s">
        <v>41</v>
      </c>
      <c r="D879" s="5" t="s">
        <v>32</v>
      </c>
      <c r="E879" s="5" t="s">
        <v>19</v>
      </c>
      <c r="F879" s="5">
        <v>96</v>
      </c>
      <c r="G879" s="5">
        <v>961</v>
      </c>
      <c r="H879" s="5">
        <v>1174</v>
      </c>
      <c r="I879" s="6">
        <f t="shared" si="39"/>
        <v>92256</v>
      </c>
      <c r="J879" s="6">
        <f t="shared" si="40"/>
        <v>112704</v>
      </c>
      <c r="K879" s="6">
        <f t="shared" si="41"/>
        <v>20448</v>
      </c>
    </row>
    <row r="880" spans="1:11" ht="15.6" thickTop="1" thickBot="1" x14ac:dyDescent="0.35">
      <c r="A880" s="4">
        <v>45495</v>
      </c>
      <c r="B880" s="5" t="s">
        <v>21</v>
      </c>
      <c r="C880" s="5" t="s">
        <v>38</v>
      </c>
      <c r="D880" s="5" t="s">
        <v>15</v>
      </c>
      <c r="E880" s="5" t="s">
        <v>14</v>
      </c>
      <c r="F880" s="5">
        <v>79</v>
      </c>
      <c r="G880" s="5">
        <v>880</v>
      </c>
      <c r="H880" s="5">
        <v>1403</v>
      </c>
      <c r="I880" s="6">
        <f t="shared" si="39"/>
        <v>69520</v>
      </c>
      <c r="J880" s="6">
        <f t="shared" si="40"/>
        <v>110837</v>
      </c>
      <c r="K880" s="6">
        <f t="shared" si="41"/>
        <v>41317</v>
      </c>
    </row>
    <row r="881" spans="1:11" ht="15.6" thickTop="1" thickBot="1" x14ac:dyDescent="0.35">
      <c r="A881" s="4">
        <v>45496</v>
      </c>
      <c r="B881" s="5" t="s">
        <v>21</v>
      </c>
      <c r="C881" s="5" t="s">
        <v>38</v>
      </c>
      <c r="D881" s="5" t="s">
        <v>16</v>
      </c>
      <c r="E881" s="5" t="s">
        <v>14</v>
      </c>
      <c r="F881" s="5">
        <v>62</v>
      </c>
      <c r="G881" s="5">
        <v>936</v>
      </c>
      <c r="H881" s="5">
        <v>1364</v>
      </c>
      <c r="I881" s="6">
        <f t="shared" si="39"/>
        <v>58032</v>
      </c>
      <c r="J881" s="6">
        <f t="shared" si="40"/>
        <v>84568</v>
      </c>
      <c r="K881" s="6">
        <f t="shared" si="41"/>
        <v>26536</v>
      </c>
    </row>
    <row r="882" spans="1:11" ht="15.6" thickTop="1" thickBot="1" x14ac:dyDescent="0.35">
      <c r="A882" s="4">
        <v>45497</v>
      </c>
      <c r="B882" s="5" t="s">
        <v>21</v>
      </c>
      <c r="C882" s="5" t="s">
        <v>38</v>
      </c>
      <c r="D882" s="5" t="s">
        <v>17</v>
      </c>
      <c r="E882" s="5" t="s">
        <v>14</v>
      </c>
      <c r="F882" s="5">
        <v>53</v>
      </c>
      <c r="G882" s="5">
        <v>791</v>
      </c>
      <c r="H882" s="5">
        <v>1253</v>
      </c>
      <c r="I882" s="6">
        <f t="shared" si="39"/>
        <v>41923</v>
      </c>
      <c r="J882" s="6">
        <f t="shared" si="40"/>
        <v>66409</v>
      </c>
      <c r="K882" s="6">
        <f t="shared" si="41"/>
        <v>24486</v>
      </c>
    </row>
    <row r="883" spans="1:11" ht="15.6" thickTop="1" thickBot="1" x14ac:dyDescent="0.35">
      <c r="A883" s="4">
        <v>45602</v>
      </c>
      <c r="B883" s="5" t="s">
        <v>21</v>
      </c>
      <c r="C883" s="5" t="s">
        <v>45</v>
      </c>
      <c r="D883" s="5" t="s">
        <v>20</v>
      </c>
      <c r="E883" s="5" t="s">
        <v>14</v>
      </c>
      <c r="F883" s="5">
        <v>74</v>
      </c>
      <c r="G883" s="5">
        <v>636</v>
      </c>
      <c r="H883" s="5">
        <v>955</v>
      </c>
      <c r="I883" s="6">
        <f t="shared" si="39"/>
        <v>47064</v>
      </c>
      <c r="J883" s="6">
        <f t="shared" si="40"/>
        <v>70670</v>
      </c>
      <c r="K883" s="6">
        <f t="shared" si="41"/>
        <v>23606</v>
      </c>
    </row>
    <row r="884" spans="1:11" ht="15.6" thickTop="1" thickBot="1" x14ac:dyDescent="0.35">
      <c r="A884" s="4">
        <v>45498</v>
      </c>
      <c r="B884" s="5" t="s">
        <v>21</v>
      </c>
      <c r="C884" s="5" t="s">
        <v>38</v>
      </c>
      <c r="D884" s="5" t="s">
        <v>17</v>
      </c>
      <c r="E884" s="5" t="s">
        <v>14</v>
      </c>
      <c r="F884" s="5">
        <v>56</v>
      </c>
      <c r="G884" s="5">
        <v>740</v>
      </c>
      <c r="H884" s="5">
        <v>1464</v>
      </c>
      <c r="I884" s="6">
        <f t="shared" si="39"/>
        <v>41440</v>
      </c>
      <c r="J884" s="6">
        <f t="shared" si="40"/>
        <v>81984</v>
      </c>
      <c r="K884" s="6">
        <f t="shared" si="41"/>
        <v>40544</v>
      </c>
    </row>
    <row r="885" spans="1:11" ht="15.6" thickTop="1" thickBot="1" x14ac:dyDescent="0.35">
      <c r="A885" s="4">
        <v>45499</v>
      </c>
      <c r="B885" s="5" t="s">
        <v>21</v>
      </c>
      <c r="C885" s="5" t="s">
        <v>38</v>
      </c>
      <c r="D885" s="5" t="s">
        <v>18</v>
      </c>
      <c r="E885" s="5" t="s">
        <v>14</v>
      </c>
      <c r="F885" s="5">
        <v>63</v>
      </c>
      <c r="G885" s="5">
        <v>519</v>
      </c>
      <c r="H885" s="5">
        <v>826</v>
      </c>
      <c r="I885" s="6">
        <f t="shared" si="39"/>
        <v>32697</v>
      </c>
      <c r="J885" s="6">
        <f t="shared" si="40"/>
        <v>52038</v>
      </c>
      <c r="K885" s="6">
        <f t="shared" si="41"/>
        <v>19341</v>
      </c>
    </row>
    <row r="886" spans="1:11" ht="15.6" thickTop="1" thickBot="1" x14ac:dyDescent="0.35">
      <c r="A886" s="4">
        <v>45605</v>
      </c>
      <c r="B886" s="5" t="s">
        <v>21</v>
      </c>
      <c r="C886" s="5" t="s">
        <v>45</v>
      </c>
      <c r="D886" s="5" t="s">
        <v>35</v>
      </c>
      <c r="E886" s="5" t="s">
        <v>14</v>
      </c>
      <c r="F886" s="5">
        <v>83</v>
      </c>
      <c r="G886" s="5">
        <v>569</v>
      </c>
      <c r="H886" s="5">
        <v>1232</v>
      </c>
      <c r="I886" s="6">
        <f t="shared" si="39"/>
        <v>47227</v>
      </c>
      <c r="J886" s="6">
        <f t="shared" si="40"/>
        <v>102256</v>
      </c>
      <c r="K886" s="6">
        <f t="shared" si="41"/>
        <v>55029</v>
      </c>
    </row>
    <row r="887" spans="1:11" ht="15.6" thickTop="1" thickBot="1" x14ac:dyDescent="0.35">
      <c r="A887" s="4">
        <v>45500</v>
      </c>
      <c r="B887" s="5" t="s">
        <v>21</v>
      </c>
      <c r="C887" s="5" t="s">
        <v>38</v>
      </c>
      <c r="D887" s="5" t="s">
        <v>20</v>
      </c>
      <c r="E887" s="5" t="s">
        <v>14</v>
      </c>
      <c r="F887" s="5">
        <v>73</v>
      </c>
      <c r="G887" s="5">
        <v>857</v>
      </c>
      <c r="H887" s="5">
        <v>1024</v>
      </c>
      <c r="I887" s="6">
        <f t="shared" si="39"/>
        <v>62561</v>
      </c>
      <c r="J887" s="6">
        <f t="shared" si="40"/>
        <v>74752</v>
      </c>
      <c r="K887" s="6">
        <f t="shared" si="41"/>
        <v>12191</v>
      </c>
    </row>
    <row r="888" spans="1:11" ht="15.6" thickTop="1" thickBot="1" x14ac:dyDescent="0.35">
      <c r="A888" s="4">
        <v>45501</v>
      </c>
      <c r="B888" s="5" t="s">
        <v>21</v>
      </c>
      <c r="C888" s="5" t="s">
        <v>38</v>
      </c>
      <c r="D888" s="5" t="s">
        <v>17</v>
      </c>
      <c r="E888" s="5" t="s">
        <v>14</v>
      </c>
      <c r="F888" s="5">
        <v>67</v>
      </c>
      <c r="G888" s="5">
        <v>725</v>
      </c>
      <c r="H888" s="5">
        <v>884</v>
      </c>
      <c r="I888" s="6">
        <f t="shared" si="39"/>
        <v>48575</v>
      </c>
      <c r="J888" s="6">
        <f t="shared" si="40"/>
        <v>59228</v>
      </c>
      <c r="K888" s="6">
        <f t="shared" si="41"/>
        <v>10653</v>
      </c>
    </row>
    <row r="889" spans="1:11" ht="15.6" thickTop="1" thickBot="1" x14ac:dyDescent="0.35">
      <c r="A889" s="4">
        <v>45502</v>
      </c>
      <c r="B889" s="5" t="s">
        <v>21</v>
      </c>
      <c r="C889" s="5" t="s">
        <v>38</v>
      </c>
      <c r="D889" s="5" t="s">
        <v>36</v>
      </c>
      <c r="E889" s="5" t="s">
        <v>14</v>
      </c>
      <c r="F889" s="5">
        <v>74</v>
      </c>
      <c r="G889" s="5">
        <v>691</v>
      </c>
      <c r="H889" s="5">
        <v>871</v>
      </c>
      <c r="I889" s="6">
        <f t="shared" si="39"/>
        <v>51134</v>
      </c>
      <c r="J889" s="6">
        <f t="shared" si="40"/>
        <v>64454</v>
      </c>
      <c r="K889" s="6">
        <f t="shared" si="41"/>
        <v>13320</v>
      </c>
    </row>
    <row r="890" spans="1:11" ht="15.6" thickTop="1" thickBot="1" x14ac:dyDescent="0.35">
      <c r="A890" s="4">
        <v>45503</v>
      </c>
      <c r="B890" s="5" t="s">
        <v>21</v>
      </c>
      <c r="C890" s="5" t="s">
        <v>38</v>
      </c>
      <c r="D890" s="5" t="s">
        <v>35</v>
      </c>
      <c r="E890" s="5" t="s">
        <v>19</v>
      </c>
      <c r="F890" s="5">
        <v>92</v>
      </c>
      <c r="G890" s="5">
        <v>981</v>
      </c>
      <c r="H890" s="5">
        <v>1157</v>
      </c>
      <c r="I890" s="6">
        <f t="shared" si="39"/>
        <v>90252</v>
      </c>
      <c r="J890" s="6">
        <f t="shared" si="40"/>
        <v>106444</v>
      </c>
      <c r="K890" s="6">
        <f t="shared" si="41"/>
        <v>16192</v>
      </c>
    </row>
    <row r="891" spans="1:11" ht="15.6" thickTop="1" thickBot="1" x14ac:dyDescent="0.35">
      <c r="A891" s="4">
        <v>45610</v>
      </c>
      <c r="B891" s="5" t="s">
        <v>27</v>
      </c>
      <c r="C891" s="5" t="s">
        <v>33</v>
      </c>
      <c r="D891" s="5" t="s">
        <v>37</v>
      </c>
      <c r="E891" s="5" t="s">
        <v>19</v>
      </c>
      <c r="F891" s="5">
        <v>23</v>
      </c>
      <c r="G891" s="5">
        <v>663</v>
      </c>
      <c r="H891" s="5">
        <v>1215</v>
      </c>
      <c r="I891" s="6">
        <f t="shared" si="39"/>
        <v>15249</v>
      </c>
      <c r="J891" s="6">
        <f t="shared" si="40"/>
        <v>27945</v>
      </c>
      <c r="K891" s="6">
        <f t="shared" si="41"/>
        <v>12696</v>
      </c>
    </row>
    <row r="892" spans="1:11" ht="15.6" thickTop="1" thickBot="1" x14ac:dyDescent="0.35">
      <c r="A892" s="4">
        <v>45504</v>
      </c>
      <c r="B892" s="5" t="s">
        <v>21</v>
      </c>
      <c r="C892" s="5" t="s">
        <v>38</v>
      </c>
      <c r="D892" s="5" t="s">
        <v>26</v>
      </c>
      <c r="E892" s="5" t="s">
        <v>19</v>
      </c>
      <c r="F892" s="5">
        <v>63</v>
      </c>
      <c r="G892" s="5">
        <v>547</v>
      </c>
      <c r="H892" s="5">
        <v>1150</v>
      </c>
      <c r="I892" s="6">
        <f t="shared" si="39"/>
        <v>34461</v>
      </c>
      <c r="J892" s="6">
        <f t="shared" si="40"/>
        <v>72450</v>
      </c>
      <c r="K892" s="6">
        <f t="shared" si="41"/>
        <v>37989</v>
      </c>
    </row>
    <row r="893" spans="1:11" ht="15.6" thickTop="1" thickBot="1" x14ac:dyDescent="0.35">
      <c r="A893" s="4">
        <v>45505</v>
      </c>
      <c r="B893" s="5" t="s">
        <v>21</v>
      </c>
      <c r="C893" s="5" t="s">
        <v>38</v>
      </c>
      <c r="D893" s="5" t="s">
        <v>17</v>
      </c>
      <c r="E893" s="5" t="s">
        <v>19</v>
      </c>
      <c r="F893" s="5">
        <v>69</v>
      </c>
      <c r="G893" s="5">
        <v>531</v>
      </c>
      <c r="H893" s="5">
        <v>1210</v>
      </c>
      <c r="I893" s="6">
        <f t="shared" si="39"/>
        <v>36639</v>
      </c>
      <c r="J893" s="6">
        <f t="shared" si="40"/>
        <v>83490</v>
      </c>
      <c r="K893" s="6">
        <f t="shared" si="41"/>
        <v>46851</v>
      </c>
    </row>
    <row r="894" spans="1:11" ht="15.6" thickTop="1" thickBot="1" x14ac:dyDescent="0.35">
      <c r="A894" s="4">
        <v>45506</v>
      </c>
      <c r="B894" s="5" t="s">
        <v>21</v>
      </c>
      <c r="C894" s="5" t="s">
        <v>38</v>
      </c>
      <c r="D894" s="5" t="s">
        <v>34</v>
      </c>
      <c r="E894" s="5" t="s">
        <v>19</v>
      </c>
      <c r="F894" s="5">
        <v>84</v>
      </c>
      <c r="G894" s="5">
        <v>806</v>
      </c>
      <c r="H894" s="5">
        <v>1242</v>
      </c>
      <c r="I894" s="6">
        <f t="shared" si="39"/>
        <v>67704</v>
      </c>
      <c r="J894" s="6">
        <f t="shared" si="40"/>
        <v>104328</v>
      </c>
      <c r="K894" s="6">
        <f t="shared" si="41"/>
        <v>36624</v>
      </c>
    </row>
    <row r="895" spans="1:11" ht="15.6" thickTop="1" thickBot="1" x14ac:dyDescent="0.35">
      <c r="A895" s="4">
        <v>45614</v>
      </c>
      <c r="B895" s="5" t="s">
        <v>27</v>
      </c>
      <c r="C895" s="5" t="s">
        <v>33</v>
      </c>
      <c r="D895" s="5" t="s">
        <v>23</v>
      </c>
      <c r="E895" s="5" t="s">
        <v>14</v>
      </c>
      <c r="F895" s="5">
        <v>26</v>
      </c>
      <c r="G895" s="5">
        <v>878</v>
      </c>
      <c r="H895" s="5">
        <v>1492</v>
      </c>
      <c r="I895" s="6">
        <f t="shared" si="39"/>
        <v>22828</v>
      </c>
      <c r="J895" s="6">
        <f t="shared" si="40"/>
        <v>38792</v>
      </c>
      <c r="K895" s="6">
        <f t="shared" si="41"/>
        <v>15964</v>
      </c>
    </row>
    <row r="896" spans="1:11" ht="15.6" thickTop="1" thickBot="1" x14ac:dyDescent="0.35">
      <c r="A896" s="4">
        <v>45508</v>
      </c>
      <c r="B896" s="5" t="s">
        <v>21</v>
      </c>
      <c r="C896" s="5" t="s">
        <v>41</v>
      </c>
      <c r="D896" s="5" t="s">
        <v>37</v>
      </c>
      <c r="E896" s="5" t="s">
        <v>14</v>
      </c>
      <c r="F896" s="5">
        <v>71</v>
      </c>
      <c r="G896" s="5">
        <v>565</v>
      </c>
      <c r="H896" s="5">
        <v>807</v>
      </c>
      <c r="I896" s="6">
        <f t="shared" si="39"/>
        <v>40115</v>
      </c>
      <c r="J896" s="6">
        <f t="shared" si="40"/>
        <v>57297</v>
      </c>
      <c r="K896" s="6">
        <f t="shared" si="41"/>
        <v>17182</v>
      </c>
    </row>
    <row r="897" spans="1:11" ht="15.6" thickTop="1" thickBot="1" x14ac:dyDescent="0.35">
      <c r="A897" s="4">
        <v>45616</v>
      </c>
      <c r="B897" s="5" t="s">
        <v>27</v>
      </c>
      <c r="C897" s="5" t="s">
        <v>33</v>
      </c>
      <c r="D897" s="5" t="s">
        <v>25</v>
      </c>
      <c r="E897" s="5" t="s">
        <v>14</v>
      </c>
      <c r="F897" s="5">
        <v>25</v>
      </c>
      <c r="G897" s="5">
        <v>547</v>
      </c>
      <c r="H897" s="5">
        <v>1342</v>
      </c>
      <c r="I897" s="6">
        <f t="shared" si="39"/>
        <v>13675</v>
      </c>
      <c r="J897" s="6">
        <f t="shared" si="40"/>
        <v>33550</v>
      </c>
      <c r="K897" s="6">
        <f t="shared" si="41"/>
        <v>19875</v>
      </c>
    </row>
    <row r="898" spans="1:11" ht="15.6" thickTop="1" thickBot="1" x14ac:dyDescent="0.35">
      <c r="A898" s="4">
        <v>45509</v>
      </c>
      <c r="B898" s="5" t="s">
        <v>21</v>
      </c>
      <c r="C898" s="5" t="s">
        <v>41</v>
      </c>
      <c r="D898" s="5" t="s">
        <v>23</v>
      </c>
      <c r="E898" s="5" t="s">
        <v>14</v>
      </c>
      <c r="F898" s="5">
        <v>90</v>
      </c>
      <c r="G898" s="5">
        <v>634</v>
      </c>
      <c r="H898" s="5">
        <v>1465</v>
      </c>
      <c r="I898" s="6">
        <f t="shared" ref="I898:I961" si="42">F898*G898</f>
        <v>57060</v>
      </c>
      <c r="J898" s="6">
        <f t="shared" ref="J898:J961" si="43">F898*H898</f>
        <v>131850</v>
      </c>
      <c r="K898" s="6">
        <f t="shared" ref="K898:K961" si="44">J898-I898</f>
        <v>74790</v>
      </c>
    </row>
    <row r="899" spans="1:11" ht="15.6" thickTop="1" thickBot="1" x14ac:dyDescent="0.35">
      <c r="A899" s="4">
        <v>45528</v>
      </c>
      <c r="B899" s="5" t="s">
        <v>21</v>
      </c>
      <c r="C899" s="5" t="s">
        <v>38</v>
      </c>
      <c r="D899" s="5" t="s">
        <v>25</v>
      </c>
      <c r="E899" s="5" t="s">
        <v>14</v>
      </c>
      <c r="F899" s="5">
        <v>61</v>
      </c>
      <c r="G899" s="5">
        <v>675</v>
      </c>
      <c r="H899" s="5">
        <v>770</v>
      </c>
      <c r="I899" s="6">
        <f t="shared" si="42"/>
        <v>41175</v>
      </c>
      <c r="J899" s="6">
        <f t="shared" si="43"/>
        <v>46970</v>
      </c>
      <c r="K899" s="6">
        <f t="shared" si="44"/>
        <v>5795</v>
      </c>
    </row>
    <row r="900" spans="1:11" ht="15.6" thickTop="1" thickBot="1" x14ac:dyDescent="0.35">
      <c r="A900" s="4">
        <v>45529</v>
      </c>
      <c r="B900" s="5" t="s">
        <v>21</v>
      </c>
      <c r="C900" s="5" t="s">
        <v>38</v>
      </c>
      <c r="D900" s="5" t="s">
        <v>20</v>
      </c>
      <c r="E900" s="5" t="s">
        <v>14</v>
      </c>
      <c r="F900" s="5">
        <v>58</v>
      </c>
      <c r="G900" s="5">
        <v>720</v>
      </c>
      <c r="H900" s="5">
        <v>1356</v>
      </c>
      <c r="I900" s="6">
        <f t="shared" si="42"/>
        <v>41760</v>
      </c>
      <c r="J900" s="6">
        <f t="shared" si="43"/>
        <v>78648</v>
      </c>
      <c r="K900" s="6">
        <f t="shared" si="44"/>
        <v>36888</v>
      </c>
    </row>
    <row r="901" spans="1:11" ht="15.6" thickTop="1" thickBot="1" x14ac:dyDescent="0.35">
      <c r="A901" s="4">
        <v>45530</v>
      </c>
      <c r="B901" s="5" t="s">
        <v>21</v>
      </c>
      <c r="C901" s="5" t="s">
        <v>38</v>
      </c>
      <c r="D901" s="5" t="s">
        <v>39</v>
      </c>
      <c r="E901" s="5" t="s">
        <v>14</v>
      </c>
      <c r="F901" s="5">
        <v>60</v>
      </c>
      <c r="G901" s="5">
        <v>676</v>
      </c>
      <c r="H901" s="5">
        <v>768</v>
      </c>
      <c r="I901" s="6">
        <f t="shared" si="42"/>
        <v>40560</v>
      </c>
      <c r="J901" s="6">
        <f t="shared" si="43"/>
        <v>46080</v>
      </c>
      <c r="K901" s="6">
        <f t="shared" si="44"/>
        <v>5520</v>
      </c>
    </row>
    <row r="902" spans="1:11" ht="15.6" thickTop="1" thickBot="1" x14ac:dyDescent="0.35">
      <c r="A902" s="4">
        <v>45531</v>
      </c>
      <c r="B902" s="5" t="s">
        <v>21</v>
      </c>
      <c r="C902" s="5" t="s">
        <v>38</v>
      </c>
      <c r="D902" s="5" t="s">
        <v>26</v>
      </c>
      <c r="E902" s="5" t="s">
        <v>14</v>
      </c>
      <c r="F902" s="5">
        <v>91</v>
      </c>
      <c r="G902" s="5">
        <v>808</v>
      </c>
      <c r="H902" s="5">
        <v>928</v>
      </c>
      <c r="I902" s="6">
        <f t="shared" si="42"/>
        <v>73528</v>
      </c>
      <c r="J902" s="6">
        <f t="shared" si="43"/>
        <v>84448</v>
      </c>
      <c r="K902" s="6">
        <f t="shared" si="44"/>
        <v>10920</v>
      </c>
    </row>
    <row r="903" spans="1:11" ht="15.6" thickTop="1" thickBot="1" x14ac:dyDescent="0.35">
      <c r="A903" s="4">
        <v>45532</v>
      </c>
      <c r="B903" s="5" t="s">
        <v>21</v>
      </c>
      <c r="C903" s="5" t="s">
        <v>38</v>
      </c>
      <c r="D903" s="5" t="s">
        <v>43</v>
      </c>
      <c r="E903" s="5" t="s">
        <v>14</v>
      </c>
      <c r="F903" s="5">
        <v>99</v>
      </c>
      <c r="G903" s="5">
        <v>528</v>
      </c>
      <c r="H903" s="5">
        <v>985</v>
      </c>
      <c r="I903" s="6">
        <f t="shared" si="42"/>
        <v>52272</v>
      </c>
      <c r="J903" s="6">
        <f t="shared" si="43"/>
        <v>97515</v>
      </c>
      <c r="K903" s="6">
        <f t="shared" si="44"/>
        <v>45243</v>
      </c>
    </row>
    <row r="904" spans="1:11" ht="15.6" thickTop="1" thickBot="1" x14ac:dyDescent="0.35">
      <c r="A904" s="4">
        <v>45533</v>
      </c>
      <c r="B904" s="5" t="s">
        <v>21</v>
      </c>
      <c r="C904" s="5" t="s">
        <v>38</v>
      </c>
      <c r="D904" s="5" t="s">
        <v>44</v>
      </c>
      <c r="E904" s="5" t="s">
        <v>14</v>
      </c>
      <c r="F904" s="5">
        <v>73</v>
      </c>
      <c r="G904" s="5">
        <v>783</v>
      </c>
      <c r="H904" s="5">
        <v>903</v>
      </c>
      <c r="I904" s="6">
        <f t="shared" si="42"/>
        <v>57159</v>
      </c>
      <c r="J904" s="6">
        <f t="shared" si="43"/>
        <v>65919</v>
      </c>
      <c r="K904" s="6">
        <f t="shared" si="44"/>
        <v>8760</v>
      </c>
    </row>
    <row r="905" spans="1:11" ht="15.6" thickTop="1" thickBot="1" x14ac:dyDescent="0.35">
      <c r="A905" s="4">
        <v>45534</v>
      </c>
      <c r="B905" s="5" t="s">
        <v>21</v>
      </c>
      <c r="C905" s="5" t="s">
        <v>38</v>
      </c>
      <c r="D905" s="5" t="s">
        <v>13</v>
      </c>
      <c r="E905" s="5" t="s">
        <v>19</v>
      </c>
      <c r="F905" s="5">
        <v>59</v>
      </c>
      <c r="G905" s="5">
        <v>638</v>
      </c>
      <c r="H905" s="5">
        <v>1080</v>
      </c>
      <c r="I905" s="6">
        <f t="shared" si="42"/>
        <v>37642</v>
      </c>
      <c r="J905" s="6">
        <f t="shared" si="43"/>
        <v>63720</v>
      </c>
      <c r="K905" s="6">
        <f t="shared" si="44"/>
        <v>26078</v>
      </c>
    </row>
    <row r="906" spans="1:11" ht="15.6" thickTop="1" thickBot="1" x14ac:dyDescent="0.35">
      <c r="A906" s="4">
        <v>45536</v>
      </c>
      <c r="B906" s="5" t="s">
        <v>21</v>
      </c>
      <c r="C906" s="5" t="s">
        <v>38</v>
      </c>
      <c r="D906" s="5" t="s">
        <v>16</v>
      </c>
      <c r="E906" s="5" t="s">
        <v>19</v>
      </c>
      <c r="F906" s="5">
        <v>68</v>
      </c>
      <c r="G906" s="5">
        <v>881</v>
      </c>
      <c r="H906" s="5">
        <v>1266</v>
      </c>
      <c r="I906" s="6">
        <f t="shared" si="42"/>
        <v>59908</v>
      </c>
      <c r="J906" s="6">
        <f t="shared" si="43"/>
        <v>86088</v>
      </c>
      <c r="K906" s="6">
        <f t="shared" si="44"/>
        <v>26180</v>
      </c>
    </row>
    <row r="907" spans="1:11" ht="15.6" thickTop="1" thickBot="1" x14ac:dyDescent="0.35">
      <c r="A907" s="4">
        <v>45626</v>
      </c>
      <c r="B907" s="5" t="s">
        <v>27</v>
      </c>
      <c r="C907" s="5" t="s">
        <v>40</v>
      </c>
      <c r="D907" s="5" t="s">
        <v>25</v>
      </c>
      <c r="E907" s="5" t="s">
        <v>14</v>
      </c>
      <c r="F907" s="5">
        <v>22</v>
      </c>
      <c r="G907" s="5">
        <v>606</v>
      </c>
      <c r="H907" s="5">
        <v>1459</v>
      </c>
      <c r="I907" s="6">
        <f t="shared" si="42"/>
        <v>13332</v>
      </c>
      <c r="J907" s="6">
        <f t="shared" si="43"/>
        <v>32098</v>
      </c>
      <c r="K907" s="6">
        <f t="shared" si="44"/>
        <v>18766</v>
      </c>
    </row>
    <row r="908" spans="1:11" ht="15.6" thickTop="1" thickBot="1" x14ac:dyDescent="0.35">
      <c r="A908" s="4">
        <v>45537</v>
      </c>
      <c r="B908" s="5" t="s">
        <v>21</v>
      </c>
      <c r="C908" s="5" t="s">
        <v>41</v>
      </c>
      <c r="D908" s="5" t="s">
        <v>17</v>
      </c>
      <c r="E908" s="5" t="s">
        <v>19</v>
      </c>
      <c r="F908" s="5">
        <v>55</v>
      </c>
      <c r="G908" s="5">
        <v>639</v>
      </c>
      <c r="H908" s="5">
        <v>1311</v>
      </c>
      <c r="I908" s="6">
        <f t="shared" si="42"/>
        <v>35145</v>
      </c>
      <c r="J908" s="6">
        <f t="shared" si="43"/>
        <v>72105</v>
      </c>
      <c r="K908" s="6">
        <f t="shared" si="44"/>
        <v>36960</v>
      </c>
    </row>
    <row r="909" spans="1:11" ht="15.6" thickTop="1" thickBot="1" x14ac:dyDescent="0.35">
      <c r="A909" s="4">
        <v>45538</v>
      </c>
      <c r="B909" s="5" t="s">
        <v>21</v>
      </c>
      <c r="C909" s="5" t="s">
        <v>41</v>
      </c>
      <c r="D909" s="5" t="s">
        <v>17</v>
      </c>
      <c r="E909" s="5" t="s">
        <v>19</v>
      </c>
      <c r="F909" s="5">
        <v>52</v>
      </c>
      <c r="G909" s="5">
        <v>718</v>
      </c>
      <c r="H909" s="5">
        <v>919</v>
      </c>
      <c r="I909" s="6">
        <f t="shared" si="42"/>
        <v>37336</v>
      </c>
      <c r="J909" s="6">
        <f t="shared" si="43"/>
        <v>47788</v>
      </c>
      <c r="K909" s="6">
        <f t="shared" si="44"/>
        <v>10452</v>
      </c>
    </row>
    <row r="910" spans="1:11" ht="15.6" thickTop="1" thickBot="1" x14ac:dyDescent="0.35">
      <c r="A910" s="4">
        <v>45629</v>
      </c>
      <c r="B910" s="5" t="s">
        <v>27</v>
      </c>
      <c r="C910" s="5" t="s">
        <v>40</v>
      </c>
      <c r="D910" s="5" t="s">
        <v>32</v>
      </c>
      <c r="E910" s="5" t="s">
        <v>19</v>
      </c>
      <c r="F910" s="5">
        <v>28</v>
      </c>
      <c r="G910" s="5">
        <v>507</v>
      </c>
      <c r="H910" s="5">
        <v>1379</v>
      </c>
      <c r="I910" s="6">
        <f t="shared" si="42"/>
        <v>14196</v>
      </c>
      <c r="J910" s="6">
        <f t="shared" si="43"/>
        <v>38612</v>
      </c>
      <c r="K910" s="6">
        <f t="shared" si="44"/>
        <v>24416</v>
      </c>
    </row>
    <row r="911" spans="1:11" ht="15.6" thickTop="1" thickBot="1" x14ac:dyDescent="0.35">
      <c r="A911" s="4">
        <v>45539</v>
      </c>
      <c r="B911" s="5" t="s">
        <v>21</v>
      </c>
      <c r="C911" s="5" t="s">
        <v>41</v>
      </c>
      <c r="D911" s="5" t="s">
        <v>18</v>
      </c>
      <c r="E911" s="5" t="s">
        <v>14</v>
      </c>
      <c r="F911" s="5">
        <v>95</v>
      </c>
      <c r="G911" s="5">
        <v>944</v>
      </c>
      <c r="H911" s="5">
        <v>1263</v>
      </c>
      <c r="I911" s="6">
        <f t="shared" si="42"/>
        <v>89680</v>
      </c>
      <c r="J911" s="6">
        <f t="shared" si="43"/>
        <v>119985</v>
      </c>
      <c r="K911" s="6">
        <f t="shared" si="44"/>
        <v>30305</v>
      </c>
    </row>
    <row r="912" spans="1:11" ht="15.6" thickTop="1" thickBot="1" x14ac:dyDescent="0.35">
      <c r="A912" s="4">
        <v>45541</v>
      </c>
      <c r="B912" s="5" t="s">
        <v>21</v>
      </c>
      <c r="C912" s="5" t="s">
        <v>41</v>
      </c>
      <c r="D912" s="5" t="s">
        <v>17</v>
      </c>
      <c r="E912" s="5" t="s">
        <v>14</v>
      </c>
      <c r="F912" s="5">
        <v>99</v>
      </c>
      <c r="G912" s="5">
        <v>523</v>
      </c>
      <c r="H912" s="5">
        <v>1350</v>
      </c>
      <c r="I912" s="6">
        <f t="shared" si="42"/>
        <v>51777</v>
      </c>
      <c r="J912" s="6">
        <f t="shared" si="43"/>
        <v>133650</v>
      </c>
      <c r="K912" s="6">
        <f t="shared" si="44"/>
        <v>81873</v>
      </c>
    </row>
    <row r="913" spans="1:11" ht="15.6" thickTop="1" thickBot="1" x14ac:dyDescent="0.35">
      <c r="A913" s="4">
        <v>45542</v>
      </c>
      <c r="B913" s="5" t="s">
        <v>21</v>
      </c>
      <c r="C913" s="5" t="s">
        <v>41</v>
      </c>
      <c r="D913" s="5" t="s">
        <v>36</v>
      </c>
      <c r="E913" s="5" t="s">
        <v>19</v>
      </c>
      <c r="F913" s="5">
        <v>92</v>
      </c>
      <c r="G913" s="5">
        <v>814</v>
      </c>
      <c r="H913" s="5">
        <v>865</v>
      </c>
      <c r="I913" s="6">
        <f t="shared" si="42"/>
        <v>74888</v>
      </c>
      <c r="J913" s="6">
        <f t="shared" si="43"/>
        <v>79580</v>
      </c>
      <c r="K913" s="6">
        <f t="shared" si="44"/>
        <v>4692</v>
      </c>
    </row>
    <row r="914" spans="1:11" ht="15.6" thickTop="1" thickBot="1" x14ac:dyDescent="0.35">
      <c r="A914" s="4">
        <v>45555</v>
      </c>
      <c r="B914" s="5" t="s">
        <v>21</v>
      </c>
      <c r="C914" s="5" t="s">
        <v>41</v>
      </c>
      <c r="D914" s="5" t="s">
        <v>26</v>
      </c>
      <c r="E914" s="5" t="s">
        <v>19</v>
      </c>
      <c r="F914" s="5">
        <v>62</v>
      </c>
      <c r="G914" s="5">
        <v>891</v>
      </c>
      <c r="H914" s="5">
        <v>1170</v>
      </c>
      <c r="I914" s="6">
        <f t="shared" si="42"/>
        <v>55242</v>
      </c>
      <c r="J914" s="6">
        <f t="shared" si="43"/>
        <v>72540</v>
      </c>
      <c r="K914" s="6">
        <f t="shared" si="44"/>
        <v>17298</v>
      </c>
    </row>
    <row r="915" spans="1:11" ht="15.6" thickTop="1" thickBot="1" x14ac:dyDescent="0.35">
      <c r="A915" s="4">
        <v>45634</v>
      </c>
      <c r="B915" s="5" t="s">
        <v>27</v>
      </c>
      <c r="C915" s="5" t="s">
        <v>40</v>
      </c>
      <c r="D915" s="5" t="s">
        <v>43</v>
      </c>
      <c r="E915" s="5" t="s">
        <v>19</v>
      </c>
      <c r="F915" s="5">
        <v>29</v>
      </c>
      <c r="G915" s="5">
        <v>989</v>
      </c>
      <c r="H915" s="5">
        <v>836</v>
      </c>
      <c r="I915" s="6">
        <f t="shared" si="42"/>
        <v>28681</v>
      </c>
      <c r="J915" s="6">
        <f t="shared" si="43"/>
        <v>24244</v>
      </c>
      <c r="K915" s="6">
        <f t="shared" si="44"/>
        <v>-4437</v>
      </c>
    </row>
    <row r="916" spans="1:11" ht="15.6" thickTop="1" thickBot="1" x14ac:dyDescent="0.35">
      <c r="A916" s="4">
        <v>45556</v>
      </c>
      <c r="B916" s="5" t="s">
        <v>21</v>
      </c>
      <c r="C916" s="5" t="s">
        <v>41</v>
      </c>
      <c r="D916" s="5" t="s">
        <v>18</v>
      </c>
      <c r="E916" s="5" t="s">
        <v>19</v>
      </c>
      <c r="F916" s="5">
        <v>89</v>
      </c>
      <c r="G916" s="5">
        <v>990</v>
      </c>
      <c r="H916" s="5">
        <v>1047</v>
      </c>
      <c r="I916" s="6">
        <f t="shared" si="42"/>
        <v>88110</v>
      </c>
      <c r="J916" s="6">
        <f t="shared" si="43"/>
        <v>93183</v>
      </c>
      <c r="K916" s="6">
        <f t="shared" si="44"/>
        <v>5073</v>
      </c>
    </row>
    <row r="917" spans="1:11" ht="15.6" thickTop="1" thickBot="1" x14ac:dyDescent="0.35">
      <c r="A917" s="4">
        <v>45557</v>
      </c>
      <c r="B917" s="5" t="s">
        <v>21</v>
      </c>
      <c r="C917" s="5" t="s">
        <v>41</v>
      </c>
      <c r="D917" s="5" t="s">
        <v>26</v>
      </c>
      <c r="E917" s="5" t="s">
        <v>19</v>
      </c>
      <c r="F917" s="5">
        <v>61</v>
      </c>
      <c r="G917" s="5">
        <v>907</v>
      </c>
      <c r="H917" s="5">
        <v>1327</v>
      </c>
      <c r="I917" s="6">
        <f t="shared" si="42"/>
        <v>55327</v>
      </c>
      <c r="J917" s="6">
        <f t="shared" si="43"/>
        <v>80947</v>
      </c>
      <c r="K917" s="6">
        <f t="shared" si="44"/>
        <v>25620</v>
      </c>
    </row>
    <row r="918" spans="1:11" ht="15.6" thickTop="1" thickBot="1" x14ac:dyDescent="0.35">
      <c r="A918" s="4">
        <v>45637</v>
      </c>
      <c r="B918" s="5" t="s">
        <v>21</v>
      </c>
      <c r="C918" s="5" t="s">
        <v>38</v>
      </c>
      <c r="D918" s="5" t="s">
        <v>15</v>
      </c>
      <c r="E918" s="5" t="s">
        <v>19</v>
      </c>
      <c r="F918" s="5">
        <v>55</v>
      </c>
      <c r="G918" s="5">
        <v>666</v>
      </c>
      <c r="H918" s="5">
        <v>1358</v>
      </c>
      <c r="I918" s="6">
        <f t="shared" si="42"/>
        <v>36630</v>
      </c>
      <c r="J918" s="6">
        <f t="shared" si="43"/>
        <v>74690</v>
      </c>
      <c r="K918" s="6">
        <f t="shared" si="44"/>
        <v>38060</v>
      </c>
    </row>
    <row r="919" spans="1:11" ht="15.6" thickTop="1" thickBot="1" x14ac:dyDescent="0.35">
      <c r="A919" s="4">
        <v>45558</v>
      </c>
      <c r="B919" s="5" t="s">
        <v>21</v>
      </c>
      <c r="C919" s="5" t="s">
        <v>41</v>
      </c>
      <c r="D919" s="5" t="s">
        <v>29</v>
      </c>
      <c r="E919" s="5" t="s">
        <v>14</v>
      </c>
      <c r="F919" s="5">
        <v>52</v>
      </c>
      <c r="G919" s="5">
        <v>766</v>
      </c>
      <c r="H919" s="5">
        <v>1318</v>
      </c>
      <c r="I919" s="6">
        <f t="shared" si="42"/>
        <v>39832</v>
      </c>
      <c r="J919" s="6">
        <f t="shared" si="43"/>
        <v>68536</v>
      </c>
      <c r="K919" s="6">
        <f t="shared" si="44"/>
        <v>28704</v>
      </c>
    </row>
    <row r="920" spans="1:11" ht="15.6" thickTop="1" thickBot="1" x14ac:dyDescent="0.35">
      <c r="A920" s="4">
        <v>45559</v>
      </c>
      <c r="B920" s="5" t="s">
        <v>21</v>
      </c>
      <c r="C920" s="5" t="s">
        <v>41</v>
      </c>
      <c r="D920" s="5" t="s">
        <v>18</v>
      </c>
      <c r="E920" s="5" t="s">
        <v>19</v>
      </c>
      <c r="F920" s="5">
        <v>96</v>
      </c>
      <c r="G920" s="5">
        <v>520</v>
      </c>
      <c r="H920" s="5">
        <v>1208</v>
      </c>
      <c r="I920" s="6">
        <f t="shared" si="42"/>
        <v>49920</v>
      </c>
      <c r="J920" s="6">
        <f t="shared" si="43"/>
        <v>115968</v>
      </c>
      <c r="K920" s="6">
        <f t="shared" si="44"/>
        <v>66048</v>
      </c>
    </row>
    <row r="921" spans="1:11" ht="15.6" thickTop="1" thickBot="1" x14ac:dyDescent="0.35">
      <c r="A921" s="4">
        <v>45560</v>
      </c>
      <c r="B921" s="5" t="s">
        <v>21</v>
      </c>
      <c r="C921" s="5" t="s">
        <v>41</v>
      </c>
      <c r="D921" s="5" t="s">
        <v>30</v>
      </c>
      <c r="E921" s="5" t="s">
        <v>19</v>
      </c>
      <c r="F921" s="5">
        <v>90</v>
      </c>
      <c r="G921" s="5">
        <v>792</v>
      </c>
      <c r="H921" s="5">
        <v>818</v>
      </c>
      <c r="I921" s="6">
        <f t="shared" si="42"/>
        <v>71280</v>
      </c>
      <c r="J921" s="6">
        <f t="shared" si="43"/>
        <v>73620</v>
      </c>
      <c r="K921" s="6">
        <f t="shared" si="44"/>
        <v>2340</v>
      </c>
    </row>
    <row r="922" spans="1:11" ht="15.6" thickTop="1" thickBot="1" x14ac:dyDescent="0.35">
      <c r="A922" s="4">
        <v>45561</v>
      </c>
      <c r="B922" s="5" t="s">
        <v>21</v>
      </c>
      <c r="C922" s="5" t="s">
        <v>41</v>
      </c>
      <c r="D922" s="5" t="s">
        <v>31</v>
      </c>
      <c r="E922" s="5" t="s">
        <v>19</v>
      </c>
      <c r="F922" s="5">
        <v>98</v>
      </c>
      <c r="G922" s="5">
        <v>711</v>
      </c>
      <c r="H922" s="5">
        <v>1190</v>
      </c>
      <c r="I922" s="6">
        <f t="shared" si="42"/>
        <v>69678</v>
      </c>
      <c r="J922" s="6">
        <f t="shared" si="43"/>
        <v>116620</v>
      </c>
      <c r="K922" s="6">
        <f t="shared" si="44"/>
        <v>46942</v>
      </c>
    </row>
    <row r="923" spans="1:11" ht="15.6" thickTop="1" thickBot="1" x14ac:dyDescent="0.35">
      <c r="A923" s="4">
        <v>45642</v>
      </c>
      <c r="B923" s="5" t="s">
        <v>21</v>
      </c>
      <c r="C923" s="5" t="s">
        <v>38</v>
      </c>
      <c r="D923" s="5" t="s">
        <v>25</v>
      </c>
      <c r="E923" s="5" t="s">
        <v>14</v>
      </c>
      <c r="F923" s="5">
        <v>94</v>
      </c>
      <c r="G923" s="5">
        <v>616</v>
      </c>
      <c r="H923" s="5">
        <v>1200</v>
      </c>
      <c r="I923" s="6">
        <f t="shared" si="42"/>
        <v>57904</v>
      </c>
      <c r="J923" s="6">
        <f t="shared" si="43"/>
        <v>112800</v>
      </c>
      <c r="K923" s="6">
        <f t="shared" si="44"/>
        <v>54896</v>
      </c>
    </row>
    <row r="924" spans="1:11" ht="15.6" thickTop="1" thickBot="1" x14ac:dyDescent="0.35">
      <c r="A924" s="4">
        <v>45569</v>
      </c>
      <c r="B924" s="5" t="s">
        <v>21</v>
      </c>
      <c r="C924" s="5" t="s">
        <v>38</v>
      </c>
      <c r="D924" s="5" t="s">
        <v>20</v>
      </c>
      <c r="E924" s="5" t="s">
        <v>14</v>
      </c>
      <c r="F924" s="5">
        <v>93</v>
      </c>
      <c r="G924" s="5">
        <v>660</v>
      </c>
      <c r="H924" s="5">
        <v>880</v>
      </c>
      <c r="I924" s="6">
        <f t="shared" si="42"/>
        <v>61380</v>
      </c>
      <c r="J924" s="6">
        <f t="shared" si="43"/>
        <v>81840</v>
      </c>
      <c r="K924" s="6">
        <f t="shared" si="44"/>
        <v>20460</v>
      </c>
    </row>
    <row r="925" spans="1:11" ht="15.6" thickTop="1" thickBot="1" x14ac:dyDescent="0.35">
      <c r="A925" s="4">
        <v>45570</v>
      </c>
      <c r="B925" s="5" t="s">
        <v>21</v>
      </c>
      <c r="C925" s="5" t="s">
        <v>38</v>
      </c>
      <c r="D925" s="5" t="s">
        <v>39</v>
      </c>
      <c r="E925" s="5" t="s">
        <v>14</v>
      </c>
      <c r="F925" s="5">
        <v>59</v>
      </c>
      <c r="G925" s="5">
        <v>623</v>
      </c>
      <c r="H925" s="5">
        <v>1386</v>
      </c>
      <c r="I925" s="6">
        <f t="shared" si="42"/>
        <v>36757</v>
      </c>
      <c r="J925" s="6">
        <f t="shared" si="43"/>
        <v>81774</v>
      </c>
      <c r="K925" s="6">
        <f t="shared" si="44"/>
        <v>45017</v>
      </c>
    </row>
    <row r="926" spans="1:11" ht="15.6" thickTop="1" thickBot="1" x14ac:dyDescent="0.35">
      <c r="A926" s="4">
        <v>45572</v>
      </c>
      <c r="B926" s="5" t="s">
        <v>21</v>
      </c>
      <c r="C926" s="5" t="s">
        <v>38</v>
      </c>
      <c r="D926" s="5" t="s">
        <v>43</v>
      </c>
      <c r="E926" s="5" t="s">
        <v>14</v>
      </c>
      <c r="F926" s="5">
        <v>98</v>
      </c>
      <c r="G926" s="5">
        <v>865</v>
      </c>
      <c r="H926" s="5">
        <v>1260</v>
      </c>
      <c r="I926" s="6">
        <f t="shared" si="42"/>
        <v>84770</v>
      </c>
      <c r="J926" s="6">
        <f t="shared" si="43"/>
        <v>123480</v>
      </c>
      <c r="K926" s="6">
        <f t="shared" si="44"/>
        <v>38710</v>
      </c>
    </row>
    <row r="927" spans="1:11" ht="15.6" thickTop="1" thickBot="1" x14ac:dyDescent="0.35">
      <c r="A927" s="4">
        <v>45646</v>
      </c>
      <c r="B927" s="5" t="s">
        <v>21</v>
      </c>
      <c r="C927" s="5" t="s">
        <v>38</v>
      </c>
      <c r="D927" s="5" t="s">
        <v>25</v>
      </c>
      <c r="E927" s="5" t="s">
        <v>14</v>
      </c>
      <c r="F927" s="5">
        <v>67</v>
      </c>
      <c r="G927" s="5">
        <v>898</v>
      </c>
      <c r="H927" s="5">
        <v>1133</v>
      </c>
      <c r="I927" s="6">
        <f t="shared" si="42"/>
        <v>60166</v>
      </c>
      <c r="J927" s="6">
        <f t="shared" si="43"/>
        <v>75911</v>
      </c>
      <c r="K927" s="6">
        <f t="shared" si="44"/>
        <v>15745</v>
      </c>
    </row>
    <row r="928" spans="1:11" ht="15.6" thickTop="1" thickBot="1" x14ac:dyDescent="0.35">
      <c r="A928" s="4">
        <v>45573</v>
      </c>
      <c r="B928" s="5" t="s">
        <v>21</v>
      </c>
      <c r="C928" s="5" t="s">
        <v>38</v>
      </c>
      <c r="D928" s="5" t="s">
        <v>44</v>
      </c>
      <c r="E928" s="5" t="s">
        <v>14</v>
      </c>
      <c r="F928" s="5">
        <v>83</v>
      </c>
      <c r="G928" s="5">
        <v>709</v>
      </c>
      <c r="H928" s="5">
        <v>1206</v>
      </c>
      <c r="I928" s="6">
        <f t="shared" si="42"/>
        <v>58847</v>
      </c>
      <c r="J928" s="6">
        <f t="shared" si="43"/>
        <v>100098</v>
      </c>
      <c r="K928" s="6">
        <f t="shared" si="44"/>
        <v>41251</v>
      </c>
    </row>
    <row r="929" spans="1:11" ht="15.6" thickTop="1" thickBot="1" x14ac:dyDescent="0.35">
      <c r="A929" s="4">
        <v>45648</v>
      </c>
      <c r="B929" s="5" t="s">
        <v>21</v>
      </c>
      <c r="C929" s="5" t="s">
        <v>41</v>
      </c>
      <c r="D929" s="5" t="s">
        <v>39</v>
      </c>
      <c r="E929" s="5" t="s">
        <v>14</v>
      </c>
      <c r="F929" s="5">
        <v>72</v>
      </c>
      <c r="G929" s="5">
        <v>603</v>
      </c>
      <c r="H929" s="5">
        <v>941</v>
      </c>
      <c r="I929" s="6">
        <f t="shared" si="42"/>
        <v>43416</v>
      </c>
      <c r="J929" s="6">
        <f t="shared" si="43"/>
        <v>67752</v>
      </c>
      <c r="K929" s="6">
        <f t="shared" si="44"/>
        <v>24336</v>
      </c>
    </row>
    <row r="930" spans="1:11" ht="15.6" thickTop="1" thickBot="1" x14ac:dyDescent="0.35">
      <c r="A930" s="4">
        <v>45574</v>
      </c>
      <c r="B930" s="5" t="s">
        <v>21</v>
      </c>
      <c r="C930" s="5" t="s">
        <v>41</v>
      </c>
      <c r="D930" s="5" t="s">
        <v>13</v>
      </c>
      <c r="E930" s="5" t="s">
        <v>14</v>
      </c>
      <c r="F930" s="5">
        <v>69</v>
      </c>
      <c r="G930" s="5">
        <v>657</v>
      </c>
      <c r="H930" s="5">
        <v>1493</v>
      </c>
      <c r="I930" s="6">
        <f t="shared" si="42"/>
        <v>45333</v>
      </c>
      <c r="J930" s="6">
        <f t="shared" si="43"/>
        <v>103017</v>
      </c>
      <c r="K930" s="6">
        <f t="shared" si="44"/>
        <v>57684</v>
      </c>
    </row>
    <row r="931" spans="1:11" ht="15.6" thickTop="1" thickBot="1" x14ac:dyDescent="0.35">
      <c r="A931" s="4">
        <v>45575</v>
      </c>
      <c r="B931" s="5" t="s">
        <v>21</v>
      </c>
      <c r="C931" s="5" t="s">
        <v>41</v>
      </c>
      <c r="D931" s="5" t="s">
        <v>15</v>
      </c>
      <c r="E931" s="5" t="s">
        <v>14</v>
      </c>
      <c r="F931" s="5">
        <v>81</v>
      </c>
      <c r="G931" s="5">
        <v>709</v>
      </c>
      <c r="H931" s="5">
        <v>1180</v>
      </c>
      <c r="I931" s="6">
        <f t="shared" si="42"/>
        <v>57429</v>
      </c>
      <c r="J931" s="6">
        <f t="shared" si="43"/>
        <v>95580</v>
      </c>
      <c r="K931" s="6">
        <f t="shared" si="44"/>
        <v>38151</v>
      </c>
    </row>
    <row r="932" spans="1:11" ht="15.6" thickTop="1" thickBot="1" x14ac:dyDescent="0.35">
      <c r="A932" s="4">
        <v>45576</v>
      </c>
      <c r="B932" s="5" t="s">
        <v>21</v>
      </c>
      <c r="C932" s="5" t="s">
        <v>41</v>
      </c>
      <c r="D932" s="5" t="s">
        <v>16</v>
      </c>
      <c r="E932" s="5" t="s">
        <v>14</v>
      </c>
      <c r="F932" s="5">
        <v>61</v>
      </c>
      <c r="G932" s="5">
        <v>547</v>
      </c>
      <c r="H932" s="5">
        <v>1060</v>
      </c>
      <c r="I932" s="6">
        <f t="shared" si="42"/>
        <v>33367</v>
      </c>
      <c r="J932" s="6">
        <f t="shared" si="43"/>
        <v>64660</v>
      </c>
      <c r="K932" s="6">
        <f t="shared" si="44"/>
        <v>31293</v>
      </c>
    </row>
    <row r="933" spans="1:11" ht="15.6" thickTop="1" thickBot="1" x14ac:dyDescent="0.35">
      <c r="A933" s="4">
        <v>45577</v>
      </c>
      <c r="B933" s="5" t="s">
        <v>21</v>
      </c>
      <c r="C933" s="5" t="s">
        <v>41</v>
      </c>
      <c r="D933" s="5" t="s">
        <v>17</v>
      </c>
      <c r="E933" s="5" t="s">
        <v>14</v>
      </c>
      <c r="F933" s="5">
        <v>57</v>
      </c>
      <c r="G933" s="5">
        <v>734</v>
      </c>
      <c r="H933" s="5">
        <v>979</v>
      </c>
      <c r="I933" s="6">
        <f t="shared" si="42"/>
        <v>41838</v>
      </c>
      <c r="J933" s="6">
        <f t="shared" si="43"/>
        <v>55803</v>
      </c>
      <c r="K933" s="6">
        <f t="shared" si="44"/>
        <v>13965</v>
      </c>
    </row>
    <row r="934" spans="1:11" ht="15.6" thickTop="1" thickBot="1" x14ac:dyDescent="0.35">
      <c r="A934" s="4">
        <v>45653</v>
      </c>
      <c r="B934" s="5" t="s">
        <v>21</v>
      </c>
      <c r="C934" s="5" t="s">
        <v>41</v>
      </c>
      <c r="D934" s="5" t="s">
        <v>15</v>
      </c>
      <c r="E934" s="5" t="s">
        <v>19</v>
      </c>
      <c r="F934" s="5">
        <v>97</v>
      </c>
      <c r="G934" s="5">
        <v>500</v>
      </c>
      <c r="H934" s="5">
        <v>1417</v>
      </c>
      <c r="I934" s="6">
        <f t="shared" si="42"/>
        <v>48500</v>
      </c>
      <c r="J934" s="6">
        <f t="shared" si="43"/>
        <v>137449</v>
      </c>
      <c r="K934" s="6">
        <f t="shared" si="44"/>
        <v>88949</v>
      </c>
    </row>
    <row r="935" spans="1:11" ht="15.6" thickTop="1" thickBot="1" x14ac:dyDescent="0.35">
      <c r="A935" s="4">
        <v>45579</v>
      </c>
      <c r="B935" s="5" t="s">
        <v>21</v>
      </c>
      <c r="C935" s="5" t="s">
        <v>41</v>
      </c>
      <c r="D935" s="5" t="s">
        <v>18</v>
      </c>
      <c r="E935" s="5" t="s">
        <v>19</v>
      </c>
      <c r="F935" s="5">
        <v>60</v>
      </c>
      <c r="G935" s="5">
        <v>937</v>
      </c>
      <c r="H935" s="5">
        <v>948</v>
      </c>
      <c r="I935" s="6">
        <f t="shared" si="42"/>
        <v>56220</v>
      </c>
      <c r="J935" s="6">
        <f t="shared" si="43"/>
        <v>56880</v>
      </c>
      <c r="K935" s="6">
        <f t="shared" si="44"/>
        <v>660</v>
      </c>
    </row>
    <row r="936" spans="1:11" ht="15.6" thickTop="1" thickBot="1" x14ac:dyDescent="0.35">
      <c r="A936" s="4">
        <v>45592</v>
      </c>
      <c r="B936" s="5" t="s">
        <v>21</v>
      </c>
      <c r="C936" s="5" t="s">
        <v>22</v>
      </c>
      <c r="D936" s="5" t="s">
        <v>39</v>
      </c>
      <c r="E936" s="5" t="s">
        <v>19</v>
      </c>
      <c r="F936" s="5">
        <v>71</v>
      </c>
      <c r="G936" s="5">
        <v>777</v>
      </c>
      <c r="H936" s="5">
        <v>1034</v>
      </c>
      <c r="I936" s="6">
        <f t="shared" si="42"/>
        <v>55167</v>
      </c>
      <c r="J936" s="6">
        <f t="shared" si="43"/>
        <v>73414</v>
      </c>
      <c r="K936" s="6">
        <f t="shared" si="44"/>
        <v>18247</v>
      </c>
    </row>
    <row r="937" spans="1:11" ht="15.6" thickTop="1" thickBot="1" x14ac:dyDescent="0.35">
      <c r="A937" s="4">
        <v>45593</v>
      </c>
      <c r="B937" s="5" t="s">
        <v>21</v>
      </c>
      <c r="C937" s="5" t="s">
        <v>22</v>
      </c>
      <c r="D937" s="5" t="s">
        <v>26</v>
      </c>
      <c r="E937" s="5" t="s">
        <v>19</v>
      </c>
      <c r="F937" s="5">
        <v>52</v>
      </c>
      <c r="G937" s="5">
        <v>509</v>
      </c>
      <c r="H937" s="5">
        <v>764</v>
      </c>
      <c r="I937" s="6">
        <f t="shared" si="42"/>
        <v>26468</v>
      </c>
      <c r="J937" s="6">
        <f t="shared" si="43"/>
        <v>39728</v>
      </c>
      <c r="K937" s="6">
        <f t="shared" si="44"/>
        <v>13260</v>
      </c>
    </row>
    <row r="938" spans="1:11" ht="15.6" thickTop="1" thickBot="1" x14ac:dyDescent="0.35">
      <c r="A938" s="4">
        <v>45594</v>
      </c>
      <c r="B938" s="5" t="s">
        <v>21</v>
      </c>
      <c r="C938" s="5" t="s">
        <v>22</v>
      </c>
      <c r="D938" s="5" t="s">
        <v>43</v>
      </c>
      <c r="E938" s="5" t="s">
        <v>14</v>
      </c>
      <c r="F938" s="5">
        <v>66</v>
      </c>
      <c r="G938" s="5">
        <v>701</v>
      </c>
      <c r="H938" s="5">
        <v>1204</v>
      </c>
      <c r="I938" s="6">
        <f t="shared" si="42"/>
        <v>46266</v>
      </c>
      <c r="J938" s="6">
        <f t="shared" si="43"/>
        <v>79464</v>
      </c>
      <c r="K938" s="6">
        <f t="shared" si="44"/>
        <v>33198</v>
      </c>
    </row>
    <row r="939" spans="1:11" ht="15.6" thickTop="1" thickBot="1" x14ac:dyDescent="0.35">
      <c r="A939" s="4">
        <v>45595</v>
      </c>
      <c r="B939" s="5" t="s">
        <v>21</v>
      </c>
      <c r="C939" s="5" t="s">
        <v>22</v>
      </c>
      <c r="D939" s="5" t="s">
        <v>44</v>
      </c>
      <c r="E939" s="5" t="s">
        <v>19</v>
      </c>
      <c r="F939" s="5">
        <v>97</v>
      </c>
      <c r="G939" s="5">
        <v>654</v>
      </c>
      <c r="H939" s="5">
        <v>839</v>
      </c>
      <c r="I939" s="6">
        <f t="shared" si="42"/>
        <v>63438</v>
      </c>
      <c r="J939" s="6">
        <f t="shared" si="43"/>
        <v>81383</v>
      </c>
      <c r="K939" s="6">
        <f t="shared" si="44"/>
        <v>17945</v>
      </c>
    </row>
    <row r="940" spans="1:11" ht="15.6" thickTop="1" thickBot="1" x14ac:dyDescent="0.35">
      <c r="A940" s="4">
        <v>45603</v>
      </c>
      <c r="B940" s="5" t="s">
        <v>21</v>
      </c>
      <c r="C940" s="5" t="s">
        <v>45</v>
      </c>
      <c r="D940" s="5" t="s">
        <v>17</v>
      </c>
      <c r="E940" s="5" t="s">
        <v>14</v>
      </c>
      <c r="F940" s="5">
        <v>63</v>
      </c>
      <c r="G940" s="5">
        <v>833</v>
      </c>
      <c r="H940" s="5">
        <v>1040</v>
      </c>
      <c r="I940" s="6">
        <f t="shared" si="42"/>
        <v>52479</v>
      </c>
      <c r="J940" s="6">
        <f t="shared" si="43"/>
        <v>65520</v>
      </c>
      <c r="K940" s="6">
        <f t="shared" si="44"/>
        <v>13041</v>
      </c>
    </row>
    <row r="941" spans="1:11" ht="15.6" thickTop="1" thickBot="1" x14ac:dyDescent="0.35">
      <c r="A941" s="4">
        <v>45660</v>
      </c>
      <c r="B941" s="5" t="s">
        <v>11</v>
      </c>
      <c r="C941" s="5" t="s">
        <v>12</v>
      </c>
      <c r="D941" s="5" t="s">
        <v>36</v>
      </c>
      <c r="E941" s="5" t="s">
        <v>14</v>
      </c>
      <c r="F941" s="5">
        <v>12</v>
      </c>
      <c r="G941" s="5">
        <v>864</v>
      </c>
      <c r="H941" s="5">
        <v>953</v>
      </c>
      <c r="I941" s="6">
        <f t="shared" si="42"/>
        <v>10368</v>
      </c>
      <c r="J941" s="6">
        <f t="shared" si="43"/>
        <v>11436</v>
      </c>
      <c r="K941" s="6">
        <f t="shared" si="44"/>
        <v>1068</v>
      </c>
    </row>
    <row r="942" spans="1:11" ht="15.6" thickTop="1" thickBot="1" x14ac:dyDescent="0.35">
      <c r="A942" s="4">
        <v>45604</v>
      </c>
      <c r="B942" s="5" t="s">
        <v>21</v>
      </c>
      <c r="C942" s="5" t="s">
        <v>45</v>
      </c>
      <c r="D942" s="5" t="s">
        <v>36</v>
      </c>
      <c r="E942" s="5" t="s">
        <v>14</v>
      </c>
      <c r="F942" s="5">
        <v>74</v>
      </c>
      <c r="G942" s="5">
        <v>743</v>
      </c>
      <c r="H942" s="5">
        <v>974</v>
      </c>
      <c r="I942" s="6">
        <f t="shared" si="42"/>
        <v>54982</v>
      </c>
      <c r="J942" s="6">
        <f t="shared" si="43"/>
        <v>72076</v>
      </c>
      <c r="K942" s="6">
        <f t="shared" si="44"/>
        <v>17094</v>
      </c>
    </row>
    <row r="943" spans="1:11" ht="15.6" thickTop="1" thickBot="1" x14ac:dyDescent="0.35">
      <c r="A943" s="4">
        <v>45662</v>
      </c>
      <c r="B943" s="5" t="s">
        <v>11</v>
      </c>
      <c r="C943" s="5" t="s">
        <v>12</v>
      </c>
      <c r="D943" s="5" t="s">
        <v>26</v>
      </c>
      <c r="E943" s="5" t="s">
        <v>14</v>
      </c>
      <c r="F943" s="5">
        <v>13</v>
      </c>
      <c r="G943" s="5">
        <v>839</v>
      </c>
      <c r="H943" s="5">
        <v>1025</v>
      </c>
      <c r="I943" s="6">
        <f t="shared" si="42"/>
        <v>10907</v>
      </c>
      <c r="J943" s="6">
        <f t="shared" si="43"/>
        <v>13325</v>
      </c>
      <c r="K943" s="6">
        <f t="shared" si="44"/>
        <v>2418</v>
      </c>
    </row>
    <row r="944" spans="1:11" ht="15.6" thickTop="1" thickBot="1" x14ac:dyDescent="0.35">
      <c r="A944" s="4">
        <v>45606</v>
      </c>
      <c r="B944" s="5" t="s">
        <v>21</v>
      </c>
      <c r="C944" s="5" t="s">
        <v>45</v>
      </c>
      <c r="D944" s="5" t="s">
        <v>26</v>
      </c>
      <c r="E944" s="5" t="s">
        <v>14</v>
      </c>
      <c r="F944" s="5">
        <v>86</v>
      </c>
      <c r="G944" s="5">
        <v>593</v>
      </c>
      <c r="H944" s="5">
        <v>1425</v>
      </c>
      <c r="I944" s="6">
        <f t="shared" si="42"/>
        <v>50998</v>
      </c>
      <c r="J944" s="6">
        <f t="shared" si="43"/>
        <v>122550</v>
      </c>
      <c r="K944" s="6">
        <f t="shared" si="44"/>
        <v>71552</v>
      </c>
    </row>
    <row r="945" spans="1:11" ht="15.6" thickTop="1" thickBot="1" x14ac:dyDescent="0.35">
      <c r="A945" s="4">
        <v>45664</v>
      </c>
      <c r="B945" s="5" t="s">
        <v>11</v>
      </c>
      <c r="C945" s="5" t="s">
        <v>12</v>
      </c>
      <c r="D945" s="5" t="s">
        <v>16</v>
      </c>
      <c r="E945" s="5" t="s">
        <v>14</v>
      </c>
      <c r="F945" s="5">
        <v>11</v>
      </c>
      <c r="G945" s="5">
        <v>944</v>
      </c>
      <c r="H945" s="5">
        <v>949</v>
      </c>
      <c r="I945" s="6">
        <f t="shared" si="42"/>
        <v>10384</v>
      </c>
      <c r="J945" s="6">
        <f t="shared" si="43"/>
        <v>10439</v>
      </c>
      <c r="K945" s="6">
        <f t="shared" si="44"/>
        <v>55</v>
      </c>
    </row>
    <row r="946" spans="1:11" ht="15.6" thickTop="1" thickBot="1" x14ac:dyDescent="0.35">
      <c r="A946" s="4">
        <v>45607</v>
      </c>
      <c r="B946" s="5" t="s">
        <v>21</v>
      </c>
      <c r="C946" s="5" t="s">
        <v>45</v>
      </c>
      <c r="D946" s="5" t="s">
        <v>17</v>
      </c>
      <c r="E946" s="5" t="s">
        <v>14</v>
      </c>
      <c r="F946" s="5">
        <v>92</v>
      </c>
      <c r="G946" s="5">
        <v>609</v>
      </c>
      <c r="H946" s="5">
        <v>792</v>
      </c>
      <c r="I946" s="6">
        <f t="shared" si="42"/>
        <v>56028</v>
      </c>
      <c r="J946" s="6">
        <f t="shared" si="43"/>
        <v>72864</v>
      </c>
      <c r="K946" s="6">
        <f t="shared" si="44"/>
        <v>16836</v>
      </c>
    </row>
    <row r="947" spans="1:11" ht="15.6" thickTop="1" thickBot="1" x14ac:dyDescent="0.35">
      <c r="A947" s="4">
        <v>45608</v>
      </c>
      <c r="B947" s="5" t="s">
        <v>21</v>
      </c>
      <c r="C947" s="5" t="s">
        <v>45</v>
      </c>
      <c r="D947" s="5" t="s">
        <v>34</v>
      </c>
      <c r="E947" s="5" t="s">
        <v>14</v>
      </c>
      <c r="F947" s="5">
        <v>96</v>
      </c>
      <c r="G947" s="5">
        <v>674</v>
      </c>
      <c r="H947" s="5">
        <v>1178</v>
      </c>
      <c r="I947" s="6">
        <f t="shared" si="42"/>
        <v>64704</v>
      </c>
      <c r="J947" s="6">
        <f t="shared" si="43"/>
        <v>113088</v>
      </c>
      <c r="K947" s="6">
        <f t="shared" si="44"/>
        <v>48384</v>
      </c>
    </row>
    <row r="948" spans="1:11" ht="15.6" thickTop="1" thickBot="1" x14ac:dyDescent="0.35">
      <c r="A948" s="4">
        <v>45636</v>
      </c>
      <c r="B948" s="5" t="s">
        <v>21</v>
      </c>
      <c r="C948" s="5" t="s">
        <v>38</v>
      </c>
      <c r="D948" s="5" t="s">
        <v>13</v>
      </c>
      <c r="E948" s="5" t="s">
        <v>19</v>
      </c>
      <c r="F948" s="5">
        <v>65</v>
      </c>
      <c r="G948" s="5">
        <v>804</v>
      </c>
      <c r="H948" s="5">
        <v>876</v>
      </c>
      <c r="I948" s="6">
        <f t="shared" si="42"/>
        <v>52260</v>
      </c>
      <c r="J948" s="6">
        <f t="shared" si="43"/>
        <v>56940</v>
      </c>
      <c r="K948" s="6">
        <f t="shared" si="44"/>
        <v>4680</v>
      </c>
    </row>
    <row r="949" spans="1:11" ht="15.6" thickTop="1" thickBot="1" x14ac:dyDescent="0.35">
      <c r="A949" s="4">
        <v>45638</v>
      </c>
      <c r="B949" s="5" t="s">
        <v>21</v>
      </c>
      <c r="C949" s="5" t="s">
        <v>38</v>
      </c>
      <c r="D949" s="5" t="s">
        <v>16</v>
      </c>
      <c r="E949" s="5" t="s">
        <v>14</v>
      </c>
      <c r="F949" s="5">
        <v>83</v>
      </c>
      <c r="G949" s="5">
        <v>541</v>
      </c>
      <c r="H949" s="5">
        <v>1072</v>
      </c>
      <c r="I949" s="6">
        <f t="shared" si="42"/>
        <v>44903</v>
      </c>
      <c r="J949" s="6">
        <f t="shared" si="43"/>
        <v>88976</v>
      </c>
      <c r="K949" s="6">
        <f t="shared" si="44"/>
        <v>44073</v>
      </c>
    </row>
    <row r="950" spans="1:11" ht="15.6" thickTop="1" thickBot="1" x14ac:dyDescent="0.35">
      <c r="A950" s="4">
        <v>45639</v>
      </c>
      <c r="B950" s="5" t="s">
        <v>21</v>
      </c>
      <c r="C950" s="5" t="s">
        <v>38</v>
      </c>
      <c r="D950" s="5" t="s">
        <v>17</v>
      </c>
      <c r="E950" s="5" t="s">
        <v>14</v>
      </c>
      <c r="F950" s="5">
        <v>89</v>
      </c>
      <c r="G950" s="5">
        <v>545</v>
      </c>
      <c r="H950" s="5">
        <v>978</v>
      </c>
      <c r="I950" s="6">
        <f t="shared" si="42"/>
        <v>48505</v>
      </c>
      <c r="J950" s="6">
        <f t="shared" si="43"/>
        <v>87042</v>
      </c>
      <c r="K950" s="6">
        <f t="shared" si="44"/>
        <v>38537</v>
      </c>
    </row>
    <row r="951" spans="1:11" ht="15.6" thickTop="1" thickBot="1" x14ac:dyDescent="0.35">
      <c r="A951" s="4">
        <v>45640</v>
      </c>
      <c r="B951" s="5" t="s">
        <v>21</v>
      </c>
      <c r="C951" s="5" t="s">
        <v>38</v>
      </c>
      <c r="D951" s="5" t="s">
        <v>23</v>
      </c>
      <c r="E951" s="5" t="s">
        <v>14</v>
      </c>
      <c r="F951" s="5">
        <v>80</v>
      </c>
      <c r="G951" s="5">
        <v>671</v>
      </c>
      <c r="H951" s="5">
        <v>1251</v>
      </c>
      <c r="I951" s="6">
        <f t="shared" si="42"/>
        <v>53680</v>
      </c>
      <c r="J951" s="6">
        <f t="shared" si="43"/>
        <v>100080</v>
      </c>
      <c r="K951" s="6">
        <f t="shared" si="44"/>
        <v>46400</v>
      </c>
    </row>
    <row r="952" spans="1:11" ht="15.6" thickTop="1" thickBot="1" x14ac:dyDescent="0.35">
      <c r="A952" s="4">
        <v>45671</v>
      </c>
      <c r="B952" s="5" t="s">
        <v>21</v>
      </c>
      <c r="C952" s="5" t="s">
        <v>41</v>
      </c>
      <c r="D952" s="5" t="s">
        <v>32</v>
      </c>
      <c r="E952" s="5" t="s">
        <v>19</v>
      </c>
      <c r="F952" s="5">
        <v>82</v>
      </c>
      <c r="G952" s="5">
        <v>822</v>
      </c>
      <c r="H952" s="5">
        <v>1445</v>
      </c>
      <c r="I952" s="6">
        <f t="shared" si="42"/>
        <v>67404</v>
      </c>
      <c r="J952" s="6">
        <f t="shared" si="43"/>
        <v>118490</v>
      </c>
      <c r="K952" s="6">
        <f t="shared" si="44"/>
        <v>51086</v>
      </c>
    </row>
    <row r="953" spans="1:11" ht="15.6" thickTop="1" thickBot="1" x14ac:dyDescent="0.35">
      <c r="A953" s="4">
        <v>45641</v>
      </c>
      <c r="B953" s="5" t="s">
        <v>21</v>
      </c>
      <c r="C953" s="5" t="s">
        <v>38</v>
      </c>
      <c r="D953" s="5" t="s">
        <v>25</v>
      </c>
      <c r="E953" s="5" t="s">
        <v>14</v>
      </c>
      <c r="F953" s="5">
        <v>68</v>
      </c>
      <c r="G953" s="5">
        <v>815</v>
      </c>
      <c r="H953" s="5">
        <v>808</v>
      </c>
      <c r="I953" s="6">
        <f t="shared" si="42"/>
        <v>55420</v>
      </c>
      <c r="J953" s="6">
        <f t="shared" si="43"/>
        <v>54944</v>
      </c>
      <c r="K953" s="6">
        <f t="shared" si="44"/>
        <v>-476</v>
      </c>
    </row>
    <row r="954" spans="1:11" ht="15.6" thickTop="1" thickBot="1" x14ac:dyDescent="0.35">
      <c r="A954" s="4">
        <v>45643</v>
      </c>
      <c r="B954" s="5" t="s">
        <v>21</v>
      </c>
      <c r="C954" s="5" t="s">
        <v>38</v>
      </c>
      <c r="D954" s="5" t="s">
        <v>34</v>
      </c>
      <c r="E954" s="5" t="s">
        <v>14</v>
      </c>
      <c r="F954" s="5">
        <v>88</v>
      </c>
      <c r="G954" s="5">
        <v>674</v>
      </c>
      <c r="H954" s="5">
        <v>891</v>
      </c>
      <c r="I954" s="6">
        <f t="shared" si="42"/>
        <v>59312</v>
      </c>
      <c r="J954" s="6">
        <f t="shared" si="43"/>
        <v>78408</v>
      </c>
      <c r="K954" s="6">
        <f t="shared" si="44"/>
        <v>19096</v>
      </c>
    </row>
    <row r="955" spans="1:11" ht="15.6" thickTop="1" thickBot="1" x14ac:dyDescent="0.35">
      <c r="A955" s="4">
        <v>45644</v>
      </c>
      <c r="B955" s="5" t="s">
        <v>21</v>
      </c>
      <c r="C955" s="5" t="s">
        <v>38</v>
      </c>
      <c r="D955" s="5" t="s">
        <v>34</v>
      </c>
      <c r="E955" s="5" t="s">
        <v>14</v>
      </c>
      <c r="F955" s="5">
        <v>64</v>
      </c>
      <c r="G955" s="5">
        <v>665</v>
      </c>
      <c r="H955" s="5">
        <v>783</v>
      </c>
      <c r="I955" s="6">
        <f t="shared" si="42"/>
        <v>42560</v>
      </c>
      <c r="J955" s="6">
        <f t="shared" si="43"/>
        <v>50112</v>
      </c>
      <c r="K955" s="6">
        <f t="shared" si="44"/>
        <v>7552</v>
      </c>
    </row>
    <row r="956" spans="1:11" ht="15.6" thickTop="1" thickBot="1" x14ac:dyDescent="0.35">
      <c r="A956" s="4">
        <v>45645</v>
      </c>
      <c r="B956" s="5" t="s">
        <v>21</v>
      </c>
      <c r="C956" s="5" t="s">
        <v>38</v>
      </c>
      <c r="D956" s="5" t="s">
        <v>32</v>
      </c>
      <c r="E956" s="5" t="s">
        <v>14</v>
      </c>
      <c r="F956" s="5">
        <v>81</v>
      </c>
      <c r="G956" s="5">
        <v>801</v>
      </c>
      <c r="H956" s="5">
        <v>846</v>
      </c>
      <c r="I956" s="6">
        <f t="shared" si="42"/>
        <v>64881</v>
      </c>
      <c r="J956" s="6">
        <f t="shared" si="43"/>
        <v>68526</v>
      </c>
      <c r="K956" s="6">
        <f t="shared" si="44"/>
        <v>3645</v>
      </c>
    </row>
    <row r="957" spans="1:11" ht="15.6" thickTop="1" thickBot="1" x14ac:dyDescent="0.35">
      <c r="A957" s="4">
        <v>45647</v>
      </c>
      <c r="B957" s="5" t="s">
        <v>21</v>
      </c>
      <c r="C957" s="5" t="s">
        <v>38</v>
      </c>
      <c r="D957" s="5" t="s">
        <v>20</v>
      </c>
      <c r="E957" s="5" t="s">
        <v>14</v>
      </c>
      <c r="F957" s="5">
        <v>74</v>
      </c>
      <c r="G957" s="5">
        <v>734</v>
      </c>
      <c r="H957" s="5">
        <v>886</v>
      </c>
      <c r="I957" s="6">
        <f t="shared" si="42"/>
        <v>54316</v>
      </c>
      <c r="J957" s="6">
        <f t="shared" si="43"/>
        <v>65564</v>
      </c>
      <c r="K957" s="6">
        <f t="shared" si="44"/>
        <v>11248</v>
      </c>
    </row>
    <row r="958" spans="1:11" ht="15.6" thickTop="1" thickBot="1" x14ac:dyDescent="0.35">
      <c r="A958" s="4">
        <v>45677</v>
      </c>
      <c r="B958" s="5" t="s">
        <v>11</v>
      </c>
      <c r="C958" s="5" t="s">
        <v>24</v>
      </c>
      <c r="D958" s="5" t="s">
        <v>44</v>
      </c>
      <c r="E958" s="5" t="s">
        <v>14</v>
      </c>
      <c r="F958" s="5">
        <v>10</v>
      </c>
      <c r="G958" s="5">
        <v>519</v>
      </c>
      <c r="H958" s="5">
        <v>1420</v>
      </c>
      <c r="I958" s="6">
        <f t="shared" si="42"/>
        <v>5190</v>
      </c>
      <c r="J958" s="6">
        <f t="shared" si="43"/>
        <v>14200</v>
      </c>
      <c r="K958" s="6">
        <f t="shared" si="44"/>
        <v>9010</v>
      </c>
    </row>
    <row r="959" spans="1:11" ht="15.6" thickTop="1" thickBot="1" x14ac:dyDescent="0.35">
      <c r="A959" s="4">
        <v>45649</v>
      </c>
      <c r="B959" s="5" t="s">
        <v>21</v>
      </c>
      <c r="C959" s="5" t="s">
        <v>41</v>
      </c>
      <c r="D959" s="5" t="s">
        <v>26</v>
      </c>
      <c r="E959" s="5" t="s">
        <v>14</v>
      </c>
      <c r="F959" s="5">
        <v>94</v>
      </c>
      <c r="G959" s="5">
        <v>564</v>
      </c>
      <c r="H959" s="5">
        <v>941</v>
      </c>
      <c r="I959" s="6">
        <f t="shared" si="42"/>
        <v>53016</v>
      </c>
      <c r="J959" s="6">
        <f t="shared" si="43"/>
        <v>88454</v>
      </c>
      <c r="K959" s="6">
        <f t="shared" si="44"/>
        <v>35438</v>
      </c>
    </row>
    <row r="960" spans="1:11" ht="15.6" thickTop="1" thickBot="1" x14ac:dyDescent="0.35">
      <c r="A960" s="4">
        <v>45650</v>
      </c>
      <c r="B960" s="5" t="s">
        <v>21</v>
      </c>
      <c r="C960" s="5" t="s">
        <v>41</v>
      </c>
      <c r="D960" s="5" t="s">
        <v>43</v>
      </c>
      <c r="E960" s="5" t="s">
        <v>14</v>
      </c>
      <c r="F960" s="5">
        <v>50</v>
      </c>
      <c r="G960" s="5">
        <v>545</v>
      </c>
      <c r="H960" s="5">
        <v>1050</v>
      </c>
      <c r="I960" s="6">
        <f t="shared" si="42"/>
        <v>27250</v>
      </c>
      <c r="J960" s="6">
        <f t="shared" si="43"/>
        <v>52500</v>
      </c>
      <c r="K960" s="6">
        <f t="shared" si="44"/>
        <v>25250</v>
      </c>
    </row>
    <row r="961" spans="1:11" ht="15.6" thickTop="1" thickBot="1" x14ac:dyDescent="0.35">
      <c r="A961" s="4">
        <v>45651</v>
      </c>
      <c r="B961" s="5" t="s">
        <v>21</v>
      </c>
      <c r="C961" s="5" t="s">
        <v>41</v>
      </c>
      <c r="D961" s="5" t="s">
        <v>44</v>
      </c>
      <c r="E961" s="5" t="s">
        <v>14</v>
      </c>
      <c r="F961" s="5">
        <v>60</v>
      </c>
      <c r="G961" s="5">
        <v>783</v>
      </c>
      <c r="H961" s="5">
        <v>1422</v>
      </c>
      <c r="I961" s="6">
        <f t="shared" si="42"/>
        <v>46980</v>
      </c>
      <c r="J961" s="6">
        <f t="shared" si="43"/>
        <v>85320</v>
      </c>
      <c r="K961" s="6">
        <f t="shared" si="44"/>
        <v>38340</v>
      </c>
    </row>
    <row r="962" spans="1:11" ht="15.6" thickTop="1" thickBot="1" x14ac:dyDescent="0.35">
      <c r="A962" s="4">
        <v>45652</v>
      </c>
      <c r="B962" s="5" t="s">
        <v>21</v>
      </c>
      <c r="C962" s="5" t="s">
        <v>41</v>
      </c>
      <c r="D962" s="5" t="s">
        <v>13</v>
      </c>
      <c r="E962" s="5" t="s">
        <v>14</v>
      </c>
      <c r="F962" s="5">
        <v>63</v>
      </c>
      <c r="G962" s="5">
        <v>746</v>
      </c>
      <c r="H962" s="5">
        <v>1075</v>
      </c>
      <c r="I962" s="6">
        <f t="shared" ref="I962:I993" si="45">F962*G962</f>
        <v>46998</v>
      </c>
      <c r="J962" s="6">
        <f t="shared" ref="J962:J993" si="46">F962*H962</f>
        <v>67725</v>
      </c>
      <c r="K962" s="6">
        <f t="shared" ref="K962:K993" si="47">J962-I962</f>
        <v>20727</v>
      </c>
    </row>
    <row r="963" spans="1:11" ht="15.6" thickTop="1" thickBot="1" x14ac:dyDescent="0.35">
      <c r="A963" s="4">
        <v>45654</v>
      </c>
      <c r="B963" s="5" t="s">
        <v>21</v>
      </c>
      <c r="C963" s="5" t="s">
        <v>41</v>
      </c>
      <c r="D963" s="5" t="s">
        <v>16</v>
      </c>
      <c r="E963" s="5" t="s">
        <v>19</v>
      </c>
      <c r="F963" s="5">
        <v>86</v>
      </c>
      <c r="G963" s="5">
        <v>834</v>
      </c>
      <c r="H963" s="5">
        <v>1372</v>
      </c>
      <c r="I963" s="6">
        <f t="shared" si="45"/>
        <v>71724</v>
      </c>
      <c r="J963" s="6">
        <f t="shared" si="46"/>
        <v>117992</v>
      </c>
      <c r="K963" s="6">
        <f t="shared" si="47"/>
        <v>46268</v>
      </c>
    </row>
    <row r="964" spans="1:11" ht="15.6" thickTop="1" thickBot="1" x14ac:dyDescent="0.35">
      <c r="A964" s="4">
        <v>45683</v>
      </c>
      <c r="B964" s="5" t="s">
        <v>11</v>
      </c>
      <c r="C964" s="5" t="s">
        <v>24</v>
      </c>
      <c r="D964" s="5" t="s">
        <v>18</v>
      </c>
      <c r="E964" s="5" t="s">
        <v>14</v>
      </c>
      <c r="F964" s="5">
        <v>17</v>
      </c>
      <c r="G964" s="5">
        <v>922</v>
      </c>
      <c r="H964" s="5">
        <v>899</v>
      </c>
      <c r="I964" s="6">
        <f t="shared" si="45"/>
        <v>15674</v>
      </c>
      <c r="J964" s="6">
        <f t="shared" si="46"/>
        <v>15283</v>
      </c>
      <c r="K964" s="6">
        <f t="shared" si="47"/>
        <v>-391</v>
      </c>
    </row>
    <row r="965" spans="1:11" ht="15.6" thickTop="1" thickBot="1" x14ac:dyDescent="0.35">
      <c r="A965" s="4">
        <v>45655</v>
      </c>
      <c r="B965" s="5" t="s">
        <v>21</v>
      </c>
      <c r="C965" s="5" t="s">
        <v>41</v>
      </c>
      <c r="D965" s="5" t="s">
        <v>17</v>
      </c>
      <c r="E965" s="5" t="s">
        <v>19</v>
      </c>
      <c r="F965" s="5">
        <v>51</v>
      </c>
      <c r="G965" s="5">
        <v>944</v>
      </c>
      <c r="H965" s="5">
        <v>1062</v>
      </c>
      <c r="I965" s="6">
        <f t="shared" si="45"/>
        <v>48144</v>
      </c>
      <c r="J965" s="6">
        <f t="shared" si="46"/>
        <v>54162</v>
      </c>
      <c r="K965" s="6">
        <f t="shared" si="47"/>
        <v>6018</v>
      </c>
    </row>
    <row r="966" spans="1:11" ht="15.6" thickTop="1" thickBot="1" x14ac:dyDescent="0.35">
      <c r="A966" s="4">
        <v>45656</v>
      </c>
      <c r="B966" s="5" t="s">
        <v>21</v>
      </c>
      <c r="C966" s="5" t="s">
        <v>41</v>
      </c>
      <c r="D966" s="5" t="s">
        <v>17</v>
      </c>
      <c r="E966" s="5" t="s">
        <v>19</v>
      </c>
      <c r="F966" s="5">
        <v>75</v>
      </c>
      <c r="G966" s="5">
        <v>547</v>
      </c>
      <c r="H966" s="5">
        <v>1203</v>
      </c>
      <c r="I966" s="6">
        <f t="shared" si="45"/>
        <v>41025</v>
      </c>
      <c r="J966" s="6">
        <f t="shared" si="46"/>
        <v>90225</v>
      </c>
      <c r="K966" s="6">
        <f t="shared" si="47"/>
        <v>49200</v>
      </c>
    </row>
    <row r="967" spans="1:11" ht="15.6" thickTop="1" thickBot="1" x14ac:dyDescent="0.35">
      <c r="A967" s="4">
        <v>45657</v>
      </c>
      <c r="B967" s="5" t="s">
        <v>21</v>
      </c>
      <c r="C967" s="5" t="s">
        <v>41</v>
      </c>
      <c r="D967" s="5" t="s">
        <v>18</v>
      </c>
      <c r="E967" s="5" t="s">
        <v>19</v>
      </c>
      <c r="F967" s="5">
        <v>64</v>
      </c>
      <c r="G967" s="5">
        <v>918</v>
      </c>
      <c r="H967" s="5">
        <v>907</v>
      </c>
      <c r="I967" s="6">
        <f t="shared" si="45"/>
        <v>58752</v>
      </c>
      <c r="J967" s="6">
        <f t="shared" si="46"/>
        <v>58048</v>
      </c>
      <c r="K967" s="6">
        <f t="shared" si="47"/>
        <v>-704</v>
      </c>
    </row>
    <row r="968" spans="1:11" ht="15.6" thickTop="1" thickBot="1" x14ac:dyDescent="0.35">
      <c r="A968" s="4">
        <v>45687</v>
      </c>
      <c r="B968" s="5" t="s">
        <v>11</v>
      </c>
      <c r="C968" s="5" t="s">
        <v>24</v>
      </c>
      <c r="D968" s="5" t="s">
        <v>20</v>
      </c>
      <c r="E968" s="5" t="s">
        <v>19</v>
      </c>
      <c r="F968" s="5">
        <v>12</v>
      </c>
      <c r="G968" s="5">
        <v>519</v>
      </c>
      <c r="H968" s="5">
        <v>1212</v>
      </c>
      <c r="I968" s="6">
        <f t="shared" si="45"/>
        <v>6228</v>
      </c>
      <c r="J968" s="6">
        <f t="shared" si="46"/>
        <v>14544</v>
      </c>
      <c r="K968" s="6">
        <f t="shared" si="47"/>
        <v>8316</v>
      </c>
    </row>
    <row r="969" spans="1:11" ht="15.6" thickTop="1" thickBot="1" x14ac:dyDescent="0.35">
      <c r="A969" s="4">
        <v>45658</v>
      </c>
      <c r="B969" s="5" t="s">
        <v>21</v>
      </c>
      <c r="C969" s="5" t="s">
        <v>41</v>
      </c>
      <c r="D969" s="5" t="s">
        <v>20</v>
      </c>
      <c r="E969" s="5" t="s">
        <v>14</v>
      </c>
      <c r="F969" s="5">
        <v>74</v>
      </c>
      <c r="G969" s="5">
        <v>965</v>
      </c>
      <c r="H969" s="5">
        <v>906</v>
      </c>
      <c r="I969" s="6">
        <f t="shared" si="45"/>
        <v>71410</v>
      </c>
      <c r="J969" s="6">
        <f t="shared" si="46"/>
        <v>67044</v>
      </c>
      <c r="K969" s="6">
        <f t="shared" si="47"/>
        <v>-4366</v>
      </c>
    </row>
    <row r="970" spans="1:11" ht="15.6" thickTop="1" thickBot="1" x14ac:dyDescent="0.35">
      <c r="A970" s="4">
        <v>45666</v>
      </c>
      <c r="B970" s="5" t="s">
        <v>21</v>
      </c>
      <c r="C970" s="5" t="s">
        <v>38</v>
      </c>
      <c r="D970" s="5" t="s">
        <v>23</v>
      </c>
      <c r="E970" s="5" t="s">
        <v>19</v>
      </c>
      <c r="F970" s="5">
        <v>100</v>
      </c>
      <c r="G970" s="5">
        <v>667</v>
      </c>
      <c r="H970" s="5">
        <v>1109</v>
      </c>
      <c r="I970" s="6">
        <f t="shared" si="45"/>
        <v>66700</v>
      </c>
      <c r="J970" s="6">
        <f t="shared" si="46"/>
        <v>110900</v>
      </c>
      <c r="K970" s="6">
        <f t="shared" si="47"/>
        <v>44200</v>
      </c>
    </row>
    <row r="971" spans="1:11" ht="15.6" thickTop="1" thickBot="1" x14ac:dyDescent="0.35">
      <c r="A971" s="4">
        <v>45667</v>
      </c>
      <c r="B971" s="5" t="s">
        <v>21</v>
      </c>
      <c r="C971" s="5" t="s">
        <v>38</v>
      </c>
      <c r="D971" s="5" t="s">
        <v>25</v>
      </c>
      <c r="E971" s="5" t="s">
        <v>19</v>
      </c>
      <c r="F971" s="5">
        <v>60</v>
      </c>
      <c r="G971" s="5">
        <v>509</v>
      </c>
      <c r="H971" s="5">
        <v>954</v>
      </c>
      <c r="I971" s="6">
        <f t="shared" si="45"/>
        <v>30540</v>
      </c>
      <c r="J971" s="6">
        <f t="shared" si="46"/>
        <v>57240</v>
      </c>
      <c r="K971" s="6">
        <f t="shared" si="47"/>
        <v>26700</v>
      </c>
    </row>
    <row r="972" spans="1:11" ht="15.6" thickTop="1" thickBot="1" x14ac:dyDescent="0.35">
      <c r="A972" s="4">
        <v>45668</v>
      </c>
      <c r="B972" s="5" t="s">
        <v>21</v>
      </c>
      <c r="C972" s="5" t="s">
        <v>38</v>
      </c>
      <c r="D972" s="5" t="s">
        <v>25</v>
      </c>
      <c r="E972" s="5" t="s">
        <v>19</v>
      </c>
      <c r="F972" s="5">
        <v>93</v>
      </c>
      <c r="G972" s="5">
        <v>814</v>
      </c>
      <c r="H972" s="5">
        <v>832</v>
      </c>
      <c r="I972" s="6">
        <f t="shared" si="45"/>
        <v>75702</v>
      </c>
      <c r="J972" s="6">
        <f t="shared" si="46"/>
        <v>77376</v>
      </c>
      <c r="K972" s="6">
        <f t="shared" si="47"/>
        <v>1674</v>
      </c>
    </row>
    <row r="973" spans="1:11" ht="15.6" thickTop="1" thickBot="1" x14ac:dyDescent="0.35">
      <c r="A973" s="4">
        <v>45669</v>
      </c>
      <c r="B973" s="5" t="s">
        <v>21</v>
      </c>
      <c r="C973" s="5" t="s">
        <v>38</v>
      </c>
      <c r="D973" s="5" t="s">
        <v>34</v>
      </c>
      <c r="E973" s="5" t="s">
        <v>14</v>
      </c>
      <c r="F973" s="5">
        <v>86</v>
      </c>
      <c r="G973" s="5">
        <v>567</v>
      </c>
      <c r="H973" s="5">
        <v>1491</v>
      </c>
      <c r="I973" s="6">
        <f t="shared" si="45"/>
        <v>48762</v>
      </c>
      <c r="J973" s="6">
        <f t="shared" si="46"/>
        <v>128226</v>
      </c>
      <c r="K973" s="6">
        <f t="shared" si="47"/>
        <v>79464</v>
      </c>
    </row>
    <row r="974" spans="1:11" ht="15.6" thickTop="1" thickBot="1" x14ac:dyDescent="0.35">
      <c r="A974" s="4">
        <v>45670</v>
      </c>
      <c r="B974" s="5" t="s">
        <v>21</v>
      </c>
      <c r="C974" s="5" t="s">
        <v>38</v>
      </c>
      <c r="D974" s="5" t="s">
        <v>34</v>
      </c>
      <c r="E974" s="5" t="s">
        <v>19</v>
      </c>
      <c r="F974" s="5">
        <v>54</v>
      </c>
      <c r="G974" s="5">
        <v>674</v>
      </c>
      <c r="H974" s="5">
        <v>787</v>
      </c>
      <c r="I974" s="6">
        <f t="shared" si="45"/>
        <v>36396</v>
      </c>
      <c r="J974" s="6">
        <f t="shared" si="46"/>
        <v>42498</v>
      </c>
      <c r="K974" s="6">
        <f t="shared" si="47"/>
        <v>6102</v>
      </c>
    </row>
    <row r="975" spans="1:11" ht="15.6" thickTop="1" thickBot="1" x14ac:dyDescent="0.35">
      <c r="A975" s="4">
        <v>45672</v>
      </c>
      <c r="B975" s="5" t="s">
        <v>21</v>
      </c>
      <c r="C975" s="5" t="s">
        <v>41</v>
      </c>
      <c r="D975" s="5" t="s">
        <v>25</v>
      </c>
      <c r="E975" s="5" t="s">
        <v>19</v>
      </c>
      <c r="F975" s="5">
        <v>98</v>
      </c>
      <c r="G975" s="5">
        <v>950</v>
      </c>
      <c r="H975" s="5">
        <v>1426</v>
      </c>
      <c r="I975" s="6">
        <f t="shared" si="45"/>
        <v>93100</v>
      </c>
      <c r="J975" s="6">
        <f t="shared" si="46"/>
        <v>139748</v>
      </c>
      <c r="K975" s="6">
        <f t="shared" si="47"/>
        <v>46648</v>
      </c>
    </row>
    <row r="976" spans="1:11" ht="15.6" thickTop="1" thickBot="1" x14ac:dyDescent="0.35">
      <c r="A976" s="4">
        <v>45673</v>
      </c>
      <c r="B976" s="5" t="s">
        <v>21</v>
      </c>
      <c r="C976" s="5" t="s">
        <v>41</v>
      </c>
      <c r="D976" s="5" t="s">
        <v>20</v>
      </c>
      <c r="E976" s="5" t="s">
        <v>19</v>
      </c>
      <c r="F976" s="5">
        <v>82</v>
      </c>
      <c r="G976" s="5">
        <v>916</v>
      </c>
      <c r="H976" s="5">
        <v>1461</v>
      </c>
      <c r="I976" s="6">
        <f t="shared" si="45"/>
        <v>75112</v>
      </c>
      <c r="J976" s="6">
        <f t="shared" si="46"/>
        <v>119802</v>
      </c>
      <c r="K976" s="6">
        <f t="shared" si="47"/>
        <v>44690</v>
      </c>
    </row>
    <row r="977" spans="1:14" ht="15.6" thickTop="1" thickBot="1" x14ac:dyDescent="0.35">
      <c r="A977" s="4">
        <v>45674</v>
      </c>
      <c r="B977" s="5" t="s">
        <v>21</v>
      </c>
      <c r="C977" s="5" t="s">
        <v>41</v>
      </c>
      <c r="D977" s="5" t="s">
        <v>39</v>
      </c>
      <c r="E977" s="5" t="s">
        <v>14</v>
      </c>
      <c r="F977" s="5">
        <v>66</v>
      </c>
      <c r="G977" s="5">
        <v>710</v>
      </c>
      <c r="H977" s="5">
        <v>1034</v>
      </c>
      <c r="I977" s="6">
        <f t="shared" si="45"/>
        <v>46860</v>
      </c>
      <c r="J977" s="6">
        <f t="shared" si="46"/>
        <v>68244</v>
      </c>
      <c r="K977" s="6">
        <f t="shared" si="47"/>
        <v>21384</v>
      </c>
    </row>
    <row r="978" spans="1:14" ht="15.6" thickTop="1" thickBot="1" x14ac:dyDescent="0.35">
      <c r="A978" s="4">
        <v>45675</v>
      </c>
      <c r="B978" s="5" t="s">
        <v>21</v>
      </c>
      <c r="C978" s="5" t="s">
        <v>41</v>
      </c>
      <c r="D978" s="5" t="s">
        <v>26</v>
      </c>
      <c r="E978" s="5" t="s">
        <v>14</v>
      </c>
      <c r="F978" s="5">
        <v>77</v>
      </c>
      <c r="G978" s="5">
        <v>922</v>
      </c>
      <c r="H978" s="5">
        <v>1400</v>
      </c>
      <c r="I978" s="6">
        <f t="shared" si="45"/>
        <v>70994</v>
      </c>
      <c r="J978" s="6">
        <f t="shared" si="46"/>
        <v>107800</v>
      </c>
      <c r="K978" s="6">
        <f t="shared" si="47"/>
        <v>36806</v>
      </c>
    </row>
    <row r="979" spans="1:14" ht="15.6" thickTop="1" thickBot="1" x14ac:dyDescent="0.35">
      <c r="A979" s="4">
        <v>45698</v>
      </c>
      <c r="B979" s="5" t="s">
        <v>27</v>
      </c>
      <c r="C979" s="5" t="s">
        <v>40</v>
      </c>
      <c r="D979" s="5" t="s">
        <v>20</v>
      </c>
      <c r="E979" s="5" t="s">
        <v>14</v>
      </c>
      <c r="F979" s="5">
        <v>22</v>
      </c>
      <c r="G979" s="5">
        <v>745</v>
      </c>
      <c r="H979" s="5">
        <v>1153</v>
      </c>
      <c r="I979" s="6">
        <f t="shared" si="45"/>
        <v>16390</v>
      </c>
      <c r="J979" s="6">
        <f t="shared" si="46"/>
        <v>25366</v>
      </c>
      <c r="K979" s="6">
        <f t="shared" si="47"/>
        <v>8976</v>
      </c>
    </row>
    <row r="980" spans="1:14" ht="15.6" thickTop="1" thickBot="1" x14ac:dyDescent="0.35">
      <c r="A980" s="4">
        <v>45676</v>
      </c>
      <c r="B980" s="5" t="s">
        <v>21</v>
      </c>
      <c r="C980" s="5" t="s">
        <v>41</v>
      </c>
      <c r="D980" s="5" t="s">
        <v>43</v>
      </c>
      <c r="E980" s="5" t="s">
        <v>14</v>
      </c>
      <c r="F980" s="5">
        <v>93</v>
      </c>
      <c r="G980" s="5">
        <v>887</v>
      </c>
      <c r="H980" s="5">
        <v>993</v>
      </c>
      <c r="I980" s="6">
        <f t="shared" si="45"/>
        <v>82491</v>
      </c>
      <c r="J980" s="6">
        <f t="shared" si="46"/>
        <v>92349</v>
      </c>
      <c r="K980" s="6">
        <f t="shared" si="47"/>
        <v>9858</v>
      </c>
    </row>
    <row r="981" spans="1:14" ht="15.6" thickTop="1" thickBot="1" x14ac:dyDescent="0.35">
      <c r="A981" s="4">
        <v>45700</v>
      </c>
      <c r="B981" s="5" t="s">
        <v>21</v>
      </c>
      <c r="C981" s="5" t="s">
        <v>38</v>
      </c>
      <c r="D981" s="5" t="s">
        <v>25</v>
      </c>
      <c r="E981" s="5" t="s">
        <v>14</v>
      </c>
      <c r="F981" s="5">
        <v>78</v>
      </c>
      <c r="G981" s="5">
        <v>709</v>
      </c>
      <c r="H981" s="5">
        <v>1494</v>
      </c>
      <c r="I981" s="6">
        <f t="shared" si="45"/>
        <v>55302</v>
      </c>
      <c r="J981" s="6">
        <f t="shared" si="46"/>
        <v>116532</v>
      </c>
      <c r="K981" s="6">
        <f t="shared" si="47"/>
        <v>61230</v>
      </c>
    </row>
    <row r="982" spans="1:14" ht="15.6" thickTop="1" thickBot="1" x14ac:dyDescent="0.35">
      <c r="A982" s="4">
        <v>45701</v>
      </c>
      <c r="B982" s="5" t="s">
        <v>21</v>
      </c>
      <c r="C982" s="5" t="s">
        <v>38</v>
      </c>
      <c r="D982" s="5" t="s">
        <v>25</v>
      </c>
      <c r="E982" s="5" t="s">
        <v>14</v>
      </c>
      <c r="F982" s="5">
        <v>87</v>
      </c>
      <c r="G982" s="5">
        <v>714</v>
      </c>
      <c r="H982" s="5">
        <v>926</v>
      </c>
      <c r="I982" s="6">
        <f t="shared" si="45"/>
        <v>62118</v>
      </c>
      <c r="J982" s="6">
        <f t="shared" si="46"/>
        <v>80562</v>
      </c>
      <c r="K982" s="6">
        <f t="shared" si="47"/>
        <v>18444</v>
      </c>
    </row>
    <row r="983" spans="1:14" ht="15.6" thickTop="1" thickBot="1" x14ac:dyDescent="0.35">
      <c r="A983" s="4">
        <v>45702</v>
      </c>
      <c r="B983" s="5" t="s">
        <v>21</v>
      </c>
      <c r="C983" s="5" t="s">
        <v>38</v>
      </c>
      <c r="D983" s="5" t="s">
        <v>34</v>
      </c>
      <c r="E983" s="5" t="s">
        <v>14</v>
      </c>
      <c r="F983" s="5">
        <v>90</v>
      </c>
      <c r="G983" s="5">
        <v>983</v>
      </c>
      <c r="H983" s="5">
        <v>924</v>
      </c>
      <c r="I983" s="6">
        <f t="shared" si="45"/>
        <v>88470</v>
      </c>
      <c r="J983" s="6">
        <f t="shared" si="46"/>
        <v>83160</v>
      </c>
      <c r="K983" s="6">
        <f t="shared" si="47"/>
        <v>-5310</v>
      </c>
    </row>
    <row r="984" spans="1:14" ht="15.6" thickTop="1" thickBot="1" x14ac:dyDescent="0.35">
      <c r="A984" s="4">
        <v>45703</v>
      </c>
      <c r="B984" s="5" t="s">
        <v>21</v>
      </c>
      <c r="C984" s="5" t="s">
        <v>38</v>
      </c>
      <c r="D984" s="5" t="s">
        <v>34</v>
      </c>
      <c r="E984" s="5" t="s">
        <v>14</v>
      </c>
      <c r="F984" s="5">
        <v>78</v>
      </c>
      <c r="G984" s="5">
        <v>789</v>
      </c>
      <c r="H984" s="5">
        <v>1064</v>
      </c>
      <c r="I984" s="6">
        <f t="shared" si="45"/>
        <v>61542</v>
      </c>
      <c r="J984" s="6">
        <f t="shared" si="46"/>
        <v>82992</v>
      </c>
      <c r="K984" s="6">
        <f t="shared" si="47"/>
        <v>21450</v>
      </c>
    </row>
    <row r="985" spans="1:14" ht="15.6" thickTop="1" thickBot="1" x14ac:dyDescent="0.35">
      <c r="A985" s="4">
        <v>45704</v>
      </c>
      <c r="B985" s="5" t="s">
        <v>21</v>
      </c>
      <c r="C985" s="5" t="s">
        <v>38</v>
      </c>
      <c r="D985" s="5" t="s">
        <v>32</v>
      </c>
      <c r="E985" s="5" t="s">
        <v>19</v>
      </c>
      <c r="F985" s="5">
        <v>74</v>
      </c>
      <c r="G985" s="5">
        <v>835</v>
      </c>
      <c r="H985" s="5">
        <v>1096</v>
      </c>
      <c r="I985" s="6">
        <f t="shared" si="45"/>
        <v>61790</v>
      </c>
      <c r="J985" s="6">
        <f t="shared" si="46"/>
        <v>81104</v>
      </c>
      <c r="K985" s="6">
        <f t="shared" si="47"/>
        <v>19314</v>
      </c>
    </row>
    <row r="986" spans="1:14" ht="15.6" thickTop="1" thickBot="1" x14ac:dyDescent="0.35">
      <c r="A986" s="4">
        <v>45705</v>
      </c>
      <c r="B986" s="5" t="s">
        <v>21</v>
      </c>
      <c r="C986" s="5" t="s">
        <v>38</v>
      </c>
      <c r="D986" s="5" t="s">
        <v>25</v>
      </c>
      <c r="E986" s="5" t="s">
        <v>19</v>
      </c>
      <c r="F986" s="5">
        <v>94</v>
      </c>
      <c r="G986" s="5">
        <v>952</v>
      </c>
      <c r="H986" s="5">
        <v>1425</v>
      </c>
      <c r="I986" s="6">
        <f t="shared" si="45"/>
        <v>89488</v>
      </c>
      <c r="J986" s="6">
        <f t="shared" si="46"/>
        <v>133950</v>
      </c>
      <c r="K986" s="6">
        <f t="shared" si="47"/>
        <v>44462</v>
      </c>
    </row>
    <row r="987" spans="1:14" ht="15.6" thickTop="1" thickBot="1" x14ac:dyDescent="0.35">
      <c r="A987" s="4">
        <v>45706</v>
      </c>
      <c r="B987" s="5" t="s">
        <v>21</v>
      </c>
      <c r="C987" s="5" t="s">
        <v>38</v>
      </c>
      <c r="D987" s="5" t="s">
        <v>20</v>
      </c>
      <c r="E987" s="5" t="s">
        <v>19</v>
      </c>
      <c r="F987" s="5">
        <v>55</v>
      </c>
      <c r="G987" s="5">
        <v>558</v>
      </c>
      <c r="H987" s="5">
        <v>1203</v>
      </c>
      <c r="I987" s="6">
        <f t="shared" si="45"/>
        <v>30690</v>
      </c>
      <c r="J987" s="6">
        <f t="shared" si="46"/>
        <v>66165</v>
      </c>
      <c r="K987" s="6">
        <f t="shared" si="47"/>
        <v>35475</v>
      </c>
      <c r="N987" t="e">
        <f>#REF!/#REF!</f>
        <v>#REF!</v>
      </c>
    </row>
    <row r="988" spans="1:14" ht="15.6" thickTop="1" thickBot="1" x14ac:dyDescent="0.35">
      <c r="A988" s="4">
        <v>45707</v>
      </c>
      <c r="B988" s="5" t="s">
        <v>21</v>
      </c>
      <c r="C988" s="5" t="s">
        <v>38</v>
      </c>
      <c r="D988" s="5" t="s">
        <v>39</v>
      </c>
      <c r="E988" s="5" t="s">
        <v>19</v>
      </c>
      <c r="F988" s="5">
        <v>56</v>
      </c>
      <c r="G988" s="5">
        <v>562</v>
      </c>
      <c r="H988" s="5">
        <v>1341</v>
      </c>
      <c r="I988" s="6">
        <f t="shared" si="45"/>
        <v>31472</v>
      </c>
      <c r="J988" s="6">
        <f t="shared" si="46"/>
        <v>75096</v>
      </c>
      <c r="K988" s="6">
        <f t="shared" si="47"/>
        <v>43624</v>
      </c>
    </row>
    <row r="989" spans="1:14" ht="15.6" thickTop="1" thickBot="1" x14ac:dyDescent="0.35">
      <c r="A989" s="4">
        <v>45708</v>
      </c>
      <c r="B989" s="5" t="s">
        <v>21</v>
      </c>
      <c r="C989" s="5" t="s">
        <v>38</v>
      </c>
      <c r="D989" s="5" t="s">
        <v>26</v>
      </c>
      <c r="E989" s="5" t="s">
        <v>14</v>
      </c>
      <c r="F989" s="5">
        <v>94</v>
      </c>
      <c r="G989" s="5">
        <v>513</v>
      </c>
      <c r="H989" s="5">
        <v>1318</v>
      </c>
      <c r="I989" s="6">
        <f t="shared" si="45"/>
        <v>48222</v>
      </c>
      <c r="J989" s="6">
        <f t="shared" si="46"/>
        <v>123892</v>
      </c>
      <c r="K989" s="6">
        <f t="shared" si="47"/>
        <v>75670</v>
      </c>
    </row>
    <row r="990" spans="1:14" ht="15.6" thickTop="1" thickBot="1" x14ac:dyDescent="0.35">
      <c r="A990" s="4">
        <v>45709</v>
      </c>
      <c r="B990" s="5" t="s">
        <v>21</v>
      </c>
      <c r="C990" s="5" t="s">
        <v>38</v>
      </c>
      <c r="D990" s="5" t="s">
        <v>43</v>
      </c>
      <c r="E990" s="5" t="s">
        <v>19</v>
      </c>
      <c r="F990" s="5">
        <v>76</v>
      </c>
      <c r="G990" s="5">
        <v>526</v>
      </c>
      <c r="H990" s="5">
        <v>1260</v>
      </c>
      <c r="I990" s="6">
        <f t="shared" si="45"/>
        <v>39976</v>
      </c>
      <c r="J990" s="6">
        <f t="shared" si="46"/>
        <v>95760</v>
      </c>
      <c r="K990" s="6">
        <f t="shared" si="47"/>
        <v>55784</v>
      </c>
    </row>
    <row r="991" spans="1:14" ht="15.6" thickTop="1" thickBot="1" x14ac:dyDescent="0.35">
      <c r="A991" s="4">
        <v>45710</v>
      </c>
      <c r="B991" s="5" t="s">
        <v>21</v>
      </c>
      <c r="C991" s="5" t="s">
        <v>38</v>
      </c>
      <c r="D991" s="5" t="s">
        <v>44</v>
      </c>
      <c r="E991" s="5" t="s">
        <v>19</v>
      </c>
      <c r="F991" s="5">
        <v>61</v>
      </c>
      <c r="G991" s="5">
        <v>545</v>
      </c>
      <c r="H991" s="5">
        <v>915</v>
      </c>
      <c r="I991" s="6">
        <f t="shared" si="45"/>
        <v>33245</v>
      </c>
      <c r="J991" s="6">
        <f t="shared" si="46"/>
        <v>55815</v>
      </c>
      <c r="K991" s="6">
        <f t="shared" si="47"/>
        <v>22570</v>
      </c>
    </row>
    <row r="992" spans="1:14" ht="15.6" thickTop="1" thickBot="1" x14ac:dyDescent="0.35">
      <c r="A992" s="4">
        <v>45711</v>
      </c>
      <c r="B992" s="5" t="s">
        <v>21</v>
      </c>
      <c r="C992" s="5" t="s">
        <v>38</v>
      </c>
      <c r="D992" s="5" t="s">
        <v>13</v>
      </c>
      <c r="E992" s="5" t="s">
        <v>19</v>
      </c>
      <c r="F992" s="5">
        <v>99</v>
      </c>
      <c r="G992" s="5">
        <v>943</v>
      </c>
      <c r="H992" s="5">
        <v>823</v>
      </c>
      <c r="I992" s="6">
        <f t="shared" si="45"/>
        <v>93357</v>
      </c>
      <c r="J992" s="6">
        <f t="shared" si="46"/>
        <v>81477</v>
      </c>
      <c r="K992" s="6">
        <f t="shared" si="47"/>
        <v>-11880</v>
      </c>
    </row>
    <row r="993" spans="1:11" ht="15.6" thickTop="1" thickBot="1" x14ac:dyDescent="0.35">
      <c r="A993" s="4">
        <v>45712</v>
      </c>
      <c r="B993" s="7" t="s">
        <v>21</v>
      </c>
      <c r="C993" s="7" t="s">
        <v>41</v>
      </c>
      <c r="D993" s="7" t="s">
        <v>15</v>
      </c>
      <c r="E993" s="5" t="s">
        <v>19</v>
      </c>
      <c r="F993" s="5">
        <v>84</v>
      </c>
      <c r="G993" s="5">
        <v>738</v>
      </c>
      <c r="H993" s="5">
        <v>1080</v>
      </c>
      <c r="I993" s="6">
        <f t="shared" si="45"/>
        <v>61992</v>
      </c>
      <c r="J993" s="6">
        <f t="shared" si="46"/>
        <v>90720</v>
      </c>
      <c r="K993" s="6">
        <f t="shared" si="47"/>
        <v>28728</v>
      </c>
    </row>
    <row r="994" spans="1:11" ht="15" thickTop="1" x14ac:dyDescent="0.3"/>
  </sheetData>
  <pageMargins left="0.7" right="0.7" top="0.75" bottom="0.75" header="0.3" footer="0.3"/>
  <pageSetup scale="49" fitToWidth="15" fitToHeight="15" orientation="landscape"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FD391-C9F1-488E-95D0-560AE2ECD705}">
  <dimension ref="A12:L21"/>
  <sheetViews>
    <sheetView zoomScale="107" zoomScaleNormal="107" workbookViewId="0">
      <selection activeCell="G39" sqref="G39"/>
    </sheetView>
  </sheetViews>
  <sheetFormatPr defaultRowHeight="14.4" x14ac:dyDescent="0.3"/>
  <cols>
    <col min="1" max="1" width="12.77734375" bestFit="1" customWidth="1"/>
    <col min="2" max="2" width="15.88671875" bestFit="1" customWidth="1"/>
    <col min="3" max="4" width="15.88671875" customWidth="1"/>
    <col min="5" max="5" width="19.44140625" bestFit="1" customWidth="1"/>
    <col min="6" max="6" width="12.77734375" bestFit="1" customWidth="1"/>
    <col min="7" max="7" width="20" bestFit="1" customWidth="1"/>
    <col min="8" max="8" width="12.109375" bestFit="1" customWidth="1"/>
    <col min="9" max="9" width="12.109375" customWidth="1"/>
    <col min="11" max="11" width="12.77734375" bestFit="1" customWidth="1"/>
    <col min="12" max="12" width="12.33203125" bestFit="1" customWidth="1"/>
    <col min="15" max="16" width="8.88671875" customWidth="1"/>
    <col min="17" max="17" width="13" bestFit="1" customWidth="1"/>
    <col min="18" max="18" width="16" bestFit="1" customWidth="1"/>
    <col min="19" max="19" width="12.33203125" bestFit="1" customWidth="1"/>
    <col min="20" max="20" width="15.77734375" bestFit="1" customWidth="1"/>
    <col min="21" max="21" width="12.21875" bestFit="1" customWidth="1"/>
    <col min="26" max="26" width="13" bestFit="1" customWidth="1"/>
    <col min="27" max="27" width="16" bestFit="1" customWidth="1"/>
    <col min="28" max="28" width="12.33203125" bestFit="1" customWidth="1"/>
    <col min="30" max="30" width="12" customWidth="1"/>
    <col min="32" max="32" width="16.33203125" bestFit="1" customWidth="1"/>
    <col min="33" max="33" width="16" bestFit="1" customWidth="1"/>
  </cols>
  <sheetData>
    <row r="12" spans="1:12" x14ac:dyDescent="0.3">
      <c r="B12">
        <f>GETPIVOTDATA("Sale Price",$A$14)</f>
        <v>51009211</v>
      </c>
      <c r="G12">
        <f>GETPIVOTDATA("Purchase Cost",$F$14)</f>
        <v>33647206</v>
      </c>
      <c r="L12">
        <f>GETPIVOTDATA("Profit",$K$14)</f>
        <v>17362005</v>
      </c>
    </row>
    <row r="14" spans="1:12" x14ac:dyDescent="0.3">
      <c r="A14" s="9" t="s">
        <v>51</v>
      </c>
      <c r="B14" t="s">
        <v>47</v>
      </c>
      <c r="F14" s="9" t="s">
        <v>51</v>
      </c>
      <c r="G14" t="s">
        <v>49</v>
      </c>
      <c r="K14" s="9" t="s">
        <v>51</v>
      </c>
      <c r="L14" t="s">
        <v>50</v>
      </c>
    </row>
    <row r="15" spans="1:12" x14ac:dyDescent="0.3">
      <c r="A15" s="12" t="s">
        <v>11</v>
      </c>
      <c r="B15">
        <v>3756891</v>
      </c>
      <c r="F15" s="12" t="s">
        <v>11</v>
      </c>
      <c r="G15">
        <v>2492869</v>
      </c>
      <c r="K15" s="12" t="s">
        <v>11</v>
      </c>
      <c r="L15">
        <v>1264022</v>
      </c>
    </row>
    <row r="16" spans="1:12" x14ac:dyDescent="0.3">
      <c r="A16" s="12" t="s">
        <v>27</v>
      </c>
      <c r="B16">
        <v>9022761</v>
      </c>
      <c r="F16" s="12" t="s">
        <v>27</v>
      </c>
      <c r="G16">
        <v>6094215</v>
      </c>
      <c r="K16" s="12" t="s">
        <v>27</v>
      </c>
      <c r="L16">
        <v>2928546</v>
      </c>
    </row>
    <row r="17" spans="1:12" x14ac:dyDescent="0.3">
      <c r="A17" s="12" t="s">
        <v>21</v>
      </c>
      <c r="B17">
        <v>38229559</v>
      </c>
      <c r="F17" s="12" t="s">
        <v>21</v>
      </c>
      <c r="G17">
        <v>25060122</v>
      </c>
      <c r="K17" s="12" t="s">
        <v>21</v>
      </c>
      <c r="L17">
        <v>13169437</v>
      </c>
    </row>
    <row r="18" spans="1:12" x14ac:dyDescent="0.3">
      <c r="A18" s="12" t="s">
        <v>52</v>
      </c>
      <c r="B18">
        <v>51009211</v>
      </c>
      <c r="F18" s="12" t="s">
        <v>52</v>
      </c>
      <c r="G18">
        <v>33647206</v>
      </c>
      <c r="K18" s="12" t="s">
        <v>52</v>
      </c>
      <c r="L18">
        <v>17362005</v>
      </c>
    </row>
    <row r="21" spans="1:12" ht="18" customHeight="1" x14ac:dyDescent="0.3"/>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82C0E-2D03-46EB-9793-53835206DD7C}">
  <dimension ref="D9:F21"/>
  <sheetViews>
    <sheetView zoomScale="109" zoomScaleNormal="98" workbookViewId="0">
      <selection activeCell="F17" sqref="F17"/>
    </sheetView>
  </sheetViews>
  <sheetFormatPr defaultRowHeight="14.4" x14ac:dyDescent="0.3"/>
  <cols>
    <col min="4" max="4" width="12.5546875" bestFit="1" customWidth="1"/>
    <col min="5" max="5" width="15.5546875" bestFit="1" customWidth="1"/>
    <col min="6" max="6" width="12.109375" bestFit="1" customWidth="1"/>
    <col min="7" max="7" width="12.77734375" bestFit="1" customWidth="1"/>
    <col min="8" max="8" width="15.88671875" bestFit="1" customWidth="1"/>
    <col min="9" max="9" width="13" customWidth="1"/>
  </cols>
  <sheetData>
    <row r="9" spans="4:6" x14ac:dyDescent="0.3">
      <c r="D9" s="9" t="s">
        <v>51</v>
      </c>
      <c r="E9" t="s">
        <v>47</v>
      </c>
      <c r="F9" t="s">
        <v>50</v>
      </c>
    </row>
    <row r="10" spans="4:6" x14ac:dyDescent="0.3">
      <c r="D10" s="12" t="s">
        <v>53</v>
      </c>
      <c r="E10">
        <v>3987100</v>
      </c>
      <c r="F10" s="13">
        <v>7.3208134659562649E-2</v>
      </c>
    </row>
    <row r="11" spans="4:6" x14ac:dyDescent="0.3">
      <c r="D11" s="12" t="s">
        <v>59</v>
      </c>
      <c r="E11">
        <v>4566192</v>
      </c>
      <c r="F11" s="13">
        <v>9.8978948571895931E-2</v>
      </c>
    </row>
    <row r="12" spans="4:6" x14ac:dyDescent="0.3">
      <c r="D12" s="12" t="s">
        <v>60</v>
      </c>
      <c r="E12">
        <v>4187292</v>
      </c>
      <c r="F12" s="13">
        <v>7.5549684497844577E-2</v>
      </c>
    </row>
    <row r="13" spans="4:6" x14ac:dyDescent="0.3">
      <c r="D13" s="12" t="s">
        <v>61</v>
      </c>
      <c r="E13">
        <v>4731229</v>
      </c>
      <c r="F13" s="13">
        <v>8.5786808608798351E-2</v>
      </c>
    </row>
    <row r="14" spans="4:6" x14ac:dyDescent="0.3">
      <c r="D14" s="12" t="s">
        <v>54</v>
      </c>
      <c r="E14">
        <v>6102945</v>
      </c>
      <c r="F14" s="13">
        <v>0.12671554926979919</v>
      </c>
    </row>
    <row r="15" spans="4:6" x14ac:dyDescent="0.3">
      <c r="D15" s="12" t="s">
        <v>55</v>
      </c>
      <c r="E15">
        <v>3908969</v>
      </c>
      <c r="F15" s="13">
        <v>7.085258874191086E-2</v>
      </c>
    </row>
    <row r="16" spans="4:6" x14ac:dyDescent="0.3">
      <c r="D16" s="12" t="s">
        <v>56</v>
      </c>
      <c r="E16">
        <v>4494807</v>
      </c>
      <c r="F16" s="13">
        <v>9.0073928673560455E-2</v>
      </c>
    </row>
    <row r="17" spans="4:6" x14ac:dyDescent="0.3">
      <c r="D17" s="12" t="s">
        <v>57</v>
      </c>
      <c r="E17">
        <v>4370215</v>
      </c>
      <c r="F17" s="13">
        <v>8.8343828952934869E-2</v>
      </c>
    </row>
    <row r="18" spans="4:6" x14ac:dyDescent="0.3">
      <c r="D18" s="12" t="s">
        <v>58</v>
      </c>
      <c r="E18">
        <v>4887342</v>
      </c>
      <c r="F18" s="13">
        <v>9.8688429130160946E-2</v>
      </c>
    </row>
    <row r="19" spans="4:6" x14ac:dyDescent="0.3">
      <c r="D19" s="12" t="s">
        <v>62</v>
      </c>
      <c r="E19">
        <v>3730145</v>
      </c>
      <c r="F19" s="13">
        <v>7.651408924257308E-2</v>
      </c>
    </row>
    <row r="20" spans="4:6" x14ac:dyDescent="0.3">
      <c r="D20" s="12" t="s">
        <v>63</v>
      </c>
      <c r="E20">
        <v>6042975</v>
      </c>
      <c r="F20" s="13">
        <v>0.11528800965095909</v>
      </c>
    </row>
    <row r="21" spans="4:6" x14ac:dyDescent="0.3">
      <c r="D21" s="12" t="s">
        <v>52</v>
      </c>
      <c r="E21">
        <v>51009211</v>
      </c>
      <c r="F21" s="13">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85143-789C-4D50-8296-8972316CF4B2}">
  <dimension ref="C4:J16"/>
  <sheetViews>
    <sheetView topLeftCell="C1" zoomScale="90" workbookViewId="0">
      <selection activeCell="L10" sqref="L10"/>
    </sheetView>
  </sheetViews>
  <sheetFormatPr defaultRowHeight="14.4" x14ac:dyDescent="0.3"/>
  <cols>
    <col min="3" max="3" width="14.109375" bestFit="1" customWidth="1"/>
    <col min="4" max="4" width="16.109375" bestFit="1" customWidth="1"/>
    <col min="5" max="5" width="12.44140625" customWidth="1"/>
    <col min="7" max="7" width="14.109375" bestFit="1" customWidth="1"/>
    <col min="8" max="8" width="16.109375" bestFit="1" customWidth="1"/>
    <col min="9" max="9" width="17.88671875" customWidth="1"/>
    <col min="10" max="10" width="14.33203125" customWidth="1"/>
    <col min="12" max="12" width="14" customWidth="1"/>
    <col min="13" max="13" width="16" customWidth="1"/>
    <col min="14" max="14" width="13.109375" customWidth="1"/>
  </cols>
  <sheetData>
    <row r="4" spans="3:10" x14ac:dyDescent="0.3">
      <c r="C4" s="9" t="s">
        <v>51</v>
      </c>
      <c r="D4" t="s">
        <v>47</v>
      </c>
      <c r="E4" t="s">
        <v>50</v>
      </c>
      <c r="H4" s="14" t="s">
        <v>51</v>
      </c>
      <c r="I4" s="14" t="s">
        <v>47</v>
      </c>
      <c r="J4" s="14" t="s">
        <v>50</v>
      </c>
    </row>
    <row r="5" spans="3:10" x14ac:dyDescent="0.3">
      <c r="C5" s="12" t="s">
        <v>40</v>
      </c>
      <c r="D5">
        <v>4793940</v>
      </c>
      <c r="E5" s="13">
        <v>8.9010572223657353E-2</v>
      </c>
      <c r="H5" s="12" t="s">
        <v>40</v>
      </c>
      <c r="I5">
        <f>IFERROR(GETPIVOTDATA("Sum of Sale Price",$C$4,"Product Name",Table3[[#This Row],[Row Labels]]), " ")</f>
        <v>4793940</v>
      </c>
      <c r="J5" s="13">
        <f t="shared" ref="J5:J15" si="0">IFERROR(GETPIVOTDATA("Sum of Profit",$C$4,"Product Name",H5)," ")</f>
        <v>8.9010572223657353E-2</v>
      </c>
    </row>
    <row r="6" spans="3:10" x14ac:dyDescent="0.3">
      <c r="C6" s="12" t="s">
        <v>12</v>
      </c>
      <c r="D6">
        <v>1023983</v>
      </c>
      <c r="E6" s="13">
        <v>1.7424082068862437E-2</v>
      </c>
      <c r="H6" s="12" t="s">
        <v>12</v>
      </c>
      <c r="I6">
        <f>IFERROR(GETPIVOTDATA("Sum of Sale Price",$C$4,"Product Name",Table3[[#This Row],[Row Labels]]), " ")</f>
        <v>1023983</v>
      </c>
      <c r="J6" s="13">
        <f t="shared" si="0"/>
        <v>1.7424082068862437E-2</v>
      </c>
    </row>
    <row r="7" spans="3:10" x14ac:dyDescent="0.3">
      <c r="C7" s="12" t="s">
        <v>46</v>
      </c>
      <c r="D7">
        <v>137206</v>
      </c>
      <c r="E7" s="13">
        <v>2.2640242299204498E-3</v>
      </c>
      <c r="H7" s="12" t="s">
        <v>46</v>
      </c>
      <c r="I7">
        <f>IFERROR(GETPIVOTDATA("Sum of Sale Price",$C$4,"Product Name",Table3[[#This Row],[Row Labels]]), " ")</f>
        <v>137206</v>
      </c>
      <c r="J7" s="13">
        <f t="shared" si="0"/>
        <v>2.2640242299204498E-3</v>
      </c>
    </row>
    <row r="8" spans="3:10" x14ac:dyDescent="0.3">
      <c r="C8" s="12" t="s">
        <v>42</v>
      </c>
      <c r="D8">
        <v>515464</v>
      </c>
      <c r="E8" s="13">
        <v>1.0084837551884128E-2</v>
      </c>
      <c r="H8" s="12" t="s">
        <v>42</v>
      </c>
      <c r="I8">
        <f>IFERROR(GETPIVOTDATA("Sum of Sale Price",$C$4,"Product Name",Table3[[#This Row],[Row Labels]]), " ")</f>
        <v>515464</v>
      </c>
      <c r="J8" s="13">
        <f t="shared" si="0"/>
        <v>1.0084837551884128E-2</v>
      </c>
    </row>
    <row r="9" spans="3:10" x14ac:dyDescent="0.3">
      <c r="C9" s="12" t="s">
        <v>24</v>
      </c>
      <c r="D9">
        <v>2732908</v>
      </c>
      <c r="E9" s="13">
        <v>5.5379836602972986E-2</v>
      </c>
      <c r="H9" s="12" t="s">
        <v>24</v>
      </c>
      <c r="I9">
        <f>IFERROR(GETPIVOTDATA("Sum of Sale Price",$C$4,"Product Name",Table3[[#This Row],[Row Labels]]), " ")</f>
        <v>2732908</v>
      </c>
      <c r="J9" s="13">
        <f t="shared" si="0"/>
        <v>5.5379836602972986E-2</v>
      </c>
    </row>
    <row r="10" spans="3:10" x14ac:dyDescent="0.3">
      <c r="C10" s="12" t="s">
        <v>45</v>
      </c>
      <c r="D10">
        <v>3327327</v>
      </c>
      <c r="E10" s="13">
        <v>6.6418308254144617E-2</v>
      </c>
      <c r="H10" s="12" t="s">
        <v>45</v>
      </c>
      <c r="I10">
        <f>IFERROR(GETPIVOTDATA("Sum of Sale Price",$C$4,"Product Name",Table3[[#This Row],[Row Labels]]), " ")</f>
        <v>3327327</v>
      </c>
      <c r="J10" s="13">
        <f t="shared" si="0"/>
        <v>6.6418308254144617E-2</v>
      </c>
    </row>
    <row r="11" spans="3:10" x14ac:dyDescent="0.3">
      <c r="C11" s="12" t="s">
        <v>38</v>
      </c>
      <c r="D11">
        <v>18135629</v>
      </c>
      <c r="E11" s="13">
        <v>0.36594247035408639</v>
      </c>
      <c r="H11" s="12" t="s">
        <v>38</v>
      </c>
      <c r="I11">
        <f>IFERROR(GETPIVOTDATA("Sum of Sale Price",$C$4,"Product Name",Table3[[#This Row],[Row Labels]]), " ")</f>
        <v>18135629</v>
      </c>
      <c r="J11" s="13">
        <f t="shared" si="0"/>
        <v>0.36594247035408639</v>
      </c>
    </row>
    <row r="12" spans="3:10" x14ac:dyDescent="0.3">
      <c r="C12" s="12" t="s">
        <v>28</v>
      </c>
      <c r="D12">
        <v>1182418</v>
      </c>
      <c r="E12" s="13">
        <v>2.1941359883262332E-2</v>
      </c>
      <c r="H12" s="12" t="s">
        <v>28</v>
      </c>
      <c r="I12">
        <f>IFERROR(GETPIVOTDATA("Sum of Sale Price",$C$4,"Product Name",Table3[[#This Row],[Row Labels]]), " ")</f>
        <v>1182418</v>
      </c>
      <c r="J12" s="13">
        <f t="shared" si="0"/>
        <v>2.1941359883262332E-2</v>
      </c>
    </row>
    <row r="13" spans="3:10" x14ac:dyDescent="0.3">
      <c r="C13" s="12" t="s">
        <v>41</v>
      </c>
      <c r="D13">
        <v>14643730</v>
      </c>
      <c r="E13" s="13">
        <v>0.28990707006477651</v>
      </c>
      <c r="H13" s="12" t="s">
        <v>41</v>
      </c>
      <c r="I13">
        <f>IFERROR(GETPIVOTDATA("Sum of Sale Price",$C$4,"Product Name",Table3[[#This Row],[Row Labels]]), " ")</f>
        <v>14643730</v>
      </c>
      <c r="J13" s="13">
        <f t="shared" si="0"/>
        <v>0.28990707006477651</v>
      </c>
    </row>
    <row r="14" spans="3:10" x14ac:dyDescent="0.3">
      <c r="C14" s="12" t="s">
        <v>33</v>
      </c>
      <c r="D14">
        <v>2530939</v>
      </c>
      <c r="E14" s="13">
        <v>4.7638795173714096E-2</v>
      </c>
      <c r="H14" s="12" t="s">
        <v>33</v>
      </c>
      <c r="I14">
        <f>IFERROR(GETPIVOTDATA("Sum of Sale Price",$C$4,"Product Name",Table3[[#This Row],[Row Labels]]), " ")</f>
        <v>2530939</v>
      </c>
      <c r="J14" s="13">
        <f t="shared" si="0"/>
        <v>4.7638795173714096E-2</v>
      </c>
    </row>
    <row r="15" spans="3:10" x14ac:dyDescent="0.3">
      <c r="C15" s="12" t="s">
        <v>22</v>
      </c>
      <c r="D15">
        <v>1985667</v>
      </c>
      <c r="E15" s="13">
        <v>3.3988643592718699E-2</v>
      </c>
      <c r="H15" s="12" t="s">
        <v>22</v>
      </c>
      <c r="I15">
        <f>IFERROR(GETPIVOTDATA("Sum of Sale Price",$C$4,"Product Name",Table3[[#This Row],[Row Labels]]), " ")</f>
        <v>1985667</v>
      </c>
      <c r="J15" s="13">
        <f t="shared" si="0"/>
        <v>3.3988643592718699E-2</v>
      </c>
    </row>
    <row r="16" spans="3:10" x14ac:dyDescent="0.3">
      <c r="C16" s="12" t="s">
        <v>52</v>
      </c>
      <c r="D16">
        <v>51009211</v>
      </c>
      <c r="E16" s="13">
        <v>1</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080CC-7423-48AC-8440-6F7B28A392C7}">
  <dimension ref="D7:I28"/>
  <sheetViews>
    <sheetView topLeftCell="B1" zoomScale="103" workbookViewId="0">
      <selection activeCell="K4" sqref="K4"/>
    </sheetView>
  </sheetViews>
  <sheetFormatPr defaultRowHeight="14.4" x14ac:dyDescent="0.3"/>
  <cols>
    <col min="4" max="4" width="16" bestFit="1" customWidth="1"/>
    <col min="5" max="5" width="15.6640625" bestFit="1" customWidth="1"/>
    <col min="7" max="7" width="16" bestFit="1" customWidth="1"/>
    <col min="8" max="8" width="15.6640625" bestFit="1" customWidth="1"/>
    <col min="9" max="9" width="17.33203125" customWidth="1"/>
    <col min="11" max="11" width="15.88671875" customWidth="1"/>
    <col min="12" max="12" width="15.21875" customWidth="1"/>
  </cols>
  <sheetData>
    <row r="7" spans="4:9" x14ac:dyDescent="0.3">
      <c r="D7" s="9" t="s">
        <v>51</v>
      </c>
      <c r="E7" t="s">
        <v>47</v>
      </c>
      <c r="H7" s="15" t="s">
        <v>51</v>
      </c>
      <c r="I7" s="15" t="s">
        <v>47</v>
      </c>
    </row>
    <row r="8" spans="4:9" x14ac:dyDescent="0.3">
      <c r="D8" s="12" t="s">
        <v>35</v>
      </c>
      <c r="E8">
        <v>1071212</v>
      </c>
      <c r="H8" s="16" t="s">
        <v>35</v>
      </c>
      <c r="I8" s="17">
        <f t="shared" ref="I8:I27" si="0">IFERROR(GETPIVOTDATA("Sale Price",$D$7,"State",H8)," ")</f>
        <v>1071212</v>
      </c>
    </row>
    <row r="9" spans="4:9" x14ac:dyDescent="0.3">
      <c r="D9" s="12" t="s">
        <v>30</v>
      </c>
      <c r="E9">
        <v>1006284</v>
      </c>
      <c r="H9" s="16" t="s">
        <v>30</v>
      </c>
      <c r="I9" s="17">
        <f t="shared" si="0"/>
        <v>1006284</v>
      </c>
    </row>
    <row r="10" spans="4:9" x14ac:dyDescent="0.3">
      <c r="D10" s="12" t="s">
        <v>13</v>
      </c>
      <c r="E10">
        <v>1650817</v>
      </c>
      <c r="H10" s="16" t="s">
        <v>13</v>
      </c>
      <c r="I10" s="17">
        <f t="shared" si="0"/>
        <v>1650817</v>
      </c>
    </row>
    <row r="11" spans="4:9" x14ac:dyDescent="0.3">
      <c r="D11" s="12" t="s">
        <v>31</v>
      </c>
      <c r="E11">
        <v>1037534</v>
      </c>
      <c r="H11" s="16" t="s">
        <v>31</v>
      </c>
      <c r="I11" s="17">
        <f t="shared" si="0"/>
        <v>1037534</v>
      </c>
    </row>
    <row r="12" spans="4:9" x14ac:dyDescent="0.3">
      <c r="D12" s="12" t="s">
        <v>29</v>
      </c>
      <c r="E12">
        <v>982969</v>
      </c>
      <c r="H12" s="16" t="s">
        <v>29</v>
      </c>
      <c r="I12" s="17">
        <f t="shared" si="0"/>
        <v>982969</v>
      </c>
    </row>
    <row r="13" spans="4:9" x14ac:dyDescent="0.3">
      <c r="D13" s="12" t="s">
        <v>16</v>
      </c>
      <c r="E13">
        <v>1731021</v>
      </c>
      <c r="H13" s="16" t="s">
        <v>16</v>
      </c>
      <c r="I13" s="17">
        <f t="shared" si="0"/>
        <v>1731021</v>
      </c>
    </row>
    <row r="14" spans="4:9" x14ac:dyDescent="0.3">
      <c r="D14" s="12" t="s">
        <v>23</v>
      </c>
      <c r="E14">
        <v>2963249</v>
      </c>
      <c r="H14" s="16" t="s">
        <v>23</v>
      </c>
      <c r="I14" s="17">
        <f t="shared" si="0"/>
        <v>2963249</v>
      </c>
    </row>
    <row r="15" spans="4:9" x14ac:dyDescent="0.3">
      <c r="D15" s="12" t="s">
        <v>43</v>
      </c>
      <c r="E15">
        <v>2299248</v>
      </c>
      <c r="H15" s="16" t="s">
        <v>43</v>
      </c>
      <c r="I15" s="17">
        <f t="shared" si="0"/>
        <v>2299248</v>
      </c>
    </row>
    <row r="16" spans="4:9" x14ac:dyDescent="0.3">
      <c r="D16" s="12" t="s">
        <v>20</v>
      </c>
      <c r="E16">
        <v>3232698</v>
      </c>
      <c r="H16" s="16" t="s">
        <v>20</v>
      </c>
      <c r="I16" s="17">
        <f t="shared" si="0"/>
        <v>3232698</v>
      </c>
    </row>
    <row r="17" spans="4:9" x14ac:dyDescent="0.3">
      <c r="D17" s="12" t="s">
        <v>36</v>
      </c>
      <c r="E17">
        <v>2290315</v>
      </c>
      <c r="H17" s="16" t="s">
        <v>36</v>
      </c>
      <c r="I17" s="17">
        <f t="shared" si="0"/>
        <v>2290315</v>
      </c>
    </row>
    <row r="18" spans="4:9" x14ac:dyDescent="0.3">
      <c r="D18" s="12" t="s">
        <v>39</v>
      </c>
      <c r="E18">
        <v>1925786</v>
      </c>
      <c r="H18" s="16" t="s">
        <v>39</v>
      </c>
      <c r="I18" s="17">
        <f t="shared" si="0"/>
        <v>1925786</v>
      </c>
    </row>
    <row r="19" spans="4:9" x14ac:dyDescent="0.3">
      <c r="D19" s="12" t="s">
        <v>18</v>
      </c>
      <c r="E19">
        <v>2934868</v>
      </c>
      <c r="H19" s="16" t="s">
        <v>18</v>
      </c>
      <c r="I19" s="17">
        <f t="shared" si="0"/>
        <v>2934868</v>
      </c>
    </row>
    <row r="20" spans="4:9" x14ac:dyDescent="0.3">
      <c r="D20" s="12" t="s">
        <v>26</v>
      </c>
      <c r="E20">
        <v>5586103</v>
      </c>
      <c r="H20" s="16" t="s">
        <v>26</v>
      </c>
      <c r="I20" s="17">
        <f t="shared" si="0"/>
        <v>5586103</v>
      </c>
    </row>
    <row r="21" spans="4:9" x14ac:dyDescent="0.3">
      <c r="D21" s="12" t="s">
        <v>15</v>
      </c>
      <c r="E21">
        <v>2134638</v>
      </c>
      <c r="H21" s="16" t="s">
        <v>15</v>
      </c>
      <c r="I21" s="17">
        <f t="shared" si="0"/>
        <v>2134638</v>
      </c>
    </row>
    <row r="22" spans="4:9" x14ac:dyDescent="0.3">
      <c r="D22" s="12" t="s">
        <v>32</v>
      </c>
      <c r="E22">
        <v>2454069</v>
      </c>
      <c r="H22" s="16" t="s">
        <v>32</v>
      </c>
      <c r="I22" s="17">
        <f t="shared" si="0"/>
        <v>2454069</v>
      </c>
    </row>
    <row r="23" spans="4:9" x14ac:dyDescent="0.3">
      <c r="D23" s="12" t="s">
        <v>34</v>
      </c>
      <c r="E23">
        <v>3833288</v>
      </c>
      <c r="H23" s="16" t="s">
        <v>34</v>
      </c>
      <c r="I23" s="17">
        <f t="shared" si="0"/>
        <v>3833288</v>
      </c>
    </row>
    <row r="24" spans="4:9" x14ac:dyDescent="0.3">
      <c r="D24" s="12" t="s">
        <v>37</v>
      </c>
      <c r="E24">
        <v>1082258</v>
      </c>
      <c r="H24" s="16" t="s">
        <v>37</v>
      </c>
      <c r="I24" s="17">
        <f t="shared" si="0"/>
        <v>1082258</v>
      </c>
    </row>
    <row r="25" spans="4:9" x14ac:dyDescent="0.3">
      <c r="D25" s="12" t="s">
        <v>25</v>
      </c>
      <c r="E25">
        <v>5757015</v>
      </c>
      <c r="H25" s="16" t="s">
        <v>25</v>
      </c>
      <c r="I25" s="17">
        <f t="shared" si="0"/>
        <v>5757015</v>
      </c>
    </row>
    <row r="26" spans="4:9" x14ac:dyDescent="0.3">
      <c r="D26" s="12" t="s">
        <v>44</v>
      </c>
      <c r="E26">
        <v>1897810</v>
      </c>
      <c r="H26" s="16" t="s">
        <v>44</v>
      </c>
      <c r="I26" s="17">
        <f t="shared" si="0"/>
        <v>1897810</v>
      </c>
    </row>
    <row r="27" spans="4:9" x14ac:dyDescent="0.3">
      <c r="D27" s="12" t="s">
        <v>17</v>
      </c>
      <c r="E27">
        <v>5138029</v>
      </c>
      <c r="H27" s="16" t="s">
        <v>17</v>
      </c>
      <c r="I27" s="17">
        <f t="shared" si="0"/>
        <v>5138029</v>
      </c>
    </row>
    <row r="28" spans="4:9" x14ac:dyDescent="0.3">
      <c r="D28" s="12" t="s">
        <v>52</v>
      </c>
      <c r="E28">
        <v>51009211</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DB52D-3B6C-497C-A246-B17FD75A738F}">
  <dimension ref="A1"/>
  <sheetViews>
    <sheetView tabSelected="1" zoomScale="92" zoomScaleNormal="92" workbookViewId="0">
      <selection activeCell="X14" sqref="X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283AE-DB2D-4451-B6DB-653147D5D949}">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Detail1</vt:lpstr>
      <vt:lpstr>Sales_Data</vt:lpstr>
      <vt:lpstr>CATEGORYWISE</vt:lpstr>
      <vt:lpstr>MONTHWISE</vt:lpstr>
      <vt:lpstr>PRODUCTWISE</vt:lpstr>
      <vt:lpstr>STATEWISE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tannu singhal</dc:creator>
  <cp:lastModifiedBy>Jay Gajare</cp:lastModifiedBy>
  <cp:lastPrinted>2025-04-04T07:03:45Z</cp:lastPrinted>
  <dcterms:created xsi:type="dcterms:W3CDTF">2025-03-27T16:47:31Z</dcterms:created>
  <dcterms:modified xsi:type="dcterms:W3CDTF">2026-03-09T13:24:58Z</dcterms:modified>
</cp:coreProperties>
</file>